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2" windowWidth="16092" windowHeight="9432" activeTab="5"/>
  </bookViews>
  <sheets>
    <sheet name="ALL" sheetId="1" r:id="rId1"/>
    <sheet name="Sciences" sheetId="7" r:id="rId2"/>
    <sheet name="Technology" sheetId="8" r:id="rId3"/>
    <sheet name="Engineering" sheetId="9" r:id="rId4"/>
    <sheet name="Art" sheetId="10" r:id="rId5"/>
    <sheet name="Math" sheetId="11" r:id="rId6"/>
  </sheets>
  <externalReferences>
    <externalReference r:id="rId7"/>
  </externalReferences>
  <definedNames>
    <definedName name="Z_C0930836_1C27_4000_8923_162C1722C997_.wvu.Cols" localSheetId="0" hidden="1">ALL!$D:$D</definedName>
    <definedName name="Z_C0930836_1C27_4000_8923_162C1722C997_.wvu.Cols" localSheetId="4" hidden="1">Art!$D:$D</definedName>
    <definedName name="Z_C0930836_1C27_4000_8923_162C1722C997_.wvu.Cols" localSheetId="3" hidden="1">Engineering!$D:$D</definedName>
    <definedName name="Z_C0930836_1C27_4000_8923_162C1722C997_.wvu.Cols" localSheetId="5" hidden="1">Math!$D:$D</definedName>
    <definedName name="Z_C0930836_1C27_4000_8923_162C1722C997_.wvu.Cols" localSheetId="1" hidden="1">Sciences!$C:$C</definedName>
    <definedName name="Z_C0930836_1C27_4000_8923_162C1722C997_.wvu.Cols" localSheetId="2" hidden="1">Technology!$D:$D</definedName>
  </definedNames>
  <calcPr calcId="124519"/>
  <customWorkbookViews>
    <customWorkbookView name="custom1" guid="{C0930836-1C27-4000-8923-162C1722C997}" maximized="1" xWindow="-9" yWindow="-9" windowWidth="1938" windowHeight="1218" activeSheetId="7"/>
  </customWorkbookViews>
</workbook>
</file>

<file path=xl/calcChain.xml><?xml version="1.0" encoding="utf-8"?>
<calcChain xmlns="http://schemas.openxmlformats.org/spreadsheetml/2006/main">
  <c r="J290" i="1"/>
  <c r="A2" i="11"/>
  <c r="A2" i="10"/>
  <c r="A2" i="9"/>
  <c r="A2" i="8"/>
  <c r="A2" i="7"/>
  <c r="A2" i="1"/>
  <c r="S503" l="1"/>
  <c r="R503"/>
  <c r="Q503"/>
  <c r="P503"/>
  <c r="O503"/>
  <c r="N503"/>
  <c r="M503"/>
  <c r="L503"/>
  <c r="K503"/>
  <c r="J503"/>
  <c r="I503"/>
  <c r="H503"/>
  <c r="G503"/>
  <c r="F503"/>
  <c r="E503"/>
  <c r="D503"/>
  <c r="C503"/>
  <c r="B503"/>
  <c r="S4"/>
  <c r="R502"/>
  <c r="Q502"/>
  <c r="P502"/>
  <c r="O502"/>
  <c r="N502"/>
  <c r="M502"/>
  <c r="L502"/>
  <c r="K502"/>
  <c r="J502"/>
  <c r="I502"/>
  <c r="H502"/>
  <c r="G502"/>
  <c r="F502"/>
  <c r="E502"/>
  <c r="D502"/>
  <c r="C502"/>
  <c r="B502"/>
  <c r="S502"/>
  <c r="R501"/>
  <c r="Q501"/>
  <c r="P501"/>
  <c r="O501"/>
  <c r="N501"/>
  <c r="M501"/>
  <c r="L501"/>
  <c r="K501"/>
  <c r="J501"/>
  <c r="I501"/>
  <c r="H501"/>
  <c r="G501"/>
  <c r="F501"/>
  <c r="E501"/>
  <c r="D501"/>
  <c r="C501"/>
  <c r="B501"/>
  <c r="S501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S3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S500"/>
  <c r="R500"/>
  <c r="Q500"/>
  <c r="P500"/>
  <c r="O500"/>
  <c r="N500"/>
  <c r="M500"/>
  <c r="L500"/>
  <c r="K500"/>
  <c r="J500"/>
  <c r="I500"/>
  <c r="H500"/>
  <c r="G500"/>
  <c r="F500"/>
  <c r="E500"/>
  <c r="D500"/>
  <c r="C500"/>
  <c r="B500"/>
  <c r="S499"/>
  <c r="R499"/>
  <c r="Q499"/>
  <c r="P499"/>
  <c r="O499"/>
  <c r="N499"/>
  <c r="M499"/>
  <c r="L499"/>
  <c r="K499"/>
  <c r="J499"/>
  <c r="I499"/>
  <c r="H499"/>
  <c r="G499"/>
  <c r="F499"/>
  <c r="E499"/>
  <c r="D499"/>
  <c r="C499"/>
  <c r="B499"/>
  <c r="S498"/>
  <c r="R358"/>
  <c r="Q358"/>
  <c r="P358"/>
  <c r="O358"/>
  <c r="N358"/>
  <c r="M358"/>
  <c r="L358"/>
  <c r="K358"/>
  <c r="J358"/>
  <c r="I358"/>
  <c r="H358"/>
  <c r="G358"/>
  <c r="F358"/>
  <c r="E358"/>
  <c r="D358"/>
  <c r="C358"/>
  <c r="B358"/>
  <c r="S497"/>
  <c r="R318"/>
  <c r="Q318"/>
  <c r="P318"/>
  <c r="O318"/>
  <c r="N318"/>
  <c r="M318"/>
  <c r="L318"/>
  <c r="K318"/>
  <c r="J318"/>
  <c r="I318"/>
  <c r="H318"/>
  <c r="G318"/>
  <c r="F318"/>
  <c r="E318"/>
  <c r="D318"/>
  <c r="C318"/>
  <c r="B318"/>
  <c r="S496"/>
  <c r="R442"/>
  <c r="Q442"/>
  <c r="P442"/>
  <c r="O442"/>
  <c r="N442"/>
  <c r="M442"/>
  <c r="L442"/>
  <c r="K442"/>
  <c r="J442"/>
  <c r="I442"/>
  <c r="H442"/>
  <c r="G442"/>
  <c r="F442"/>
  <c r="E442"/>
  <c r="D442"/>
  <c r="C442"/>
  <c r="B442"/>
  <c r="S495"/>
  <c r="R376"/>
  <c r="Q376"/>
  <c r="P376"/>
  <c r="O376"/>
  <c r="N376"/>
  <c r="M376"/>
  <c r="L376"/>
  <c r="K376"/>
  <c r="J376"/>
  <c r="I376"/>
  <c r="H376"/>
  <c r="G376"/>
  <c r="F376"/>
  <c r="E376"/>
  <c r="D376"/>
  <c r="C376"/>
  <c r="B376"/>
  <c r="S494"/>
  <c r="R71"/>
  <c r="Q71"/>
  <c r="P71"/>
  <c r="O71"/>
  <c r="N71"/>
  <c r="M71"/>
  <c r="L71"/>
  <c r="K71"/>
  <c r="J71"/>
  <c r="I71"/>
  <c r="H71"/>
  <c r="G71"/>
  <c r="F71"/>
  <c r="E71"/>
  <c r="D71"/>
  <c r="C71"/>
  <c r="B71"/>
  <c r="S493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S492"/>
  <c r="R498"/>
  <c r="Q498"/>
  <c r="P498"/>
  <c r="O498"/>
  <c r="N498"/>
  <c r="M498"/>
  <c r="L498"/>
  <c r="K498"/>
  <c r="J498"/>
  <c r="I498"/>
  <c r="H498"/>
  <c r="G498"/>
  <c r="F498"/>
  <c r="E498"/>
  <c r="D498"/>
  <c r="C498"/>
  <c r="B498"/>
  <c r="S491"/>
  <c r="R497"/>
  <c r="Q497"/>
  <c r="P497"/>
  <c r="O497"/>
  <c r="N497"/>
  <c r="M497"/>
  <c r="L497"/>
  <c r="K497"/>
  <c r="J497"/>
  <c r="I497"/>
  <c r="H497"/>
  <c r="G497"/>
  <c r="F497"/>
  <c r="E497"/>
  <c r="D497"/>
  <c r="C497"/>
  <c r="B497"/>
  <c r="S490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S489"/>
  <c r="R5"/>
  <c r="Q5"/>
  <c r="P5"/>
  <c r="O5"/>
  <c r="N5"/>
  <c r="M5"/>
  <c r="L5"/>
  <c r="K5"/>
  <c r="J5"/>
  <c r="I5"/>
  <c r="H5"/>
  <c r="G5"/>
  <c r="F5"/>
  <c r="E5"/>
  <c r="D5"/>
  <c r="C5"/>
  <c r="B5"/>
  <c r="S488"/>
  <c r="R496"/>
  <c r="Q496"/>
  <c r="P496"/>
  <c r="O496"/>
  <c r="N496"/>
  <c r="M496"/>
  <c r="L496"/>
  <c r="K496"/>
  <c r="J496"/>
  <c r="I496"/>
  <c r="H496"/>
  <c r="G496"/>
  <c r="F496"/>
  <c r="E496"/>
  <c r="D496"/>
  <c r="C496"/>
  <c r="B496"/>
  <c r="S487"/>
  <c r="R495"/>
  <c r="Q495"/>
  <c r="P495"/>
  <c r="O495"/>
  <c r="N495"/>
  <c r="M495"/>
  <c r="L495"/>
  <c r="K495"/>
  <c r="J495"/>
  <c r="I495"/>
  <c r="H495"/>
  <c r="G495"/>
  <c r="F495"/>
  <c r="E495"/>
  <c r="D495"/>
  <c r="C495"/>
  <c r="B495"/>
  <c r="S486"/>
  <c r="R419"/>
  <c r="Q419"/>
  <c r="P419"/>
  <c r="O419"/>
  <c r="N419"/>
  <c r="M419"/>
  <c r="L419"/>
  <c r="K419"/>
  <c r="J419"/>
  <c r="I419"/>
  <c r="H419"/>
  <c r="G419"/>
  <c r="F419"/>
  <c r="E419"/>
  <c r="D419"/>
  <c r="C419"/>
  <c r="B419"/>
  <c r="S4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S484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S483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S482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S481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S480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S47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S478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S477"/>
  <c r="R324"/>
  <c r="Q324"/>
  <c r="P324"/>
  <c r="O324"/>
  <c r="N324"/>
  <c r="M324"/>
  <c r="L324"/>
  <c r="K324"/>
  <c r="J324"/>
  <c r="I324"/>
  <c r="H324"/>
  <c r="G324"/>
  <c r="F324"/>
  <c r="E324"/>
  <c r="D324"/>
  <c r="C324"/>
  <c r="B324"/>
  <c r="S476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S475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S474"/>
  <c r="R485"/>
  <c r="Q485"/>
  <c r="P485"/>
  <c r="O485"/>
  <c r="N485"/>
  <c r="M485"/>
  <c r="L485"/>
  <c r="K485"/>
  <c r="J485"/>
  <c r="I485"/>
  <c r="H485"/>
  <c r="G485"/>
  <c r="F485"/>
  <c r="E485"/>
  <c r="D485"/>
  <c r="C485"/>
  <c r="B485"/>
  <c r="S473"/>
  <c r="R404"/>
  <c r="Q404"/>
  <c r="P404"/>
  <c r="O404"/>
  <c r="N404"/>
  <c r="M404"/>
  <c r="L404"/>
  <c r="K404"/>
  <c r="J404"/>
  <c r="I404"/>
  <c r="H404"/>
  <c r="G404"/>
  <c r="F404"/>
  <c r="E404"/>
  <c r="D404"/>
  <c r="C404"/>
  <c r="B404"/>
  <c r="S472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S471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S470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S469"/>
  <c r="R330"/>
  <c r="Q330"/>
  <c r="P330"/>
  <c r="O330"/>
  <c r="N330"/>
  <c r="M330"/>
  <c r="L330"/>
  <c r="K330"/>
  <c r="J330"/>
  <c r="I330"/>
  <c r="H330"/>
  <c r="G330"/>
  <c r="F330"/>
  <c r="E330"/>
  <c r="D330"/>
  <c r="C330"/>
  <c r="B330"/>
  <c r="S468"/>
  <c r="R336"/>
  <c r="Q336"/>
  <c r="P336"/>
  <c r="O336"/>
  <c r="N336"/>
  <c r="M336"/>
  <c r="L336"/>
  <c r="K336"/>
  <c r="J336"/>
  <c r="I336"/>
  <c r="H336"/>
  <c r="G336"/>
  <c r="F336"/>
  <c r="E336"/>
  <c r="D336"/>
  <c r="C336"/>
  <c r="B336"/>
  <c r="S467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S466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S465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S46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S463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S462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S461"/>
  <c r="R438"/>
  <c r="Q438"/>
  <c r="P438"/>
  <c r="O438"/>
  <c r="N438"/>
  <c r="M438"/>
  <c r="L438"/>
  <c r="K438"/>
  <c r="J438"/>
  <c r="I438"/>
  <c r="H438"/>
  <c r="G438"/>
  <c r="F438"/>
  <c r="E438"/>
  <c r="D438"/>
  <c r="C438"/>
  <c r="B438"/>
  <c r="S460"/>
  <c r="R48"/>
  <c r="Q48"/>
  <c r="P48"/>
  <c r="O48"/>
  <c r="N48"/>
  <c r="M48"/>
  <c r="L48"/>
  <c r="K48"/>
  <c r="J48"/>
  <c r="I48"/>
  <c r="H48"/>
  <c r="G48"/>
  <c r="F48"/>
  <c r="E48"/>
  <c r="D48"/>
  <c r="C48"/>
  <c r="B48"/>
  <c r="S459"/>
  <c r="R421"/>
  <c r="Q421"/>
  <c r="P421"/>
  <c r="O421"/>
  <c r="N421"/>
  <c r="M421"/>
  <c r="L421"/>
  <c r="K421"/>
  <c r="J421"/>
  <c r="I421"/>
  <c r="H421"/>
  <c r="G421"/>
  <c r="F421"/>
  <c r="E421"/>
  <c r="D421"/>
  <c r="C421"/>
  <c r="B421"/>
  <c r="S458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S457"/>
  <c r="R85"/>
  <c r="Q85"/>
  <c r="P85"/>
  <c r="O85"/>
  <c r="N85"/>
  <c r="M85"/>
  <c r="L85"/>
  <c r="K85"/>
  <c r="J85"/>
  <c r="I85"/>
  <c r="H85"/>
  <c r="G85"/>
  <c r="F85"/>
  <c r="E85"/>
  <c r="D85"/>
  <c r="C85"/>
  <c r="B85"/>
  <c r="S456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S455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S454"/>
  <c r="R8"/>
  <c r="Q8"/>
  <c r="P8"/>
  <c r="O8"/>
  <c r="N8"/>
  <c r="M8"/>
  <c r="L8"/>
  <c r="K8"/>
  <c r="J8"/>
  <c r="I8"/>
  <c r="H8"/>
  <c r="G8"/>
  <c r="F8"/>
  <c r="E8"/>
  <c r="D8"/>
  <c r="C8"/>
  <c r="B8"/>
  <c r="S453"/>
  <c r="R379"/>
  <c r="Q379"/>
  <c r="P379"/>
  <c r="O379"/>
  <c r="N379"/>
  <c r="M379"/>
  <c r="L379"/>
  <c r="K379"/>
  <c r="J379"/>
  <c r="I379"/>
  <c r="H379"/>
  <c r="G379"/>
  <c r="F379"/>
  <c r="E379"/>
  <c r="D379"/>
  <c r="C379"/>
  <c r="B379"/>
  <c r="S452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S451"/>
  <c r="R326"/>
  <c r="Q326"/>
  <c r="P326"/>
  <c r="O326"/>
  <c r="N326"/>
  <c r="M326"/>
  <c r="L326"/>
  <c r="K326"/>
  <c r="J326"/>
  <c r="I326"/>
  <c r="H326"/>
  <c r="G326"/>
  <c r="F326"/>
  <c r="E326"/>
  <c r="D326"/>
  <c r="C326"/>
  <c r="B326"/>
  <c r="S450"/>
  <c r="R375"/>
  <c r="Q375"/>
  <c r="P375"/>
  <c r="O375"/>
  <c r="N375"/>
  <c r="M375"/>
  <c r="L375"/>
  <c r="K375"/>
  <c r="J375"/>
  <c r="I375"/>
  <c r="H375"/>
  <c r="G375"/>
  <c r="F375"/>
  <c r="E375"/>
  <c r="D375"/>
  <c r="C375"/>
  <c r="B375"/>
  <c r="S449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S448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S447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S446"/>
  <c r="R88"/>
  <c r="Q88"/>
  <c r="P88"/>
  <c r="O88"/>
  <c r="N88"/>
  <c r="M88"/>
  <c r="L88"/>
  <c r="K88"/>
  <c r="J88"/>
  <c r="I88"/>
  <c r="H88"/>
  <c r="G88"/>
  <c r="F88"/>
  <c r="E88"/>
  <c r="D88"/>
  <c r="C88"/>
  <c r="B88"/>
  <c r="S445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S444"/>
  <c r="R89"/>
  <c r="Q89"/>
  <c r="P89"/>
  <c r="O89"/>
  <c r="N89"/>
  <c r="M89"/>
  <c r="L89"/>
  <c r="K89"/>
  <c r="J89"/>
  <c r="I89"/>
  <c r="H89"/>
  <c r="G89"/>
  <c r="F89"/>
  <c r="E89"/>
  <c r="D89"/>
  <c r="C89"/>
  <c r="B89"/>
  <c r="S443"/>
  <c r="R363"/>
  <c r="Q363"/>
  <c r="P363"/>
  <c r="O363"/>
  <c r="N363"/>
  <c r="M363"/>
  <c r="L363"/>
  <c r="K363"/>
  <c r="J363"/>
  <c r="I363"/>
  <c r="H363"/>
  <c r="G363"/>
  <c r="F363"/>
  <c r="E363"/>
  <c r="D363"/>
  <c r="C363"/>
  <c r="B363"/>
  <c r="S442"/>
  <c r="R431"/>
  <c r="Q431"/>
  <c r="P431"/>
  <c r="O431"/>
  <c r="N431"/>
  <c r="M431"/>
  <c r="L431"/>
  <c r="K431"/>
  <c r="J431"/>
  <c r="I431"/>
  <c r="H431"/>
  <c r="G431"/>
  <c r="F431"/>
  <c r="E431"/>
  <c r="D431"/>
  <c r="C431"/>
  <c r="B431"/>
  <c r="S441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S440"/>
  <c r="R372"/>
  <c r="Q372"/>
  <c r="P372"/>
  <c r="O372"/>
  <c r="N372"/>
  <c r="M372"/>
  <c r="L372"/>
  <c r="K372"/>
  <c r="J372"/>
  <c r="I372"/>
  <c r="H372"/>
  <c r="G372"/>
  <c r="F372"/>
  <c r="E372"/>
  <c r="D372"/>
  <c r="C372"/>
  <c r="B372"/>
  <c r="S439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S438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S437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S436"/>
  <c r="R331"/>
  <c r="Q331"/>
  <c r="P331"/>
  <c r="O331"/>
  <c r="N331"/>
  <c r="M331"/>
  <c r="L331"/>
  <c r="K331"/>
  <c r="J331"/>
  <c r="I331"/>
  <c r="H331"/>
  <c r="G331"/>
  <c r="F331"/>
  <c r="E331"/>
  <c r="D331"/>
  <c r="C331"/>
  <c r="B331"/>
  <c r="S435"/>
  <c r="R457"/>
  <c r="Q457"/>
  <c r="P457"/>
  <c r="O457"/>
  <c r="N457"/>
  <c r="M457"/>
  <c r="L457"/>
  <c r="K457"/>
  <c r="J457"/>
  <c r="I457"/>
  <c r="H457"/>
  <c r="G457"/>
  <c r="F457"/>
  <c r="E457"/>
  <c r="D457"/>
  <c r="C457"/>
  <c r="B457"/>
  <c r="S434"/>
  <c r="R494"/>
  <c r="Q494"/>
  <c r="P494"/>
  <c r="O494"/>
  <c r="N494"/>
  <c r="M494"/>
  <c r="L494"/>
  <c r="K494"/>
  <c r="J494"/>
  <c r="I494"/>
  <c r="H494"/>
  <c r="G494"/>
  <c r="F494"/>
  <c r="E494"/>
  <c r="D494"/>
  <c r="C494"/>
  <c r="B494"/>
  <c r="S433"/>
  <c r="R451"/>
  <c r="Q451"/>
  <c r="P451"/>
  <c r="O451"/>
  <c r="N451"/>
  <c r="M451"/>
  <c r="L451"/>
  <c r="K451"/>
  <c r="J451"/>
  <c r="I451"/>
  <c r="H451"/>
  <c r="G451"/>
  <c r="F451"/>
  <c r="E451"/>
  <c r="D451"/>
  <c r="C451"/>
  <c r="B451"/>
  <c r="S432"/>
  <c r="R392"/>
  <c r="Q392"/>
  <c r="P392"/>
  <c r="O392"/>
  <c r="N392"/>
  <c r="M392"/>
  <c r="L392"/>
  <c r="K392"/>
  <c r="J392"/>
  <c r="I392"/>
  <c r="H392"/>
  <c r="G392"/>
  <c r="F392"/>
  <c r="E392"/>
  <c r="D392"/>
  <c r="C392"/>
  <c r="B392"/>
  <c r="S431"/>
  <c r="R44"/>
  <c r="Q44"/>
  <c r="P44"/>
  <c r="O44"/>
  <c r="N44"/>
  <c r="M44"/>
  <c r="L44"/>
  <c r="K44"/>
  <c r="J44"/>
  <c r="I44"/>
  <c r="H44"/>
  <c r="G44"/>
  <c r="F44"/>
  <c r="E44"/>
  <c r="D44"/>
  <c r="C44"/>
  <c r="B44"/>
  <c r="S430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S429"/>
  <c r="R432"/>
  <c r="Q432"/>
  <c r="P432"/>
  <c r="O432"/>
  <c r="N432"/>
  <c r="M432"/>
  <c r="L432"/>
  <c r="K432"/>
  <c r="J432"/>
  <c r="I432"/>
  <c r="H432"/>
  <c r="G432"/>
  <c r="F432"/>
  <c r="E432"/>
  <c r="D432"/>
  <c r="C432"/>
  <c r="B432"/>
  <c r="S428"/>
  <c r="R353"/>
  <c r="Q353"/>
  <c r="P353"/>
  <c r="O353"/>
  <c r="N353"/>
  <c r="M353"/>
  <c r="L353"/>
  <c r="K353"/>
  <c r="J353"/>
  <c r="I353"/>
  <c r="H353"/>
  <c r="G353"/>
  <c r="F353"/>
  <c r="E353"/>
  <c r="D353"/>
  <c r="C353"/>
  <c r="B353"/>
  <c r="S427"/>
  <c r="R429"/>
  <c r="Q429"/>
  <c r="P429"/>
  <c r="O429"/>
  <c r="N429"/>
  <c r="M429"/>
  <c r="L429"/>
  <c r="K429"/>
  <c r="J429"/>
  <c r="I429"/>
  <c r="H429"/>
  <c r="G429"/>
  <c r="F429"/>
  <c r="E429"/>
  <c r="D429"/>
  <c r="C429"/>
  <c r="B429"/>
  <c r="S426"/>
  <c r="R418"/>
  <c r="Q418"/>
  <c r="P418"/>
  <c r="O418"/>
  <c r="N418"/>
  <c r="M418"/>
  <c r="L418"/>
  <c r="K418"/>
  <c r="J418"/>
  <c r="I418"/>
  <c r="H418"/>
  <c r="G418"/>
  <c r="F418"/>
  <c r="E418"/>
  <c r="D418"/>
  <c r="C418"/>
  <c r="B418"/>
  <c r="S425"/>
  <c r="R414"/>
  <c r="Q414"/>
  <c r="P414"/>
  <c r="O414"/>
  <c r="N414"/>
  <c r="M414"/>
  <c r="L414"/>
  <c r="K414"/>
  <c r="J414"/>
  <c r="I414"/>
  <c r="H414"/>
  <c r="G414"/>
  <c r="F414"/>
  <c r="E414"/>
  <c r="D414"/>
  <c r="C414"/>
  <c r="B414"/>
  <c r="S424"/>
  <c r="R420"/>
  <c r="Q420"/>
  <c r="P420"/>
  <c r="O420"/>
  <c r="N420"/>
  <c r="M420"/>
  <c r="L420"/>
  <c r="K420"/>
  <c r="J420"/>
  <c r="I420"/>
  <c r="H420"/>
  <c r="G420"/>
  <c r="F420"/>
  <c r="E420"/>
  <c r="D420"/>
  <c r="C420"/>
  <c r="B420"/>
  <c r="S423"/>
  <c r="R49"/>
  <c r="Q49"/>
  <c r="P49"/>
  <c r="O49"/>
  <c r="N49"/>
  <c r="M49"/>
  <c r="L49"/>
  <c r="K49"/>
  <c r="J49"/>
  <c r="I49"/>
  <c r="H49"/>
  <c r="G49"/>
  <c r="F49"/>
  <c r="E49"/>
  <c r="D49"/>
  <c r="C49"/>
  <c r="B49"/>
  <c r="S422"/>
  <c r="R440"/>
  <c r="Q440"/>
  <c r="P440"/>
  <c r="O440"/>
  <c r="N440"/>
  <c r="M440"/>
  <c r="L440"/>
  <c r="K440"/>
  <c r="J440"/>
  <c r="I440"/>
  <c r="H440"/>
  <c r="G440"/>
  <c r="F440"/>
  <c r="E440"/>
  <c r="D440"/>
  <c r="C440"/>
  <c r="B440"/>
  <c r="S421"/>
  <c r="R473"/>
  <c r="Q473"/>
  <c r="P473"/>
  <c r="O473"/>
  <c r="N473"/>
  <c r="M473"/>
  <c r="L473"/>
  <c r="K473"/>
  <c r="J473"/>
  <c r="I473"/>
  <c r="H473"/>
  <c r="G473"/>
  <c r="F473"/>
  <c r="E473"/>
  <c r="D473"/>
  <c r="C473"/>
  <c r="B473"/>
  <c r="S420"/>
  <c r="R474"/>
  <c r="Q474"/>
  <c r="P474"/>
  <c r="O474"/>
  <c r="N474"/>
  <c r="M474"/>
  <c r="L474"/>
  <c r="K474"/>
  <c r="J474"/>
  <c r="I474"/>
  <c r="H474"/>
  <c r="G474"/>
  <c r="F474"/>
  <c r="E474"/>
  <c r="D474"/>
  <c r="C474"/>
  <c r="B474"/>
  <c r="S419"/>
  <c r="R362"/>
  <c r="Q362"/>
  <c r="P362"/>
  <c r="O362"/>
  <c r="N362"/>
  <c r="M362"/>
  <c r="L362"/>
  <c r="K362"/>
  <c r="J362"/>
  <c r="I362"/>
  <c r="H362"/>
  <c r="G362"/>
  <c r="F362"/>
  <c r="E362"/>
  <c r="D362"/>
  <c r="C362"/>
  <c r="B362"/>
  <c r="S418"/>
  <c r="R464"/>
  <c r="Q464"/>
  <c r="P464"/>
  <c r="O464"/>
  <c r="N464"/>
  <c r="M464"/>
  <c r="L464"/>
  <c r="K464"/>
  <c r="J464"/>
  <c r="I464"/>
  <c r="H464"/>
  <c r="G464"/>
  <c r="F464"/>
  <c r="E464"/>
  <c r="D464"/>
  <c r="C464"/>
  <c r="B464"/>
  <c r="S417"/>
  <c r="R447"/>
  <c r="Q447"/>
  <c r="P447"/>
  <c r="O447"/>
  <c r="N447"/>
  <c r="M447"/>
  <c r="L447"/>
  <c r="K447"/>
  <c r="J447"/>
  <c r="I447"/>
  <c r="H447"/>
  <c r="G447"/>
  <c r="F447"/>
  <c r="E447"/>
  <c r="D447"/>
  <c r="C447"/>
  <c r="B447"/>
  <c r="S416"/>
  <c r="R493"/>
  <c r="Q493"/>
  <c r="P493"/>
  <c r="O493"/>
  <c r="N493"/>
  <c r="M493"/>
  <c r="L493"/>
  <c r="K493"/>
  <c r="J493"/>
  <c r="I493"/>
  <c r="H493"/>
  <c r="G493"/>
  <c r="F493"/>
  <c r="E493"/>
  <c r="D493"/>
  <c r="C493"/>
  <c r="B493"/>
  <c r="S415"/>
  <c r="R492"/>
  <c r="Q492"/>
  <c r="P492"/>
  <c r="O492"/>
  <c r="N492"/>
  <c r="M492"/>
  <c r="L492"/>
  <c r="K492"/>
  <c r="J492"/>
  <c r="I492"/>
  <c r="H492"/>
  <c r="G492"/>
  <c r="F492"/>
  <c r="E492"/>
  <c r="D492"/>
  <c r="C492"/>
  <c r="B492"/>
  <c r="S414"/>
  <c r="R407"/>
  <c r="Q407"/>
  <c r="P407"/>
  <c r="O407"/>
  <c r="N407"/>
  <c r="M407"/>
  <c r="L407"/>
  <c r="K407"/>
  <c r="J407"/>
  <c r="I407"/>
  <c r="H407"/>
  <c r="G407"/>
  <c r="F407"/>
  <c r="E407"/>
  <c r="D407"/>
  <c r="C407"/>
  <c r="B407"/>
  <c r="S413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S412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S411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S410"/>
  <c r="R11"/>
  <c r="Q11"/>
  <c r="P11"/>
  <c r="O11"/>
  <c r="N11"/>
  <c r="M11"/>
  <c r="L11"/>
  <c r="K11"/>
  <c r="J11"/>
  <c r="I11"/>
  <c r="H11"/>
  <c r="G11"/>
  <c r="F11"/>
  <c r="E11"/>
  <c r="D11"/>
  <c r="C11"/>
  <c r="B11"/>
  <c r="S409"/>
  <c r="R409"/>
  <c r="Q409"/>
  <c r="P409"/>
  <c r="O409"/>
  <c r="N409"/>
  <c r="M409"/>
  <c r="L409"/>
  <c r="K409"/>
  <c r="J409"/>
  <c r="I409"/>
  <c r="H409"/>
  <c r="G409"/>
  <c r="F409"/>
  <c r="E409"/>
  <c r="D409"/>
  <c r="C409"/>
  <c r="B409"/>
  <c r="S408"/>
  <c r="R10"/>
  <c r="Q10"/>
  <c r="P10"/>
  <c r="O10"/>
  <c r="N10"/>
  <c r="M10"/>
  <c r="L10"/>
  <c r="K10"/>
  <c r="J10"/>
  <c r="I10"/>
  <c r="H10"/>
  <c r="G10"/>
  <c r="F10"/>
  <c r="E10"/>
  <c r="D10"/>
  <c r="C10"/>
  <c r="B10"/>
  <c r="S407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S406"/>
  <c r="R402"/>
  <c r="Q402"/>
  <c r="P402"/>
  <c r="O402"/>
  <c r="N402"/>
  <c r="M402"/>
  <c r="L402"/>
  <c r="K402"/>
  <c r="J402"/>
  <c r="I402"/>
  <c r="H402"/>
  <c r="G402"/>
  <c r="F402"/>
  <c r="E402"/>
  <c r="D402"/>
  <c r="C402"/>
  <c r="B402"/>
  <c r="S405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S404"/>
  <c r="R444"/>
  <c r="Q444"/>
  <c r="P444"/>
  <c r="O444"/>
  <c r="N444"/>
  <c r="M444"/>
  <c r="L444"/>
  <c r="K444"/>
  <c r="J444"/>
  <c r="I444"/>
  <c r="H444"/>
  <c r="G444"/>
  <c r="F444"/>
  <c r="E444"/>
  <c r="D444"/>
  <c r="C444"/>
  <c r="B444"/>
  <c r="S403"/>
  <c r="R383"/>
  <c r="Q383"/>
  <c r="P383"/>
  <c r="O383"/>
  <c r="N383"/>
  <c r="M383"/>
  <c r="L383"/>
  <c r="K383"/>
  <c r="J383"/>
  <c r="I383"/>
  <c r="H383"/>
  <c r="G383"/>
  <c r="F383"/>
  <c r="E383"/>
  <c r="D383"/>
  <c r="C383"/>
  <c r="B383"/>
  <c r="S402"/>
  <c r="R50"/>
  <c r="Q50"/>
  <c r="P50"/>
  <c r="O50"/>
  <c r="N50"/>
  <c r="M50"/>
  <c r="L50"/>
  <c r="K50"/>
  <c r="J50"/>
  <c r="I50"/>
  <c r="H50"/>
  <c r="G50"/>
  <c r="F50"/>
  <c r="E50"/>
  <c r="D50"/>
  <c r="C50"/>
  <c r="B50"/>
  <c r="S401"/>
  <c r="R7"/>
  <c r="Q7"/>
  <c r="P7"/>
  <c r="O7"/>
  <c r="N7"/>
  <c r="M7"/>
  <c r="L7"/>
  <c r="K7"/>
  <c r="J7"/>
  <c r="I7"/>
  <c r="H7"/>
  <c r="G7"/>
  <c r="F7"/>
  <c r="E7"/>
  <c r="D7"/>
  <c r="C7"/>
  <c r="B7"/>
  <c r="S400"/>
  <c r="R446"/>
  <c r="Q446"/>
  <c r="P446"/>
  <c r="O446"/>
  <c r="N446"/>
  <c r="M446"/>
  <c r="L446"/>
  <c r="K446"/>
  <c r="J446"/>
  <c r="I446"/>
  <c r="H446"/>
  <c r="G446"/>
  <c r="F446"/>
  <c r="E446"/>
  <c r="D446"/>
  <c r="C446"/>
  <c r="B446"/>
  <c r="S399"/>
  <c r="R40"/>
  <c r="Q40"/>
  <c r="P40"/>
  <c r="O40"/>
  <c r="N40"/>
  <c r="M40"/>
  <c r="L40"/>
  <c r="K40"/>
  <c r="J40"/>
  <c r="I40"/>
  <c r="H40"/>
  <c r="G40"/>
  <c r="F40"/>
  <c r="E40"/>
  <c r="D40"/>
  <c r="C40"/>
  <c r="B40"/>
  <c r="S398"/>
  <c r="R398"/>
  <c r="Q398"/>
  <c r="P398"/>
  <c r="O398"/>
  <c r="N398"/>
  <c r="M398"/>
  <c r="L398"/>
  <c r="K398"/>
  <c r="J398"/>
  <c r="I398"/>
  <c r="H398"/>
  <c r="G398"/>
  <c r="F398"/>
  <c r="E398"/>
  <c r="D398"/>
  <c r="C398"/>
  <c r="B398"/>
  <c r="S397"/>
  <c r="R491"/>
  <c r="Q491"/>
  <c r="P491"/>
  <c r="O491"/>
  <c r="N491"/>
  <c r="M491"/>
  <c r="L491"/>
  <c r="K491"/>
  <c r="J491"/>
  <c r="I491"/>
  <c r="H491"/>
  <c r="G491"/>
  <c r="F491"/>
  <c r="E491"/>
  <c r="D491"/>
  <c r="C491"/>
  <c r="B491"/>
  <c r="S396"/>
  <c r="R415"/>
  <c r="Q415"/>
  <c r="P415"/>
  <c r="O415"/>
  <c r="N415"/>
  <c r="M415"/>
  <c r="L415"/>
  <c r="K415"/>
  <c r="J415"/>
  <c r="I415"/>
  <c r="H415"/>
  <c r="G415"/>
  <c r="F415"/>
  <c r="E415"/>
  <c r="D415"/>
  <c r="C415"/>
  <c r="B415"/>
  <c r="S395"/>
  <c r="R423"/>
  <c r="Q423"/>
  <c r="P423"/>
  <c r="O423"/>
  <c r="N423"/>
  <c r="M423"/>
  <c r="L423"/>
  <c r="K423"/>
  <c r="J423"/>
  <c r="I423"/>
  <c r="H423"/>
  <c r="G423"/>
  <c r="F423"/>
  <c r="E423"/>
  <c r="D423"/>
  <c r="C423"/>
  <c r="B423"/>
  <c r="S394"/>
  <c r="R434"/>
  <c r="Q434"/>
  <c r="P434"/>
  <c r="O434"/>
  <c r="N434"/>
  <c r="M434"/>
  <c r="L434"/>
  <c r="K434"/>
  <c r="J434"/>
  <c r="I434"/>
  <c r="H434"/>
  <c r="G434"/>
  <c r="F434"/>
  <c r="E434"/>
  <c r="D434"/>
  <c r="C434"/>
  <c r="B434"/>
  <c r="S393"/>
  <c r="R428"/>
  <c r="Q428"/>
  <c r="P428"/>
  <c r="O428"/>
  <c r="N428"/>
  <c r="M428"/>
  <c r="L428"/>
  <c r="K428"/>
  <c r="J428"/>
  <c r="I428"/>
  <c r="H428"/>
  <c r="G428"/>
  <c r="F428"/>
  <c r="E428"/>
  <c r="D428"/>
  <c r="C428"/>
  <c r="B428"/>
  <c r="S39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S391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S390"/>
  <c r="R490"/>
  <c r="Q490"/>
  <c r="P490"/>
  <c r="O490"/>
  <c r="N490"/>
  <c r="M490"/>
  <c r="L490"/>
  <c r="K490"/>
  <c r="J490"/>
  <c r="I490"/>
  <c r="H490"/>
  <c r="G490"/>
  <c r="F490"/>
  <c r="E490"/>
  <c r="D490"/>
  <c r="C490"/>
  <c r="B490"/>
  <c r="S389"/>
  <c r="R459"/>
  <c r="Q459"/>
  <c r="P459"/>
  <c r="O459"/>
  <c r="N459"/>
  <c r="M459"/>
  <c r="L459"/>
  <c r="K459"/>
  <c r="J459"/>
  <c r="I459"/>
  <c r="H459"/>
  <c r="G459"/>
  <c r="F459"/>
  <c r="E459"/>
  <c r="D459"/>
  <c r="C459"/>
  <c r="B459"/>
  <c r="S38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S387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S386"/>
  <c r="R65"/>
  <c r="Q65"/>
  <c r="P65"/>
  <c r="O65"/>
  <c r="N65"/>
  <c r="M65"/>
  <c r="L65"/>
  <c r="K65"/>
  <c r="J65"/>
  <c r="I65"/>
  <c r="H65"/>
  <c r="G65"/>
  <c r="F65"/>
  <c r="E65"/>
  <c r="D65"/>
  <c r="C65"/>
  <c r="B65"/>
  <c r="S385"/>
  <c r="R55"/>
  <c r="Q55"/>
  <c r="P55"/>
  <c r="O55"/>
  <c r="N55"/>
  <c r="M55"/>
  <c r="L55"/>
  <c r="K55"/>
  <c r="J55"/>
  <c r="I55"/>
  <c r="H55"/>
  <c r="G55"/>
  <c r="F55"/>
  <c r="E55"/>
  <c r="D55"/>
  <c r="C55"/>
  <c r="B55"/>
  <c r="S38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S383"/>
  <c r="R455"/>
  <c r="Q455"/>
  <c r="P455"/>
  <c r="O455"/>
  <c r="N455"/>
  <c r="M455"/>
  <c r="L455"/>
  <c r="K455"/>
  <c r="J455"/>
  <c r="I455"/>
  <c r="H455"/>
  <c r="G455"/>
  <c r="F455"/>
  <c r="E455"/>
  <c r="D455"/>
  <c r="C455"/>
  <c r="B455"/>
  <c r="S382"/>
  <c r="R449"/>
  <c r="Q449"/>
  <c r="P449"/>
  <c r="O449"/>
  <c r="N449"/>
  <c r="M449"/>
  <c r="L449"/>
  <c r="K449"/>
  <c r="J449"/>
  <c r="I449"/>
  <c r="H449"/>
  <c r="G449"/>
  <c r="F449"/>
  <c r="E449"/>
  <c r="D449"/>
  <c r="C449"/>
  <c r="B449"/>
  <c r="S381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S380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S379"/>
  <c r="R439"/>
  <c r="Q439"/>
  <c r="P439"/>
  <c r="O439"/>
  <c r="N439"/>
  <c r="M439"/>
  <c r="L439"/>
  <c r="K439"/>
  <c r="J439"/>
  <c r="I439"/>
  <c r="H439"/>
  <c r="G439"/>
  <c r="F439"/>
  <c r="E439"/>
  <c r="D439"/>
  <c r="C439"/>
  <c r="B439"/>
  <c r="S378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S377"/>
  <c r="R416"/>
  <c r="Q416"/>
  <c r="P416"/>
  <c r="O416"/>
  <c r="N416"/>
  <c r="M416"/>
  <c r="L416"/>
  <c r="K416"/>
  <c r="J416"/>
  <c r="I416"/>
  <c r="H416"/>
  <c r="G416"/>
  <c r="F416"/>
  <c r="E416"/>
  <c r="D416"/>
  <c r="C416"/>
  <c r="B416"/>
  <c r="S376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S375"/>
  <c r="R390"/>
  <c r="Q390"/>
  <c r="P390"/>
  <c r="O390"/>
  <c r="N390"/>
  <c r="M390"/>
  <c r="L390"/>
  <c r="K390"/>
  <c r="J390"/>
  <c r="I390"/>
  <c r="H390"/>
  <c r="G390"/>
  <c r="F390"/>
  <c r="E390"/>
  <c r="D390"/>
  <c r="C390"/>
  <c r="B390"/>
  <c r="S37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S373"/>
  <c r="R489"/>
  <c r="Q489"/>
  <c r="P489"/>
  <c r="O489"/>
  <c r="N489"/>
  <c r="M489"/>
  <c r="L489"/>
  <c r="K489"/>
  <c r="J489"/>
  <c r="I489"/>
  <c r="H489"/>
  <c r="G489"/>
  <c r="F489"/>
  <c r="E489"/>
  <c r="D489"/>
  <c r="C489"/>
  <c r="B489"/>
  <c r="S372"/>
  <c r="R472"/>
  <c r="Q472"/>
  <c r="P472"/>
  <c r="O472"/>
  <c r="N472"/>
  <c r="M472"/>
  <c r="L472"/>
  <c r="K472"/>
  <c r="J472"/>
  <c r="I472"/>
  <c r="H472"/>
  <c r="G472"/>
  <c r="F472"/>
  <c r="E472"/>
  <c r="D472"/>
  <c r="C472"/>
  <c r="B472"/>
  <c r="S371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S370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S369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S368"/>
  <c r="R396"/>
  <c r="Q396"/>
  <c r="P396"/>
  <c r="O396"/>
  <c r="N396"/>
  <c r="M396"/>
  <c r="L396"/>
  <c r="K396"/>
  <c r="J396"/>
  <c r="I396"/>
  <c r="H396"/>
  <c r="G396"/>
  <c r="F396"/>
  <c r="E396"/>
  <c r="D396"/>
  <c r="C396"/>
  <c r="B396"/>
  <c r="S367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S366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S365"/>
  <c r="R327"/>
  <c r="Q327"/>
  <c r="P327"/>
  <c r="O327"/>
  <c r="N327"/>
  <c r="M327"/>
  <c r="L327"/>
  <c r="K327"/>
  <c r="J327"/>
  <c r="I327"/>
  <c r="H327"/>
  <c r="G327"/>
  <c r="F327"/>
  <c r="E327"/>
  <c r="D327"/>
  <c r="C327"/>
  <c r="B327"/>
  <c r="S364"/>
  <c r="R78"/>
  <c r="Q78"/>
  <c r="P78"/>
  <c r="O78"/>
  <c r="N78"/>
  <c r="M78"/>
  <c r="L78"/>
  <c r="K78"/>
  <c r="J78"/>
  <c r="I78"/>
  <c r="H78"/>
  <c r="G78"/>
  <c r="F78"/>
  <c r="E78"/>
  <c r="D78"/>
  <c r="C78"/>
  <c r="B78"/>
  <c r="S363"/>
  <c r="R433"/>
  <c r="Q433"/>
  <c r="P433"/>
  <c r="O433"/>
  <c r="N433"/>
  <c r="M433"/>
  <c r="L433"/>
  <c r="K433"/>
  <c r="J433"/>
  <c r="I433"/>
  <c r="H433"/>
  <c r="G433"/>
  <c r="F433"/>
  <c r="E433"/>
  <c r="D433"/>
  <c r="C433"/>
  <c r="B433"/>
  <c r="S362"/>
  <c r="R333"/>
  <c r="Q333"/>
  <c r="P333"/>
  <c r="O333"/>
  <c r="N333"/>
  <c r="M333"/>
  <c r="L333"/>
  <c r="K333"/>
  <c r="J333"/>
  <c r="I333"/>
  <c r="H333"/>
  <c r="G333"/>
  <c r="F333"/>
  <c r="E333"/>
  <c r="D333"/>
  <c r="C333"/>
  <c r="B333"/>
  <c r="S361"/>
  <c r="R480"/>
  <c r="Q480"/>
  <c r="P480"/>
  <c r="O480"/>
  <c r="N480"/>
  <c r="M480"/>
  <c r="L480"/>
  <c r="K480"/>
  <c r="J480"/>
  <c r="I480"/>
  <c r="H480"/>
  <c r="G480"/>
  <c r="F480"/>
  <c r="E480"/>
  <c r="D480"/>
  <c r="C480"/>
  <c r="B480"/>
  <c r="S360"/>
  <c r="R476"/>
  <c r="Q476"/>
  <c r="P476"/>
  <c r="O476"/>
  <c r="N476"/>
  <c r="M476"/>
  <c r="L476"/>
  <c r="K476"/>
  <c r="J476"/>
  <c r="I476"/>
  <c r="H476"/>
  <c r="G476"/>
  <c r="F476"/>
  <c r="E476"/>
  <c r="D476"/>
  <c r="C476"/>
  <c r="B476"/>
  <c r="S359"/>
  <c r="R400"/>
  <c r="Q400"/>
  <c r="P400"/>
  <c r="O400"/>
  <c r="N400"/>
  <c r="M400"/>
  <c r="L400"/>
  <c r="K400"/>
  <c r="J400"/>
  <c r="I400"/>
  <c r="H400"/>
  <c r="G400"/>
  <c r="F400"/>
  <c r="E400"/>
  <c r="D400"/>
  <c r="C400"/>
  <c r="B400"/>
  <c r="S358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S357"/>
  <c r="R417"/>
  <c r="Q417"/>
  <c r="P417"/>
  <c r="O417"/>
  <c r="N417"/>
  <c r="M417"/>
  <c r="L417"/>
  <c r="K417"/>
  <c r="J417"/>
  <c r="I417"/>
  <c r="H417"/>
  <c r="G417"/>
  <c r="F417"/>
  <c r="E417"/>
  <c r="D417"/>
  <c r="C417"/>
  <c r="B417"/>
  <c r="S356"/>
  <c r="R23"/>
  <c r="Q23"/>
  <c r="P23"/>
  <c r="O23"/>
  <c r="N23"/>
  <c r="M23"/>
  <c r="L23"/>
  <c r="K23"/>
  <c r="J23"/>
  <c r="I23"/>
  <c r="H23"/>
  <c r="G23"/>
  <c r="F23"/>
  <c r="E23"/>
  <c r="D23"/>
  <c r="C23"/>
  <c r="B23"/>
  <c r="S355"/>
  <c r="R410"/>
  <c r="Q410"/>
  <c r="P410"/>
  <c r="O410"/>
  <c r="N410"/>
  <c r="M410"/>
  <c r="L410"/>
  <c r="K410"/>
  <c r="J410"/>
  <c r="I410"/>
  <c r="H410"/>
  <c r="G410"/>
  <c r="F410"/>
  <c r="E410"/>
  <c r="D410"/>
  <c r="C410"/>
  <c r="B410"/>
  <c r="S354"/>
  <c r="R436"/>
  <c r="Q436"/>
  <c r="P436"/>
  <c r="O436"/>
  <c r="N436"/>
  <c r="M436"/>
  <c r="L436"/>
  <c r="K436"/>
  <c r="J436"/>
  <c r="I436"/>
  <c r="H436"/>
  <c r="G436"/>
  <c r="F436"/>
  <c r="E436"/>
  <c r="D436"/>
  <c r="C436"/>
  <c r="B436"/>
  <c r="S353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S352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S351"/>
  <c r="R99"/>
  <c r="Q99"/>
  <c r="P99"/>
  <c r="O99"/>
  <c r="N99"/>
  <c r="M99"/>
  <c r="L99"/>
  <c r="K99"/>
  <c r="J99"/>
  <c r="I99"/>
  <c r="H99"/>
  <c r="G99"/>
  <c r="F99"/>
  <c r="E99"/>
  <c r="D99"/>
  <c r="C99"/>
  <c r="B99"/>
  <c r="S350"/>
  <c r="R94"/>
  <c r="Q94"/>
  <c r="P94"/>
  <c r="O94"/>
  <c r="N94"/>
  <c r="M94"/>
  <c r="L94"/>
  <c r="K94"/>
  <c r="J94"/>
  <c r="I94"/>
  <c r="H94"/>
  <c r="G94"/>
  <c r="F94"/>
  <c r="E94"/>
  <c r="D94"/>
  <c r="C94"/>
  <c r="B94"/>
  <c r="S349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S348"/>
  <c r="R72"/>
  <c r="Q72"/>
  <c r="P72"/>
  <c r="O72"/>
  <c r="N72"/>
  <c r="M72"/>
  <c r="L72"/>
  <c r="K72"/>
  <c r="J72"/>
  <c r="I72"/>
  <c r="H72"/>
  <c r="G72"/>
  <c r="F72"/>
  <c r="E72"/>
  <c r="D72"/>
  <c r="C72"/>
  <c r="B72"/>
  <c r="S347"/>
  <c r="R488"/>
  <c r="Q488"/>
  <c r="P488"/>
  <c r="O488"/>
  <c r="N488"/>
  <c r="M488"/>
  <c r="L488"/>
  <c r="K488"/>
  <c r="J488"/>
  <c r="I488"/>
  <c r="H488"/>
  <c r="G488"/>
  <c r="F488"/>
  <c r="E488"/>
  <c r="D488"/>
  <c r="C488"/>
  <c r="B488"/>
  <c r="S346"/>
  <c r="R47"/>
  <c r="Q47"/>
  <c r="P47"/>
  <c r="O47"/>
  <c r="N47"/>
  <c r="M47"/>
  <c r="L47"/>
  <c r="K47"/>
  <c r="J47"/>
  <c r="I47"/>
  <c r="H47"/>
  <c r="G47"/>
  <c r="F47"/>
  <c r="E47"/>
  <c r="D47"/>
  <c r="C47"/>
  <c r="B47"/>
  <c r="S345"/>
  <c r="R360"/>
  <c r="Q360"/>
  <c r="P360"/>
  <c r="O360"/>
  <c r="N360"/>
  <c r="M360"/>
  <c r="L360"/>
  <c r="K360"/>
  <c r="J360"/>
  <c r="I360"/>
  <c r="H360"/>
  <c r="G360"/>
  <c r="F360"/>
  <c r="E360"/>
  <c r="D360"/>
  <c r="C360"/>
  <c r="B360"/>
  <c r="S344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S343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S342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S34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S340"/>
  <c r="R62"/>
  <c r="Q62"/>
  <c r="P62"/>
  <c r="O62"/>
  <c r="N62"/>
  <c r="M62"/>
  <c r="L62"/>
  <c r="K62"/>
  <c r="J62"/>
  <c r="I62"/>
  <c r="H62"/>
  <c r="G62"/>
  <c r="F62"/>
  <c r="E62"/>
  <c r="D62"/>
  <c r="C62"/>
  <c r="B62"/>
  <c r="S33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S338"/>
  <c r="R79"/>
  <c r="Q79"/>
  <c r="P79"/>
  <c r="O79"/>
  <c r="N79"/>
  <c r="M79"/>
  <c r="L79"/>
  <c r="K79"/>
  <c r="J79"/>
  <c r="I79"/>
  <c r="H79"/>
  <c r="G79"/>
  <c r="F79"/>
  <c r="E79"/>
  <c r="D79"/>
  <c r="C79"/>
  <c r="B79"/>
  <c r="S337"/>
  <c r="R351"/>
  <c r="Q351"/>
  <c r="P351"/>
  <c r="O351"/>
  <c r="N351"/>
  <c r="M351"/>
  <c r="L351"/>
  <c r="K351"/>
  <c r="J351"/>
  <c r="I351"/>
  <c r="H351"/>
  <c r="G351"/>
  <c r="F351"/>
  <c r="E351"/>
  <c r="D351"/>
  <c r="C351"/>
  <c r="B351"/>
  <c r="S336"/>
  <c r="R354"/>
  <c r="Q354"/>
  <c r="P354"/>
  <c r="O354"/>
  <c r="N354"/>
  <c r="M354"/>
  <c r="L354"/>
  <c r="K354"/>
  <c r="J354"/>
  <c r="I354"/>
  <c r="H354"/>
  <c r="G354"/>
  <c r="F354"/>
  <c r="E354"/>
  <c r="D354"/>
  <c r="C354"/>
  <c r="B354"/>
  <c r="S335"/>
  <c r="R475"/>
  <c r="Q475"/>
  <c r="P475"/>
  <c r="O475"/>
  <c r="N475"/>
  <c r="M475"/>
  <c r="L475"/>
  <c r="K475"/>
  <c r="J475"/>
  <c r="I475"/>
  <c r="H475"/>
  <c r="G475"/>
  <c r="F475"/>
  <c r="E475"/>
  <c r="D475"/>
  <c r="C475"/>
  <c r="B475"/>
  <c r="S334"/>
  <c r="R389"/>
  <c r="Q389"/>
  <c r="P389"/>
  <c r="O389"/>
  <c r="N389"/>
  <c r="M389"/>
  <c r="L389"/>
  <c r="K389"/>
  <c r="J389"/>
  <c r="I389"/>
  <c r="H389"/>
  <c r="G389"/>
  <c r="F389"/>
  <c r="E389"/>
  <c r="D389"/>
  <c r="C389"/>
  <c r="B389"/>
  <c r="S333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S332"/>
  <c r="R454"/>
  <c r="Q454"/>
  <c r="P454"/>
  <c r="O454"/>
  <c r="N454"/>
  <c r="M454"/>
  <c r="L454"/>
  <c r="K454"/>
  <c r="J454"/>
  <c r="I454"/>
  <c r="H454"/>
  <c r="G454"/>
  <c r="F454"/>
  <c r="E454"/>
  <c r="D454"/>
  <c r="C454"/>
  <c r="B454"/>
  <c r="S331"/>
  <c r="R96"/>
  <c r="Q96"/>
  <c r="P96"/>
  <c r="O96"/>
  <c r="N96"/>
  <c r="M96"/>
  <c r="L96"/>
  <c r="K96"/>
  <c r="J96"/>
  <c r="I96"/>
  <c r="H96"/>
  <c r="G96"/>
  <c r="F96"/>
  <c r="E96"/>
  <c r="D96"/>
  <c r="C96"/>
  <c r="B96"/>
  <c r="S330"/>
  <c r="R320"/>
  <c r="Q320"/>
  <c r="P320"/>
  <c r="O320"/>
  <c r="N320"/>
  <c r="M320"/>
  <c r="L320"/>
  <c r="K320"/>
  <c r="J320"/>
  <c r="I320"/>
  <c r="H320"/>
  <c r="G320"/>
  <c r="F320"/>
  <c r="E320"/>
  <c r="D320"/>
  <c r="C320"/>
  <c r="B320"/>
  <c r="S329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S328"/>
  <c r="R479"/>
  <c r="Q479"/>
  <c r="P479"/>
  <c r="O479"/>
  <c r="N479"/>
  <c r="M479"/>
  <c r="L479"/>
  <c r="K479"/>
  <c r="J479"/>
  <c r="I479"/>
  <c r="H479"/>
  <c r="G479"/>
  <c r="F479"/>
  <c r="E479"/>
  <c r="D479"/>
  <c r="C479"/>
  <c r="B479"/>
  <c r="S327"/>
  <c r="R469"/>
  <c r="Q469"/>
  <c r="P469"/>
  <c r="O469"/>
  <c r="N469"/>
  <c r="M469"/>
  <c r="L469"/>
  <c r="K469"/>
  <c r="J469"/>
  <c r="I469"/>
  <c r="H469"/>
  <c r="G469"/>
  <c r="F469"/>
  <c r="E469"/>
  <c r="D469"/>
  <c r="C469"/>
  <c r="B469"/>
  <c r="S326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S325"/>
  <c r="R399"/>
  <c r="Q399"/>
  <c r="P399"/>
  <c r="O399"/>
  <c r="N399"/>
  <c r="M399"/>
  <c r="L399"/>
  <c r="K399"/>
  <c r="J399"/>
  <c r="I399"/>
  <c r="H399"/>
  <c r="G399"/>
  <c r="F399"/>
  <c r="E399"/>
  <c r="D399"/>
  <c r="C399"/>
  <c r="B399"/>
  <c r="S324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S323"/>
  <c r="R64"/>
  <c r="Q64"/>
  <c r="P64"/>
  <c r="O64"/>
  <c r="N64"/>
  <c r="M64"/>
  <c r="L64"/>
  <c r="K64"/>
  <c r="J64"/>
  <c r="I64"/>
  <c r="H64"/>
  <c r="G64"/>
  <c r="F64"/>
  <c r="E64"/>
  <c r="D64"/>
  <c r="C64"/>
  <c r="B64"/>
  <c r="S322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S321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S320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S319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S318"/>
  <c r="R482"/>
  <c r="Q482"/>
  <c r="P482"/>
  <c r="O482"/>
  <c r="N482"/>
  <c r="M482"/>
  <c r="L482"/>
  <c r="K482"/>
  <c r="J482"/>
  <c r="I482"/>
  <c r="H482"/>
  <c r="G482"/>
  <c r="F482"/>
  <c r="E482"/>
  <c r="D482"/>
  <c r="C482"/>
  <c r="B482"/>
  <c r="S317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S316"/>
  <c r="R371"/>
  <c r="Q371"/>
  <c r="P371"/>
  <c r="O371"/>
  <c r="N371"/>
  <c r="M371"/>
  <c r="L371"/>
  <c r="K371"/>
  <c r="J371"/>
  <c r="I371"/>
  <c r="H371"/>
  <c r="G371"/>
  <c r="F371"/>
  <c r="E371"/>
  <c r="D371"/>
  <c r="C371"/>
  <c r="B371"/>
  <c r="S315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S314"/>
  <c r="R28"/>
  <c r="Q28"/>
  <c r="P28"/>
  <c r="O28"/>
  <c r="N28"/>
  <c r="M28"/>
  <c r="L28"/>
  <c r="K28"/>
  <c r="J28"/>
  <c r="I28"/>
  <c r="H28"/>
  <c r="G28"/>
  <c r="F28"/>
  <c r="E28"/>
  <c r="D28"/>
  <c r="C28"/>
  <c r="B28"/>
  <c r="S313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S312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S311"/>
  <c r="R75"/>
  <c r="Q75"/>
  <c r="P75"/>
  <c r="O75"/>
  <c r="N75"/>
  <c r="M75"/>
  <c r="L75"/>
  <c r="K75"/>
  <c r="J75"/>
  <c r="I75"/>
  <c r="H75"/>
  <c r="G75"/>
  <c r="F75"/>
  <c r="E75"/>
  <c r="D75"/>
  <c r="C75"/>
  <c r="B75"/>
  <c r="S310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S309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S308"/>
  <c r="R388"/>
  <c r="Q388"/>
  <c r="P388"/>
  <c r="O388"/>
  <c r="N388"/>
  <c r="M388"/>
  <c r="L388"/>
  <c r="K388"/>
  <c r="J388"/>
  <c r="I388"/>
  <c r="H388"/>
  <c r="G388"/>
  <c r="F388"/>
  <c r="E388"/>
  <c r="D388"/>
  <c r="C388"/>
  <c r="B388"/>
  <c r="S307"/>
  <c r="R73"/>
  <c r="Q73"/>
  <c r="P73"/>
  <c r="O73"/>
  <c r="N73"/>
  <c r="M73"/>
  <c r="L73"/>
  <c r="K73"/>
  <c r="J73"/>
  <c r="I73"/>
  <c r="H73"/>
  <c r="G73"/>
  <c r="F73"/>
  <c r="E73"/>
  <c r="D73"/>
  <c r="C73"/>
  <c r="B73"/>
  <c r="S306"/>
  <c r="R53"/>
  <c r="Q53"/>
  <c r="P53"/>
  <c r="O53"/>
  <c r="N53"/>
  <c r="M53"/>
  <c r="L53"/>
  <c r="K53"/>
  <c r="J53"/>
  <c r="I53"/>
  <c r="H53"/>
  <c r="G53"/>
  <c r="F53"/>
  <c r="E53"/>
  <c r="D53"/>
  <c r="C53"/>
  <c r="B53"/>
  <c r="S305"/>
  <c r="R32"/>
  <c r="Q32"/>
  <c r="P32"/>
  <c r="O32"/>
  <c r="N32"/>
  <c r="M32"/>
  <c r="L32"/>
  <c r="K32"/>
  <c r="J32"/>
  <c r="I32"/>
  <c r="H32"/>
  <c r="G32"/>
  <c r="F32"/>
  <c r="E32"/>
  <c r="D32"/>
  <c r="C32"/>
  <c r="B32"/>
  <c r="S304"/>
  <c r="R16"/>
  <c r="Q16"/>
  <c r="P16"/>
  <c r="O16"/>
  <c r="N16"/>
  <c r="M16"/>
  <c r="L16"/>
  <c r="K16"/>
  <c r="J16"/>
  <c r="I16"/>
  <c r="H16"/>
  <c r="G16"/>
  <c r="F16"/>
  <c r="E16"/>
  <c r="D16"/>
  <c r="C16"/>
  <c r="B16"/>
  <c r="S303"/>
  <c r="R378"/>
  <c r="Q378"/>
  <c r="P378"/>
  <c r="O378"/>
  <c r="N378"/>
  <c r="M378"/>
  <c r="L378"/>
  <c r="K378"/>
  <c r="J378"/>
  <c r="I378"/>
  <c r="H378"/>
  <c r="G378"/>
  <c r="F378"/>
  <c r="E378"/>
  <c r="D378"/>
  <c r="C378"/>
  <c r="B378"/>
  <c r="S302"/>
  <c r="R393"/>
  <c r="Q393"/>
  <c r="P393"/>
  <c r="O393"/>
  <c r="N393"/>
  <c r="M393"/>
  <c r="L393"/>
  <c r="K393"/>
  <c r="J393"/>
  <c r="I393"/>
  <c r="H393"/>
  <c r="G393"/>
  <c r="F393"/>
  <c r="E393"/>
  <c r="D393"/>
  <c r="C393"/>
  <c r="B393"/>
  <c r="S301"/>
  <c r="R425"/>
  <c r="Q425"/>
  <c r="P425"/>
  <c r="O425"/>
  <c r="N425"/>
  <c r="M425"/>
  <c r="L425"/>
  <c r="K425"/>
  <c r="J425"/>
  <c r="I425"/>
  <c r="H425"/>
  <c r="G425"/>
  <c r="F425"/>
  <c r="E425"/>
  <c r="D425"/>
  <c r="C425"/>
  <c r="B425"/>
  <c r="S300"/>
  <c r="R347"/>
  <c r="Q347"/>
  <c r="P347"/>
  <c r="O347"/>
  <c r="N347"/>
  <c r="M347"/>
  <c r="L347"/>
  <c r="K347"/>
  <c r="J347"/>
  <c r="I347"/>
  <c r="H347"/>
  <c r="G347"/>
  <c r="F347"/>
  <c r="E347"/>
  <c r="D347"/>
  <c r="C347"/>
  <c r="B347"/>
  <c r="S299"/>
  <c r="R395"/>
  <c r="Q395"/>
  <c r="P395"/>
  <c r="O395"/>
  <c r="N395"/>
  <c r="M395"/>
  <c r="L395"/>
  <c r="K395"/>
  <c r="J395"/>
  <c r="I395"/>
  <c r="H395"/>
  <c r="G395"/>
  <c r="F395"/>
  <c r="E395"/>
  <c r="D395"/>
  <c r="C395"/>
  <c r="B395"/>
  <c r="S298"/>
  <c r="R37"/>
  <c r="Q37"/>
  <c r="P37"/>
  <c r="O37"/>
  <c r="N37"/>
  <c r="M37"/>
  <c r="L37"/>
  <c r="K37"/>
  <c r="J37"/>
  <c r="I37"/>
  <c r="H37"/>
  <c r="G37"/>
  <c r="F37"/>
  <c r="E37"/>
  <c r="D37"/>
  <c r="C37"/>
  <c r="B37"/>
  <c r="S297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S296"/>
  <c r="R456"/>
  <c r="Q456"/>
  <c r="P456"/>
  <c r="O456"/>
  <c r="N456"/>
  <c r="M456"/>
  <c r="L456"/>
  <c r="K456"/>
  <c r="J456"/>
  <c r="I456"/>
  <c r="H456"/>
  <c r="G456"/>
  <c r="F456"/>
  <c r="E456"/>
  <c r="D456"/>
  <c r="C456"/>
  <c r="B456"/>
  <c r="S295"/>
  <c r="R458"/>
  <c r="Q458"/>
  <c r="P458"/>
  <c r="O458"/>
  <c r="N458"/>
  <c r="M458"/>
  <c r="L458"/>
  <c r="K458"/>
  <c r="J458"/>
  <c r="I458"/>
  <c r="H458"/>
  <c r="G458"/>
  <c r="F458"/>
  <c r="E458"/>
  <c r="D458"/>
  <c r="C458"/>
  <c r="B458"/>
  <c r="S294"/>
  <c r="R471"/>
  <c r="Q471"/>
  <c r="P471"/>
  <c r="O471"/>
  <c r="N471"/>
  <c r="M471"/>
  <c r="L471"/>
  <c r="K471"/>
  <c r="J471"/>
  <c r="I471"/>
  <c r="H471"/>
  <c r="G471"/>
  <c r="F471"/>
  <c r="E471"/>
  <c r="D471"/>
  <c r="C471"/>
  <c r="B471"/>
  <c r="S293"/>
  <c r="R405"/>
  <c r="Q405"/>
  <c r="P405"/>
  <c r="O405"/>
  <c r="N405"/>
  <c r="M405"/>
  <c r="L405"/>
  <c r="K405"/>
  <c r="J405"/>
  <c r="I405"/>
  <c r="H405"/>
  <c r="G405"/>
  <c r="F405"/>
  <c r="E405"/>
  <c r="D405"/>
  <c r="C405"/>
  <c r="B405"/>
  <c r="S292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S291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S290"/>
  <c r="R81"/>
  <c r="Q81"/>
  <c r="P81"/>
  <c r="O81"/>
  <c r="N81"/>
  <c r="M81"/>
  <c r="L81"/>
  <c r="K81"/>
  <c r="J81"/>
  <c r="I81"/>
  <c r="H81"/>
  <c r="G81"/>
  <c r="F81"/>
  <c r="E81"/>
  <c r="D81"/>
  <c r="C81"/>
  <c r="B81"/>
  <c r="S289"/>
  <c r="R406"/>
  <c r="Q406"/>
  <c r="P406"/>
  <c r="O406"/>
  <c r="N406"/>
  <c r="M406"/>
  <c r="L406"/>
  <c r="K406"/>
  <c r="J406"/>
  <c r="I406"/>
  <c r="H406"/>
  <c r="G406"/>
  <c r="F406"/>
  <c r="E406"/>
  <c r="D406"/>
  <c r="C406"/>
  <c r="B406"/>
  <c r="S288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S287"/>
  <c r="R15"/>
  <c r="Q15"/>
  <c r="P15"/>
  <c r="O15"/>
  <c r="N15"/>
  <c r="M15"/>
  <c r="L15"/>
  <c r="K15"/>
  <c r="J15"/>
  <c r="I15"/>
  <c r="H15"/>
  <c r="G15"/>
  <c r="F15"/>
  <c r="E15"/>
  <c r="D15"/>
  <c r="C15"/>
  <c r="B15"/>
  <c r="S286"/>
  <c r="R26"/>
  <c r="Q26"/>
  <c r="P26"/>
  <c r="O26"/>
  <c r="N26"/>
  <c r="M26"/>
  <c r="L26"/>
  <c r="K26"/>
  <c r="J26"/>
  <c r="I26"/>
  <c r="H26"/>
  <c r="G26"/>
  <c r="F26"/>
  <c r="E26"/>
  <c r="D26"/>
  <c r="C26"/>
  <c r="B26"/>
  <c r="S285"/>
  <c r="R98"/>
  <c r="Q98"/>
  <c r="P98"/>
  <c r="O98"/>
  <c r="N98"/>
  <c r="M98"/>
  <c r="L98"/>
  <c r="K98"/>
  <c r="J98"/>
  <c r="I98"/>
  <c r="H98"/>
  <c r="G98"/>
  <c r="F98"/>
  <c r="E98"/>
  <c r="D98"/>
  <c r="C98"/>
  <c r="B98"/>
  <c r="S284"/>
  <c r="R60"/>
  <c r="Q60"/>
  <c r="P60"/>
  <c r="O60"/>
  <c r="N60"/>
  <c r="M60"/>
  <c r="L60"/>
  <c r="K60"/>
  <c r="J60"/>
  <c r="I60"/>
  <c r="H60"/>
  <c r="G60"/>
  <c r="F60"/>
  <c r="E60"/>
  <c r="D60"/>
  <c r="C60"/>
  <c r="B60"/>
  <c r="S283"/>
  <c r="R70"/>
  <c r="Q70"/>
  <c r="P70"/>
  <c r="O70"/>
  <c r="N70"/>
  <c r="M70"/>
  <c r="L70"/>
  <c r="K70"/>
  <c r="J70"/>
  <c r="I70"/>
  <c r="H70"/>
  <c r="G70"/>
  <c r="F70"/>
  <c r="E70"/>
  <c r="D70"/>
  <c r="C70"/>
  <c r="B70"/>
  <c r="S282"/>
  <c r="R20"/>
  <c r="Q20"/>
  <c r="P20"/>
  <c r="O20"/>
  <c r="N20"/>
  <c r="M20"/>
  <c r="L20"/>
  <c r="K20"/>
  <c r="J20"/>
  <c r="I20"/>
  <c r="H20"/>
  <c r="G20"/>
  <c r="F20"/>
  <c r="E20"/>
  <c r="D20"/>
  <c r="C20"/>
  <c r="B20"/>
  <c r="S281"/>
  <c r="R343"/>
  <c r="Q343"/>
  <c r="P343"/>
  <c r="O343"/>
  <c r="N343"/>
  <c r="M343"/>
  <c r="L343"/>
  <c r="K343"/>
  <c r="J343"/>
  <c r="I343"/>
  <c r="H343"/>
  <c r="G343"/>
  <c r="F343"/>
  <c r="E343"/>
  <c r="D343"/>
  <c r="C343"/>
  <c r="B343"/>
  <c r="S28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S279"/>
  <c r="R346"/>
  <c r="Q346"/>
  <c r="P346"/>
  <c r="O346"/>
  <c r="N346"/>
  <c r="M346"/>
  <c r="L346"/>
  <c r="K346"/>
  <c r="J346"/>
  <c r="I346"/>
  <c r="H346"/>
  <c r="G346"/>
  <c r="F346"/>
  <c r="E346"/>
  <c r="D346"/>
  <c r="C346"/>
  <c r="B346"/>
  <c r="S278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S277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S276"/>
  <c r="R460"/>
  <c r="Q460"/>
  <c r="P460"/>
  <c r="O460"/>
  <c r="N460"/>
  <c r="M460"/>
  <c r="L460"/>
  <c r="K460"/>
  <c r="J460"/>
  <c r="I460"/>
  <c r="H460"/>
  <c r="G460"/>
  <c r="F460"/>
  <c r="E460"/>
  <c r="D460"/>
  <c r="C460"/>
  <c r="B460"/>
  <c r="S275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S274"/>
  <c r="R76"/>
  <c r="Q76"/>
  <c r="P76"/>
  <c r="O76"/>
  <c r="N76"/>
  <c r="M76"/>
  <c r="L76"/>
  <c r="K76"/>
  <c r="J76"/>
  <c r="I76"/>
  <c r="H76"/>
  <c r="G76"/>
  <c r="F76"/>
  <c r="E76"/>
  <c r="D76"/>
  <c r="C76"/>
  <c r="B76"/>
  <c r="S273"/>
  <c r="R468"/>
  <c r="Q468"/>
  <c r="P468"/>
  <c r="O468"/>
  <c r="N468"/>
  <c r="M468"/>
  <c r="L468"/>
  <c r="K468"/>
  <c r="J468"/>
  <c r="I468"/>
  <c r="H468"/>
  <c r="G468"/>
  <c r="F468"/>
  <c r="E468"/>
  <c r="D468"/>
  <c r="C468"/>
  <c r="B468"/>
  <c r="S272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S271"/>
  <c r="R68"/>
  <c r="Q68"/>
  <c r="P68"/>
  <c r="O68"/>
  <c r="N68"/>
  <c r="M68"/>
  <c r="L68"/>
  <c r="K68"/>
  <c r="J68"/>
  <c r="I68"/>
  <c r="H68"/>
  <c r="G68"/>
  <c r="F68"/>
  <c r="E68"/>
  <c r="D68"/>
  <c r="C68"/>
  <c r="B68"/>
  <c r="S270"/>
  <c r="R83"/>
  <c r="Q83"/>
  <c r="P83"/>
  <c r="O83"/>
  <c r="N83"/>
  <c r="M83"/>
  <c r="L83"/>
  <c r="K83"/>
  <c r="J83"/>
  <c r="I83"/>
  <c r="H83"/>
  <c r="G83"/>
  <c r="F83"/>
  <c r="E83"/>
  <c r="D83"/>
  <c r="C83"/>
  <c r="B83"/>
  <c r="S269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S268"/>
  <c r="R367"/>
  <c r="Q367"/>
  <c r="P367"/>
  <c r="O367"/>
  <c r="N367"/>
  <c r="M367"/>
  <c r="L367"/>
  <c r="K367"/>
  <c r="J367"/>
  <c r="I367"/>
  <c r="H367"/>
  <c r="G367"/>
  <c r="F367"/>
  <c r="E367"/>
  <c r="D367"/>
  <c r="C367"/>
  <c r="B367"/>
  <c r="S267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S266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S265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S264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S263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S262"/>
  <c r="R80"/>
  <c r="Q80"/>
  <c r="P80"/>
  <c r="O80"/>
  <c r="N80"/>
  <c r="M80"/>
  <c r="L80"/>
  <c r="K80"/>
  <c r="J80"/>
  <c r="I80"/>
  <c r="H80"/>
  <c r="G80"/>
  <c r="F80"/>
  <c r="E80"/>
  <c r="D80"/>
  <c r="C80"/>
  <c r="B80"/>
  <c r="S261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S260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S25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S258"/>
  <c r="R345"/>
  <c r="Q345"/>
  <c r="P345"/>
  <c r="O345"/>
  <c r="N345"/>
  <c r="M345"/>
  <c r="L345"/>
  <c r="K345"/>
  <c r="J345"/>
  <c r="I345"/>
  <c r="H345"/>
  <c r="G345"/>
  <c r="F345"/>
  <c r="E345"/>
  <c r="D345"/>
  <c r="C345"/>
  <c r="B345"/>
  <c r="S257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S256"/>
  <c r="R385"/>
  <c r="Q385"/>
  <c r="P385"/>
  <c r="O385"/>
  <c r="N385"/>
  <c r="M385"/>
  <c r="L385"/>
  <c r="K385"/>
  <c r="J385"/>
  <c r="I385"/>
  <c r="H385"/>
  <c r="G385"/>
  <c r="F385"/>
  <c r="E385"/>
  <c r="D385"/>
  <c r="C385"/>
  <c r="B385"/>
  <c r="S255"/>
  <c r="R17"/>
  <c r="Q17"/>
  <c r="P17"/>
  <c r="O17"/>
  <c r="N17"/>
  <c r="M17"/>
  <c r="L17"/>
  <c r="K17"/>
  <c r="J17"/>
  <c r="I17"/>
  <c r="H17"/>
  <c r="G17"/>
  <c r="F17"/>
  <c r="E17"/>
  <c r="D17"/>
  <c r="C17"/>
  <c r="B17"/>
  <c r="S254"/>
  <c r="R340"/>
  <c r="Q340"/>
  <c r="P340"/>
  <c r="O340"/>
  <c r="N340"/>
  <c r="M340"/>
  <c r="L340"/>
  <c r="K340"/>
  <c r="J340"/>
  <c r="I340"/>
  <c r="H340"/>
  <c r="G340"/>
  <c r="F340"/>
  <c r="E340"/>
  <c r="D340"/>
  <c r="C340"/>
  <c r="B340"/>
  <c r="S253"/>
  <c r="R401"/>
  <c r="Q401"/>
  <c r="P401"/>
  <c r="O401"/>
  <c r="N401"/>
  <c r="M401"/>
  <c r="L401"/>
  <c r="K401"/>
  <c r="J401"/>
  <c r="I401"/>
  <c r="H401"/>
  <c r="G401"/>
  <c r="F401"/>
  <c r="E401"/>
  <c r="D401"/>
  <c r="C401"/>
  <c r="B401"/>
  <c r="S252"/>
  <c r="R314"/>
  <c r="Q314"/>
  <c r="P314"/>
  <c r="O314"/>
  <c r="N314"/>
  <c r="M314"/>
  <c r="L314"/>
  <c r="K314"/>
  <c r="J314"/>
  <c r="I314"/>
  <c r="H314"/>
  <c r="G314"/>
  <c r="F314"/>
  <c r="E314"/>
  <c r="D314"/>
  <c r="C314"/>
  <c r="B314"/>
  <c r="S251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S250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S249"/>
  <c r="R369"/>
  <c r="Q369"/>
  <c r="P369"/>
  <c r="O369"/>
  <c r="N369"/>
  <c r="M369"/>
  <c r="L369"/>
  <c r="K369"/>
  <c r="J369"/>
  <c r="I369"/>
  <c r="H369"/>
  <c r="G369"/>
  <c r="F369"/>
  <c r="E369"/>
  <c r="D369"/>
  <c r="C369"/>
  <c r="B369"/>
  <c r="S248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S247"/>
  <c r="R359"/>
  <c r="Q359"/>
  <c r="P359"/>
  <c r="O359"/>
  <c r="N359"/>
  <c r="M359"/>
  <c r="L359"/>
  <c r="K359"/>
  <c r="J359"/>
  <c r="I359"/>
  <c r="H359"/>
  <c r="G359"/>
  <c r="F359"/>
  <c r="E359"/>
  <c r="D359"/>
  <c r="C359"/>
  <c r="B359"/>
  <c r="S246"/>
  <c r="R477"/>
  <c r="Q477"/>
  <c r="P477"/>
  <c r="O477"/>
  <c r="N477"/>
  <c r="M477"/>
  <c r="L477"/>
  <c r="K477"/>
  <c r="J477"/>
  <c r="I477"/>
  <c r="H477"/>
  <c r="G477"/>
  <c r="F477"/>
  <c r="E477"/>
  <c r="D477"/>
  <c r="C477"/>
  <c r="B477"/>
  <c r="S245"/>
  <c r="R470"/>
  <c r="Q470"/>
  <c r="P470"/>
  <c r="O470"/>
  <c r="N470"/>
  <c r="M470"/>
  <c r="L470"/>
  <c r="K470"/>
  <c r="J470"/>
  <c r="I470"/>
  <c r="H470"/>
  <c r="G470"/>
  <c r="F470"/>
  <c r="E470"/>
  <c r="D470"/>
  <c r="C470"/>
  <c r="B470"/>
  <c r="S244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S243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S242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S241"/>
  <c r="R441"/>
  <c r="Q441"/>
  <c r="P441"/>
  <c r="O441"/>
  <c r="N441"/>
  <c r="M441"/>
  <c r="L441"/>
  <c r="K441"/>
  <c r="J441"/>
  <c r="I441"/>
  <c r="H441"/>
  <c r="G441"/>
  <c r="F441"/>
  <c r="E441"/>
  <c r="D441"/>
  <c r="C441"/>
  <c r="B441"/>
  <c r="S240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S239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S238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S237"/>
  <c r="R321"/>
  <c r="Q321"/>
  <c r="P321"/>
  <c r="O321"/>
  <c r="N321"/>
  <c r="M321"/>
  <c r="L321"/>
  <c r="K321"/>
  <c r="J321"/>
  <c r="I321"/>
  <c r="H321"/>
  <c r="G321"/>
  <c r="F321"/>
  <c r="E321"/>
  <c r="D321"/>
  <c r="C321"/>
  <c r="B321"/>
  <c r="S236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S235"/>
  <c r="R97"/>
  <c r="Q97"/>
  <c r="P97"/>
  <c r="O97"/>
  <c r="N97"/>
  <c r="M97"/>
  <c r="L97"/>
  <c r="K97"/>
  <c r="J97"/>
  <c r="I97"/>
  <c r="H97"/>
  <c r="G97"/>
  <c r="F97"/>
  <c r="E97"/>
  <c r="D97"/>
  <c r="C97"/>
  <c r="B97"/>
  <c r="S234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S233"/>
  <c r="R18"/>
  <c r="Q18"/>
  <c r="P18"/>
  <c r="O18"/>
  <c r="N18"/>
  <c r="M18"/>
  <c r="L18"/>
  <c r="K18"/>
  <c r="J18"/>
  <c r="I18"/>
  <c r="H18"/>
  <c r="G18"/>
  <c r="F18"/>
  <c r="E18"/>
  <c r="D18"/>
  <c r="C18"/>
  <c r="B18"/>
  <c r="S232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S231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S230"/>
  <c r="R328"/>
  <c r="Q328"/>
  <c r="P328"/>
  <c r="O328"/>
  <c r="N328"/>
  <c r="M328"/>
  <c r="L328"/>
  <c r="K328"/>
  <c r="J328"/>
  <c r="I328"/>
  <c r="H328"/>
  <c r="G328"/>
  <c r="F328"/>
  <c r="E328"/>
  <c r="D328"/>
  <c r="C328"/>
  <c r="B328"/>
  <c r="S229"/>
  <c r="R21"/>
  <c r="Q21"/>
  <c r="P21"/>
  <c r="O21"/>
  <c r="N21"/>
  <c r="M21"/>
  <c r="L21"/>
  <c r="K21"/>
  <c r="J21"/>
  <c r="I21"/>
  <c r="H21"/>
  <c r="G21"/>
  <c r="F21"/>
  <c r="E21"/>
  <c r="D21"/>
  <c r="C21"/>
  <c r="B21"/>
  <c r="S228"/>
  <c r="R27"/>
  <c r="Q27"/>
  <c r="P27"/>
  <c r="O27"/>
  <c r="N27"/>
  <c r="M27"/>
  <c r="L27"/>
  <c r="K27"/>
  <c r="J27"/>
  <c r="I27"/>
  <c r="H27"/>
  <c r="G27"/>
  <c r="F27"/>
  <c r="E27"/>
  <c r="D27"/>
  <c r="C27"/>
  <c r="B27"/>
  <c r="S227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S226"/>
  <c r="R315"/>
  <c r="Q315"/>
  <c r="P315"/>
  <c r="O315"/>
  <c r="N315"/>
  <c r="M315"/>
  <c r="L315"/>
  <c r="K315"/>
  <c r="J315"/>
  <c r="I315"/>
  <c r="H315"/>
  <c r="G315"/>
  <c r="F315"/>
  <c r="E315"/>
  <c r="D315"/>
  <c r="C315"/>
  <c r="B315"/>
  <c r="S225"/>
  <c r="R319"/>
  <c r="Q319"/>
  <c r="P319"/>
  <c r="O319"/>
  <c r="N319"/>
  <c r="M319"/>
  <c r="L319"/>
  <c r="K319"/>
  <c r="J319"/>
  <c r="I319"/>
  <c r="H319"/>
  <c r="G319"/>
  <c r="F319"/>
  <c r="E319"/>
  <c r="D319"/>
  <c r="C319"/>
  <c r="B319"/>
  <c r="S224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S22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S222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S221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S220"/>
  <c r="R380"/>
  <c r="Q380"/>
  <c r="P380"/>
  <c r="O380"/>
  <c r="N380"/>
  <c r="M380"/>
  <c r="L380"/>
  <c r="K380"/>
  <c r="J380"/>
  <c r="I380"/>
  <c r="H380"/>
  <c r="G380"/>
  <c r="F380"/>
  <c r="E380"/>
  <c r="D380"/>
  <c r="C380"/>
  <c r="B380"/>
  <c r="S219"/>
  <c r="R335"/>
  <c r="Q335"/>
  <c r="P335"/>
  <c r="O335"/>
  <c r="N335"/>
  <c r="M335"/>
  <c r="L335"/>
  <c r="K335"/>
  <c r="J335"/>
  <c r="I335"/>
  <c r="H335"/>
  <c r="G335"/>
  <c r="F335"/>
  <c r="E335"/>
  <c r="D335"/>
  <c r="C335"/>
  <c r="B335"/>
  <c r="S218"/>
  <c r="R39"/>
  <c r="Q39"/>
  <c r="P39"/>
  <c r="O39"/>
  <c r="N39"/>
  <c r="M39"/>
  <c r="L39"/>
  <c r="K39"/>
  <c r="J39"/>
  <c r="I39"/>
  <c r="H39"/>
  <c r="G39"/>
  <c r="F39"/>
  <c r="E39"/>
  <c r="D39"/>
  <c r="C39"/>
  <c r="B39"/>
  <c r="S217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S21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S215"/>
  <c r="R56"/>
  <c r="Q56"/>
  <c r="P56"/>
  <c r="O56"/>
  <c r="N56"/>
  <c r="M56"/>
  <c r="L56"/>
  <c r="K56"/>
  <c r="J56"/>
  <c r="I56"/>
  <c r="H56"/>
  <c r="G56"/>
  <c r="F56"/>
  <c r="E56"/>
  <c r="D56"/>
  <c r="C56"/>
  <c r="B56"/>
  <c r="S214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S213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S212"/>
  <c r="R22"/>
  <c r="Q22"/>
  <c r="P22"/>
  <c r="O22"/>
  <c r="N22"/>
  <c r="M22"/>
  <c r="L22"/>
  <c r="K22"/>
  <c r="J22"/>
  <c r="I22"/>
  <c r="H22"/>
  <c r="G22"/>
  <c r="F22"/>
  <c r="E22"/>
  <c r="D22"/>
  <c r="C22"/>
  <c r="B22"/>
  <c r="S211"/>
  <c r="R25"/>
  <c r="Q25"/>
  <c r="P25"/>
  <c r="O25"/>
  <c r="N25"/>
  <c r="M25"/>
  <c r="L25"/>
  <c r="K25"/>
  <c r="J25"/>
  <c r="I25"/>
  <c r="H25"/>
  <c r="G25"/>
  <c r="F25"/>
  <c r="E25"/>
  <c r="D25"/>
  <c r="C25"/>
  <c r="B25"/>
  <c r="S210"/>
  <c r="R6"/>
  <c r="Q6"/>
  <c r="P6"/>
  <c r="O6"/>
  <c r="N6"/>
  <c r="M6"/>
  <c r="L6"/>
  <c r="K6"/>
  <c r="J6"/>
  <c r="I6"/>
  <c r="H6"/>
  <c r="G6"/>
  <c r="F6"/>
  <c r="E6"/>
  <c r="D6"/>
  <c r="C6"/>
  <c r="B6"/>
  <c r="S209"/>
  <c r="R4"/>
  <c r="Q4"/>
  <c r="P4"/>
  <c r="O4"/>
  <c r="N4"/>
  <c r="M4"/>
  <c r="L4"/>
  <c r="K4"/>
  <c r="J4"/>
  <c r="I4"/>
  <c r="H4"/>
  <c r="G4"/>
  <c r="F4"/>
  <c r="E4"/>
  <c r="D4"/>
  <c r="C4"/>
  <c r="B4"/>
  <c r="S208"/>
  <c r="R430"/>
  <c r="Q430"/>
  <c r="P430"/>
  <c r="O430"/>
  <c r="N430"/>
  <c r="M430"/>
  <c r="L430"/>
  <c r="K430"/>
  <c r="J430"/>
  <c r="I430"/>
  <c r="H430"/>
  <c r="G430"/>
  <c r="F430"/>
  <c r="E430"/>
  <c r="D430"/>
  <c r="C430"/>
  <c r="B430"/>
  <c r="S207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S206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S205"/>
  <c r="R348"/>
  <c r="Q348"/>
  <c r="P348"/>
  <c r="O348"/>
  <c r="N348"/>
  <c r="M348"/>
  <c r="L348"/>
  <c r="K348"/>
  <c r="J348"/>
  <c r="I348"/>
  <c r="H348"/>
  <c r="G348"/>
  <c r="F348"/>
  <c r="E348"/>
  <c r="D348"/>
  <c r="C348"/>
  <c r="B348"/>
  <c r="S204"/>
  <c r="R63"/>
  <c r="Q63"/>
  <c r="P63"/>
  <c r="O63"/>
  <c r="N63"/>
  <c r="M63"/>
  <c r="L63"/>
  <c r="K63"/>
  <c r="J63"/>
  <c r="I63"/>
  <c r="H63"/>
  <c r="G63"/>
  <c r="F63"/>
  <c r="E63"/>
  <c r="D63"/>
  <c r="C63"/>
  <c r="B63"/>
  <c r="S203"/>
  <c r="R484"/>
  <c r="Q484"/>
  <c r="P484"/>
  <c r="O484"/>
  <c r="N484"/>
  <c r="M484"/>
  <c r="L484"/>
  <c r="K484"/>
  <c r="J484"/>
  <c r="I484"/>
  <c r="H484"/>
  <c r="G484"/>
  <c r="F484"/>
  <c r="E484"/>
  <c r="D484"/>
  <c r="C484"/>
  <c r="B484"/>
  <c r="S202"/>
  <c r="R394"/>
  <c r="Q394"/>
  <c r="P394"/>
  <c r="O394"/>
  <c r="N394"/>
  <c r="M394"/>
  <c r="L394"/>
  <c r="K394"/>
  <c r="J394"/>
  <c r="I394"/>
  <c r="H394"/>
  <c r="G394"/>
  <c r="F394"/>
  <c r="E394"/>
  <c r="D394"/>
  <c r="C394"/>
  <c r="B394"/>
  <c r="S201"/>
  <c r="R452"/>
  <c r="Q452"/>
  <c r="P452"/>
  <c r="O452"/>
  <c r="N452"/>
  <c r="M452"/>
  <c r="L452"/>
  <c r="K452"/>
  <c r="J452"/>
  <c r="I452"/>
  <c r="H452"/>
  <c r="G452"/>
  <c r="F452"/>
  <c r="E452"/>
  <c r="D452"/>
  <c r="C452"/>
  <c r="B452"/>
  <c r="S200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S199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S198"/>
  <c r="R77"/>
  <c r="Q77"/>
  <c r="P77"/>
  <c r="O77"/>
  <c r="N77"/>
  <c r="M77"/>
  <c r="L77"/>
  <c r="K77"/>
  <c r="J77"/>
  <c r="I77"/>
  <c r="H77"/>
  <c r="G77"/>
  <c r="F77"/>
  <c r="E77"/>
  <c r="D77"/>
  <c r="C77"/>
  <c r="B77"/>
  <c r="S197"/>
  <c r="R373"/>
  <c r="Q373"/>
  <c r="P373"/>
  <c r="O373"/>
  <c r="N373"/>
  <c r="M373"/>
  <c r="L373"/>
  <c r="K373"/>
  <c r="J373"/>
  <c r="I373"/>
  <c r="H373"/>
  <c r="G373"/>
  <c r="F373"/>
  <c r="E373"/>
  <c r="D373"/>
  <c r="C373"/>
  <c r="B373"/>
  <c r="S196"/>
  <c r="R29"/>
  <c r="Q29"/>
  <c r="P29"/>
  <c r="O29"/>
  <c r="N29"/>
  <c r="M29"/>
  <c r="L29"/>
  <c r="K29"/>
  <c r="J29"/>
  <c r="I29"/>
  <c r="H29"/>
  <c r="G29"/>
  <c r="F29"/>
  <c r="E29"/>
  <c r="D29"/>
  <c r="C29"/>
  <c r="B29"/>
  <c r="S195"/>
  <c r="R34"/>
  <c r="Q34"/>
  <c r="P34"/>
  <c r="O34"/>
  <c r="N34"/>
  <c r="M34"/>
  <c r="L34"/>
  <c r="K34"/>
  <c r="J34"/>
  <c r="I34"/>
  <c r="H34"/>
  <c r="G34"/>
  <c r="F34"/>
  <c r="E34"/>
  <c r="D34"/>
  <c r="C34"/>
  <c r="B34"/>
  <c r="S194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S193"/>
  <c r="R350"/>
  <c r="Q350"/>
  <c r="P350"/>
  <c r="O350"/>
  <c r="N350"/>
  <c r="M350"/>
  <c r="L350"/>
  <c r="K350"/>
  <c r="J350"/>
  <c r="I350"/>
  <c r="H350"/>
  <c r="G350"/>
  <c r="F350"/>
  <c r="E350"/>
  <c r="D350"/>
  <c r="C350"/>
  <c r="B350"/>
  <c r="S192"/>
  <c r="R338"/>
  <c r="Q338"/>
  <c r="P338"/>
  <c r="O338"/>
  <c r="N338"/>
  <c r="M338"/>
  <c r="L338"/>
  <c r="K338"/>
  <c r="J338"/>
  <c r="I338"/>
  <c r="H338"/>
  <c r="G338"/>
  <c r="F338"/>
  <c r="E338"/>
  <c r="D338"/>
  <c r="C338"/>
  <c r="B338"/>
  <c r="S191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S190"/>
  <c r="R387"/>
  <c r="Q387"/>
  <c r="P387"/>
  <c r="O387"/>
  <c r="N387"/>
  <c r="M387"/>
  <c r="L387"/>
  <c r="K387"/>
  <c r="J387"/>
  <c r="I387"/>
  <c r="H387"/>
  <c r="G387"/>
  <c r="F387"/>
  <c r="E387"/>
  <c r="D387"/>
  <c r="C387"/>
  <c r="B387"/>
  <c r="S189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S188"/>
  <c r="R377"/>
  <c r="Q377"/>
  <c r="P377"/>
  <c r="O377"/>
  <c r="N377"/>
  <c r="M377"/>
  <c r="L377"/>
  <c r="K377"/>
  <c r="J377"/>
  <c r="I377"/>
  <c r="H377"/>
  <c r="G377"/>
  <c r="F377"/>
  <c r="E377"/>
  <c r="D377"/>
  <c r="C377"/>
  <c r="B377"/>
  <c r="S187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S186"/>
  <c r="R41"/>
  <c r="Q41"/>
  <c r="P41"/>
  <c r="O41"/>
  <c r="N41"/>
  <c r="M41"/>
  <c r="L41"/>
  <c r="K41"/>
  <c r="J41"/>
  <c r="I41"/>
  <c r="H41"/>
  <c r="G41"/>
  <c r="F41"/>
  <c r="E41"/>
  <c r="D41"/>
  <c r="C41"/>
  <c r="B41"/>
  <c r="S185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S184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S183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S182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S181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S18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S179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S178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S177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S176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S175"/>
  <c r="R35"/>
  <c r="Q35"/>
  <c r="P35"/>
  <c r="O35"/>
  <c r="N35"/>
  <c r="M35"/>
  <c r="L35"/>
  <c r="K35"/>
  <c r="J35"/>
  <c r="I35"/>
  <c r="H35"/>
  <c r="G35"/>
  <c r="F35"/>
  <c r="E35"/>
  <c r="D35"/>
  <c r="C35"/>
  <c r="B35"/>
  <c r="S174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S173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S172"/>
  <c r="R69"/>
  <c r="Q69"/>
  <c r="P69"/>
  <c r="O69"/>
  <c r="N69"/>
  <c r="M69"/>
  <c r="L69"/>
  <c r="K69"/>
  <c r="J69"/>
  <c r="I69"/>
  <c r="H69"/>
  <c r="G69"/>
  <c r="F69"/>
  <c r="E69"/>
  <c r="D69"/>
  <c r="C69"/>
  <c r="B69"/>
  <c r="S171"/>
  <c r="R51"/>
  <c r="Q51"/>
  <c r="P51"/>
  <c r="O51"/>
  <c r="N51"/>
  <c r="M51"/>
  <c r="L51"/>
  <c r="K51"/>
  <c r="J51"/>
  <c r="I51"/>
  <c r="H51"/>
  <c r="G51"/>
  <c r="F51"/>
  <c r="E51"/>
  <c r="D51"/>
  <c r="C51"/>
  <c r="B51"/>
  <c r="S170"/>
  <c r="R487"/>
  <c r="Q487"/>
  <c r="P487"/>
  <c r="O487"/>
  <c r="N487"/>
  <c r="M487"/>
  <c r="L487"/>
  <c r="K487"/>
  <c r="J487"/>
  <c r="I487"/>
  <c r="H487"/>
  <c r="G487"/>
  <c r="F487"/>
  <c r="E487"/>
  <c r="D487"/>
  <c r="C487"/>
  <c r="B487"/>
  <c r="S169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S168"/>
  <c r="R19"/>
  <c r="Q19"/>
  <c r="P19"/>
  <c r="O19"/>
  <c r="N19"/>
  <c r="M19"/>
  <c r="L19"/>
  <c r="K19"/>
  <c r="J19"/>
  <c r="I19"/>
  <c r="H19"/>
  <c r="G19"/>
  <c r="F19"/>
  <c r="E19"/>
  <c r="D19"/>
  <c r="C19"/>
  <c r="B19"/>
  <c r="S167"/>
  <c r="R9"/>
  <c r="Q9"/>
  <c r="P9"/>
  <c r="O9"/>
  <c r="N9"/>
  <c r="M9"/>
  <c r="L9"/>
  <c r="K9"/>
  <c r="J9"/>
  <c r="I9"/>
  <c r="H9"/>
  <c r="G9"/>
  <c r="F9"/>
  <c r="E9"/>
  <c r="D9"/>
  <c r="C9"/>
  <c r="B9"/>
  <c r="S166"/>
  <c r="R13"/>
  <c r="Q13"/>
  <c r="P13"/>
  <c r="O13"/>
  <c r="N13"/>
  <c r="M13"/>
  <c r="L13"/>
  <c r="K13"/>
  <c r="J13"/>
  <c r="I13"/>
  <c r="H13"/>
  <c r="G13"/>
  <c r="F13"/>
  <c r="E13"/>
  <c r="D13"/>
  <c r="C13"/>
  <c r="B13"/>
  <c r="S165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S164"/>
  <c r="R397"/>
  <c r="Q397"/>
  <c r="P397"/>
  <c r="O397"/>
  <c r="N397"/>
  <c r="M397"/>
  <c r="L397"/>
  <c r="K397"/>
  <c r="J397"/>
  <c r="I397"/>
  <c r="H397"/>
  <c r="G397"/>
  <c r="F397"/>
  <c r="E397"/>
  <c r="D397"/>
  <c r="C397"/>
  <c r="B397"/>
  <c r="S163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S162"/>
  <c r="R341"/>
  <c r="Q341"/>
  <c r="P341"/>
  <c r="O341"/>
  <c r="N341"/>
  <c r="M341"/>
  <c r="L341"/>
  <c r="K341"/>
  <c r="J341"/>
  <c r="I341"/>
  <c r="H341"/>
  <c r="G341"/>
  <c r="F341"/>
  <c r="E341"/>
  <c r="D341"/>
  <c r="C341"/>
  <c r="B341"/>
  <c r="S161"/>
  <c r="R46"/>
  <c r="Q46"/>
  <c r="P46"/>
  <c r="O46"/>
  <c r="N46"/>
  <c r="M46"/>
  <c r="L46"/>
  <c r="K46"/>
  <c r="J46"/>
  <c r="I46"/>
  <c r="H46"/>
  <c r="G46"/>
  <c r="F46"/>
  <c r="E46"/>
  <c r="D46"/>
  <c r="C46"/>
  <c r="B46"/>
  <c r="S160"/>
  <c r="R462"/>
  <c r="Q462"/>
  <c r="P462"/>
  <c r="O462"/>
  <c r="N462"/>
  <c r="M462"/>
  <c r="L462"/>
  <c r="K462"/>
  <c r="J462"/>
  <c r="I462"/>
  <c r="H462"/>
  <c r="G462"/>
  <c r="F462"/>
  <c r="E462"/>
  <c r="D462"/>
  <c r="C462"/>
  <c r="B462"/>
  <c r="S159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S158"/>
  <c r="R355"/>
  <c r="Q355"/>
  <c r="P355"/>
  <c r="O355"/>
  <c r="N355"/>
  <c r="M355"/>
  <c r="L355"/>
  <c r="K355"/>
  <c r="J355"/>
  <c r="I355"/>
  <c r="H355"/>
  <c r="G355"/>
  <c r="F355"/>
  <c r="E355"/>
  <c r="D355"/>
  <c r="C355"/>
  <c r="B355"/>
  <c r="S157"/>
  <c r="R317"/>
  <c r="Q317"/>
  <c r="P317"/>
  <c r="O317"/>
  <c r="N317"/>
  <c r="M317"/>
  <c r="L317"/>
  <c r="K317"/>
  <c r="J317"/>
  <c r="I317"/>
  <c r="H317"/>
  <c r="G317"/>
  <c r="F317"/>
  <c r="E317"/>
  <c r="D317"/>
  <c r="C317"/>
  <c r="B317"/>
  <c r="S156"/>
  <c r="R14"/>
  <c r="Q14"/>
  <c r="P14"/>
  <c r="O14"/>
  <c r="N14"/>
  <c r="M14"/>
  <c r="L14"/>
  <c r="K14"/>
  <c r="J14"/>
  <c r="I14"/>
  <c r="H14"/>
  <c r="G14"/>
  <c r="F14"/>
  <c r="E14"/>
  <c r="D14"/>
  <c r="C14"/>
  <c r="B14"/>
  <c r="S155"/>
  <c r="R463"/>
  <c r="Q463"/>
  <c r="P463"/>
  <c r="O463"/>
  <c r="N463"/>
  <c r="M463"/>
  <c r="L463"/>
  <c r="K463"/>
  <c r="J463"/>
  <c r="I463"/>
  <c r="H463"/>
  <c r="G463"/>
  <c r="F463"/>
  <c r="E463"/>
  <c r="D463"/>
  <c r="C463"/>
  <c r="B463"/>
  <c r="S154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S153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S152"/>
  <c r="R486"/>
  <c r="Q486"/>
  <c r="P486"/>
  <c r="O486"/>
  <c r="N486"/>
  <c r="M486"/>
  <c r="L486"/>
  <c r="K486"/>
  <c r="J486"/>
  <c r="I486"/>
  <c r="H486"/>
  <c r="G486"/>
  <c r="F486"/>
  <c r="E486"/>
  <c r="D486"/>
  <c r="C486"/>
  <c r="B486"/>
  <c r="S151"/>
  <c r="R448"/>
  <c r="Q448"/>
  <c r="P448"/>
  <c r="O448"/>
  <c r="N448"/>
  <c r="M448"/>
  <c r="L448"/>
  <c r="K448"/>
  <c r="J448"/>
  <c r="I448"/>
  <c r="H448"/>
  <c r="G448"/>
  <c r="F448"/>
  <c r="E448"/>
  <c r="D448"/>
  <c r="C448"/>
  <c r="B448"/>
  <c r="S150"/>
  <c r="R408"/>
  <c r="Q408"/>
  <c r="P408"/>
  <c r="O408"/>
  <c r="N408"/>
  <c r="M408"/>
  <c r="L408"/>
  <c r="K408"/>
  <c r="J408"/>
  <c r="I408"/>
  <c r="H408"/>
  <c r="G408"/>
  <c r="F408"/>
  <c r="E408"/>
  <c r="D408"/>
  <c r="C408"/>
  <c r="B408"/>
  <c r="S149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S148"/>
  <c r="R413"/>
  <c r="Q413"/>
  <c r="P413"/>
  <c r="O413"/>
  <c r="N413"/>
  <c r="M413"/>
  <c r="L413"/>
  <c r="K413"/>
  <c r="J413"/>
  <c r="I413"/>
  <c r="H413"/>
  <c r="G413"/>
  <c r="F413"/>
  <c r="E413"/>
  <c r="D413"/>
  <c r="C413"/>
  <c r="B413"/>
  <c r="S147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S146"/>
  <c r="R92"/>
  <c r="Q92"/>
  <c r="P92"/>
  <c r="O92"/>
  <c r="N92"/>
  <c r="M92"/>
  <c r="L92"/>
  <c r="K92"/>
  <c r="J92"/>
  <c r="I92"/>
  <c r="H92"/>
  <c r="G92"/>
  <c r="F92"/>
  <c r="E92"/>
  <c r="D92"/>
  <c r="C92"/>
  <c r="B92"/>
  <c r="S145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S144"/>
  <c r="R450"/>
  <c r="Q450"/>
  <c r="P450"/>
  <c r="O450"/>
  <c r="N450"/>
  <c r="M450"/>
  <c r="L450"/>
  <c r="K450"/>
  <c r="J450"/>
  <c r="I450"/>
  <c r="H450"/>
  <c r="G450"/>
  <c r="F450"/>
  <c r="E450"/>
  <c r="D450"/>
  <c r="C450"/>
  <c r="B450"/>
  <c r="S143"/>
  <c r="R12"/>
  <c r="Q12"/>
  <c r="P12"/>
  <c r="O12"/>
  <c r="N12"/>
  <c r="M12"/>
  <c r="L12"/>
  <c r="K12"/>
  <c r="J12"/>
  <c r="I12"/>
  <c r="H12"/>
  <c r="G12"/>
  <c r="F12"/>
  <c r="E12"/>
  <c r="D12"/>
  <c r="C12"/>
  <c r="B12"/>
  <c r="S142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S141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S140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S139"/>
  <c r="R323"/>
  <c r="Q323"/>
  <c r="P323"/>
  <c r="O323"/>
  <c r="N323"/>
  <c r="M323"/>
  <c r="L323"/>
  <c r="K323"/>
  <c r="J323"/>
  <c r="I323"/>
  <c r="H323"/>
  <c r="G323"/>
  <c r="F323"/>
  <c r="E323"/>
  <c r="D323"/>
  <c r="C323"/>
  <c r="B323"/>
  <c r="S138"/>
  <c r="R483"/>
  <c r="Q483"/>
  <c r="P483"/>
  <c r="O483"/>
  <c r="N483"/>
  <c r="M483"/>
  <c r="L483"/>
  <c r="K483"/>
  <c r="J483"/>
  <c r="I483"/>
  <c r="H483"/>
  <c r="G483"/>
  <c r="F483"/>
  <c r="E483"/>
  <c r="D483"/>
  <c r="C483"/>
  <c r="B483"/>
  <c r="S137"/>
  <c r="R443"/>
  <c r="Q443"/>
  <c r="P443"/>
  <c r="O443"/>
  <c r="N443"/>
  <c r="M443"/>
  <c r="L443"/>
  <c r="K443"/>
  <c r="J443"/>
  <c r="I443"/>
  <c r="H443"/>
  <c r="G443"/>
  <c r="F443"/>
  <c r="E443"/>
  <c r="D443"/>
  <c r="C443"/>
  <c r="B443"/>
  <c r="S136"/>
  <c r="R54"/>
  <c r="Q54"/>
  <c r="P54"/>
  <c r="O54"/>
  <c r="N54"/>
  <c r="M54"/>
  <c r="L54"/>
  <c r="K54"/>
  <c r="J54"/>
  <c r="I54"/>
  <c r="H54"/>
  <c r="G54"/>
  <c r="F54"/>
  <c r="E54"/>
  <c r="D54"/>
  <c r="C54"/>
  <c r="B54"/>
  <c r="S135"/>
  <c r="R36"/>
  <c r="Q36"/>
  <c r="P36"/>
  <c r="O36"/>
  <c r="N36"/>
  <c r="M36"/>
  <c r="L36"/>
  <c r="K36"/>
  <c r="J36"/>
  <c r="I36"/>
  <c r="H36"/>
  <c r="G36"/>
  <c r="F36"/>
  <c r="E36"/>
  <c r="D36"/>
  <c r="C36"/>
  <c r="B36"/>
  <c r="S134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S133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S132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S131"/>
  <c r="R368"/>
  <c r="Q368"/>
  <c r="P368"/>
  <c r="O368"/>
  <c r="N368"/>
  <c r="M368"/>
  <c r="L368"/>
  <c r="K368"/>
  <c r="J368"/>
  <c r="I368"/>
  <c r="H368"/>
  <c r="G368"/>
  <c r="F368"/>
  <c r="E368"/>
  <c r="D368"/>
  <c r="C368"/>
  <c r="B368"/>
  <c r="S130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S129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S128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S127"/>
  <c r="R339"/>
  <c r="Q339"/>
  <c r="P339"/>
  <c r="O339"/>
  <c r="N339"/>
  <c r="M339"/>
  <c r="L339"/>
  <c r="K339"/>
  <c r="J339"/>
  <c r="I339"/>
  <c r="H339"/>
  <c r="G339"/>
  <c r="F339"/>
  <c r="E339"/>
  <c r="D339"/>
  <c r="C339"/>
  <c r="B339"/>
  <c r="S126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S125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S12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S123"/>
  <c r="R332"/>
  <c r="Q332"/>
  <c r="P332"/>
  <c r="O332"/>
  <c r="N332"/>
  <c r="M332"/>
  <c r="L332"/>
  <c r="K332"/>
  <c r="J332"/>
  <c r="I332"/>
  <c r="H332"/>
  <c r="G332"/>
  <c r="F332"/>
  <c r="E332"/>
  <c r="D332"/>
  <c r="C332"/>
  <c r="B332"/>
  <c r="S122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S121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S120"/>
  <c r="R325"/>
  <c r="Q325"/>
  <c r="P325"/>
  <c r="O325"/>
  <c r="N325"/>
  <c r="M325"/>
  <c r="L325"/>
  <c r="K325"/>
  <c r="J325"/>
  <c r="I325"/>
  <c r="H325"/>
  <c r="G325"/>
  <c r="F325"/>
  <c r="E325"/>
  <c r="D325"/>
  <c r="C325"/>
  <c r="B325"/>
  <c r="S119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S118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S117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S116"/>
  <c r="R58"/>
  <c r="Q58"/>
  <c r="P58"/>
  <c r="O58"/>
  <c r="N58"/>
  <c r="M58"/>
  <c r="L58"/>
  <c r="K58"/>
  <c r="J58"/>
  <c r="I58"/>
  <c r="H58"/>
  <c r="G58"/>
  <c r="F58"/>
  <c r="E58"/>
  <c r="D58"/>
  <c r="C58"/>
  <c r="B58"/>
  <c r="S115"/>
  <c r="R67"/>
  <c r="Q67"/>
  <c r="P67"/>
  <c r="O67"/>
  <c r="N67"/>
  <c r="M67"/>
  <c r="L67"/>
  <c r="K67"/>
  <c r="J67"/>
  <c r="I67"/>
  <c r="H67"/>
  <c r="G67"/>
  <c r="F67"/>
  <c r="E67"/>
  <c r="D67"/>
  <c r="C67"/>
  <c r="B67"/>
  <c r="S114"/>
  <c r="R337"/>
  <c r="Q337"/>
  <c r="P337"/>
  <c r="O337"/>
  <c r="N337"/>
  <c r="M337"/>
  <c r="L337"/>
  <c r="K337"/>
  <c r="J337"/>
  <c r="I337"/>
  <c r="H337"/>
  <c r="G337"/>
  <c r="F337"/>
  <c r="E337"/>
  <c r="D337"/>
  <c r="C337"/>
  <c r="B337"/>
  <c r="S113"/>
  <c r="R382"/>
  <c r="Q382"/>
  <c r="P382"/>
  <c r="O382"/>
  <c r="N382"/>
  <c r="M382"/>
  <c r="L382"/>
  <c r="K382"/>
  <c r="J382"/>
  <c r="I382"/>
  <c r="H382"/>
  <c r="G382"/>
  <c r="F382"/>
  <c r="E382"/>
  <c r="D382"/>
  <c r="C382"/>
  <c r="B382"/>
  <c r="S112"/>
  <c r="R381"/>
  <c r="Q381"/>
  <c r="P381"/>
  <c r="O381"/>
  <c r="N381"/>
  <c r="M381"/>
  <c r="L381"/>
  <c r="K381"/>
  <c r="J381"/>
  <c r="I381"/>
  <c r="H381"/>
  <c r="G381"/>
  <c r="F381"/>
  <c r="E381"/>
  <c r="D381"/>
  <c r="C381"/>
  <c r="B381"/>
  <c r="S111"/>
  <c r="R386"/>
  <c r="Q386"/>
  <c r="P386"/>
  <c r="O386"/>
  <c r="N386"/>
  <c r="M386"/>
  <c r="L386"/>
  <c r="K386"/>
  <c r="J386"/>
  <c r="I386"/>
  <c r="H386"/>
  <c r="G386"/>
  <c r="F386"/>
  <c r="E386"/>
  <c r="D386"/>
  <c r="C386"/>
  <c r="B386"/>
  <c r="S110"/>
  <c r="R361"/>
  <c r="Q361"/>
  <c r="P361"/>
  <c r="O361"/>
  <c r="N361"/>
  <c r="M361"/>
  <c r="L361"/>
  <c r="K361"/>
  <c r="J361"/>
  <c r="I361"/>
  <c r="H361"/>
  <c r="G361"/>
  <c r="F361"/>
  <c r="E361"/>
  <c r="D361"/>
  <c r="C361"/>
  <c r="B361"/>
  <c r="S109"/>
  <c r="R391"/>
  <c r="Q391"/>
  <c r="P391"/>
  <c r="O391"/>
  <c r="N391"/>
  <c r="M391"/>
  <c r="L391"/>
  <c r="K391"/>
  <c r="J391"/>
  <c r="I391"/>
  <c r="H391"/>
  <c r="G391"/>
  <c r="F391"/>
  <c r="E391"/>
  <c r="D391"/>
  <c r="C391"/>
  <c r="B391"/>
  <c r="S108"/>
  <c r="R334"/>
  <c r="Q334"/>
  <c r="P334"/>
  <c r="O334"/>
  <c r="N334"/>
  <c r="M334"/>
  <c r="L334"/>
  <c r="K334"/>
  <c r="J334"/>
  <c r="I334"/>
  <c r="H334"/>
  <c r="G334"/>
  <c r="F334"/>
  <c r="E334"/>
  <c r="D334"/>
  <c r="C334"/>
  <c r="B334"/>
  <c r="S107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S106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S105"/>
  <c r="R93"/>
  <c r="Q93"/>
  <c r="P93"/>
  <c r="O93"/>
  <c r="N93"/>
  <c r="M93"/>
  <c r="L93"/>
  <c r="K93"/>
  <c r="J93"/>
  <c r="I93"/>
  <c r="H93"/>
  <c r="G93"/>
  <c r="F93"/>
  <c r="E93"/>
  <c r="D93"/>
  <c r="C93"/>
  <c r="B93"/>
  <c r="S104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S103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S102"/>
  <c r="R445"/>
  <c r="Q445"/>
  <c r="P445"/>
  <c r="O445"/>
  <c r="N445"/>
  <c r="M445"/>
  <c r="L445"/>
  <c r="K445"/>
  <c r="J445"/>
  <c r="I445"/>
  <c r="H445"/>
  <c r="G445"/>
  <c r="F445"/>
  <c r="E445"/>
  <c r="D445"/>
  <c r="C445"/>
  <c r="B445"/>
  <c r="S101"/>
  <c r="R45"/>
  <c r="Q45"/>
  <c r="P45"/>
  <c r="O45"/>
  <c r="N45"/>
  <c r="M45"/>
  <c r="L45"/>
  <c r="K45"/>
  <c r="J45"/>
  <c r="I45"/>
  <c r="H45"/>
  <c r="G45"/>
  <c r="F45"/>
  <c r="E45"/>
  <c r="D45"/>
  <c r="C45"/>
  <c r="B45"/>
  <c r="S100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S99"/>
  <c r="R24"/>
  <c r="Q24"/>
  <c r="P24"/>
  <c r="O24"/>
  <c r="N24"/>
  <c r="M24"/>
  <c r="L24"/>
  <c r="K24"/>
  <c r="J24"/>
  <c r="I24"/>
  <c r="H24"/>
  <c r="G24"/>
  <c r="F24"/>
  <c r="E24"/>
  <c r="D24"/>
  <c r="C24"/>
  <c r="B24"/>
  <c r="S98"/>
  <c r="R453"/>
  <c r="Q453"/>
  <c r="P453"/>
  <c r="O453"/>
  <c r="N453"/>
  <c r="M453"/>
  <c r="L453"/>
  <c r="K453"/>
  <c r="J453"/>
  <c r="I453"/>
  <c r="H453"/>
  <c r="G453"/>
  <c r="F453"/>
  <c r="E453"/>
  <c r="D453"/>
  <c r="C453"/>
  <c r="B453"/>
  <c r="S97"/>
  <c r="R95"/>
  <c r="Q95"/>
  <c r="P95"/>
  <c r="O95"/>
  <c r="N95"/>
  <c r="M95"/>
  <c r="L95"/>
  <c r="K95"/>
  <c r="J95"/>
  <c r="I95"/>
  <c r="H95"/>
  <c r="G95"/>
  <c r="F95"/>
  <c r="E95"/>
  <c r="D95"/>
  <c r="C95"/>
  <c r="B95"/>
  <c r="S96"/>
  <c r="R59"/>
  <c r="Q59"/>
  <c r="P59"/>
  <c r="O59"/>
  <c r="N59"/>
  <c r="M59"/>
  <c r="L59"/>
  <c r="K59"/>
  <c r="J59"/>
  <c r="I59"/>
  <c r="H59"/>
  <c r="G59"/>
  <c r="F59"/>
  <c r="E59"/>
  <c r="D59"/>
  <c r="C59"/>
  <c r="B59"/>
  <c r="S95"/>
  <c r="R66"/>
  <c r="Q66"/>
  <c r="P66"/>
  <c r="O66"/>
  <c r="N66"/>
  <c r="M66"/>
  <c r="L66"/>
  <c r="K66"/>
  <c r="J66"/>
  <c r="I66"/>
  <c r="H66"/>
  <c r="G66"/>
  <c r="F66"/>
  <c r="E66"/>
  <c r="D66"/>
  <c r="C66"/>
  <c r="B66"/>
  <c r="S94"/>
  <c r="R344"/>
  <c r="Q344"/>
  <c r="P344"/>
  <c r="O344"/>
  <c r="N344"/>
  <c r="M344"/>
  <c r="L344"/>
  <c r="K344"/>
  <c r="J344"/>
  <c r="I344"/>
  <c r="H344"/>
  <c r="G344"/>
  <c r="F344"/>
  <c r="E344"/>
  <c r="D344"/>
  <c r="C344"/>
  <c r="B344"/>
  <c r="S93"/>
  <c r="R349"/>
  <c r="Q349"/>
  <c r="P349"/>
  <c r="O349"/>
  <c r="N349"/>
  <c r="M349"/>
  <c r="L349"/>
  <c r="K349"/>
  <c r="J349"/>
  <c r="I349"/>
  <c r="H349"/>
  <c r="G349"/>
  <c r="F349"/>
  <c r="E349"/>
  <c r="D349"/>
  <c r="C349"/>
  <c r="B349"/>
  <c r="S92"/>
  <c r="R481"/>
  <c r="Q481"/>
  <c r="P481"/>
  <c r="O481"/>
  <c r="N481"/>
  <c r="M481"/>
  <c r="L481"/>
  <c r="K481"/>
  <c r="J481"/>
  <c r="I481"/>
  <c r="H481"/>
  <c r="G481"/>
  <c r="F481"/>
  <c r="E481"/>
  <c r="D481"/>
  <c r="C481"/>
  <c r="B481"/>
  <c r="S9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S9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S89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S88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S87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S86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S85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S84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S83"/>
  <c r="R461"/>
  <c r="Q461"/>
  <c r="P461"/>
  <c r="O461"/>
  <c r="N461"/>
  <c r="M461"/>
  <c r="L461"/>
  <c r="K461"/>
  <c r="J461"/>
  <c r="I461"/>
  <c r="H461"/>
  <c r="G461"/>
  <c r="F461"/>
  <c r="E461"/>
  <c r="D461"/>
  <c r="C461"/>
  <c r="B461"/>
  <c r="S82"/>
  <c r="R356"/>
  <c r="Q356"/>
  <c r="P356"/>
  <c r="O356"/>
  <c r="N356"/>
  <c r="M356"/>
  <c r="L356"/>
  <c r="K356"/>
  <c r="J356"/>
  <c r="I356"/>
  <c r="H356"/>
  <c r="G356"/>
  <c r="F356"/>
  <c r="E356"/>
  <c r="D356"/>
  <c r="C356"/>
  <c r="B356"/>
  <c r="S81"/>
  <c r="R403"/>
  <c r="Q403"/>
  <c r="P403"/>
  <c r="O403"/>
  <c r="N403"/>
  <c r="M403"/>
  <c r="L403"/>
  <c r="K403"/>
  <c r="J403"/>
  <c r="I403"/>
  <c r="H403"/>
  <c r="G403"/>
  <c r="F403"/>
  <c r="E403"/>
  <c r="D403"/>
  <c r="C403"/>
  <c r="B403"/>
  <c r="S80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S79"/>
  <c r="R465"/>
  <c r="Q465"/>
  <c r="P465"/>
  <c r="O465"/>
  <c r="N465"/>
  <c r="M465"/>
  <c r="L465"/>
  <c r="K465"/>
  <c r="J465"/>
  <c r="I465"/>
  <c r="H465"/>
  <c r="G465"/>
  <c r="F465"/>
  <c r="E465"/>
  <c r="D465"/>
  <c r="C465"/>
  <c r="B465"/>
  <c r="S78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S77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S76"/>
  <c r="R91"/>
  <c r="Q91"/>
  <c r="P91"/>
  <c r="O91"/>
  <c r="N91"/>
  <c r="M91"/>
  <c r="L91"/>
  <c r="K91"/>
  <c r="J91"/>
  <c r="I91"/>
  <c r="H91"/>
  <c r="G91"/>
  <c r="F91"/>
  <c r="E91"/>
  <c r="D91"/>
  <c r="C91"/>
  <c r="B91"/>
  <c r="S75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S74"/>
  <c r="R322"/>
  <c r="Q322"/>
  <c r="P322"/>
  <c r="O322"/>
  <c r="N322"/>
  <c r="M322"/>
  <c r="L322"/>
  <c r="K322"/>
  <c r="J322"/>
  <c r="I322"/>
  <c r="H322"/>
  <c r="G322"/>
  <c r="F322"/>
  <c r="E322"/>
  <c r="D322"/>
  <c r="C322"/>
  <c r="B322"/>
  <c r="S73"/>
  <c r="R357"/>
  <c r="Q357"/>
  <c r="P357"/>
  <c r="O357"/>
  <c r="N357"/>
  <c r="M357"/>
  <c r="L357"/>
  <c r="K357"/>
  <c r="J357"/>
  <c r="I357"/>
  <c r="H357"/>
  <c r="G357"/>
  <c r="F357"/>
  <c r="E357"/>
  <c r="D357"/>
  <c r="C357"/>
  <c r="B357"/>
  <c r="S72"/>
  <c r="R329"/>
  <c r="Q329"/>
  <c r="P329"/>
  <c r="O329"/>
  <c r="N329"/>
  <c r="M329"/>
  <c r="L329"/>
  <c r="K329"/>
  <c r="J329"/>
  <c r="I329"/>
  <c r="H329"/>
  <c r="G329"/>
  <c r="F329"/>
  <c r="E329"/>
  <c r="D329"/>
  <c r="C329"/>
  <c r="B329"/>
  <c r="S71"/>
  <c r="R31"/>
  <c r="Q31"/>
  <c r="P31"/>
  <c r="O31"/>
  <c r="N31"/>
  <c r="M31"/>
  <c r="L31"/>
  <c r="K31"/>
  <c r="J31"/>
  <c r="I31"/>
  <c r="H31"/>
  <c r="G31"/>
  <c r="F31"/>
  <c r="E31"/>
  <c r="D31"/>
  <c r="C31"/>
  <c r="B31"/>
  <c r="S70"/>
  <c r="R422"/>
  <c r="Q422"/>
  <c r="P422"/>
  <c r="O422"/>
  <c r="N422"/>
  <c r="M422"/>
  <c r="L422"/>
  <c r="K422"/>
  <c r="J422"/>
  <c r="I422"/>
  <c r="H422"/>
  <c r="G422"/>
  <c r="F422"/>
  <c r="E422"/>
  <c r="D422"/>
  <c r="C422"/>
  <c r="B422"/>
  <c r="S69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S68"/>
  <c r="R466"/>
  <c r="Q466"/>
  <c r="P466"/>
  <c r="O466"/>
  <c r="N466"/>
  <c r="M466"/>
  <c r="L466"/>
  <c r="K466"/>
  <c r="J466"/>
  <c r="I466"/>
  <c r="H466"/>
  <c r="G466"/>
  <c r="F466"/>
  <c r="E466"/>
  <c r="D466"/>
  <c r="C466"/>
  <c r="B466"/>
  <c r="S67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S66"/>
  <c r="R87"/>
  <c r="Q87"/>
  <c r="P87"/>
  <c r="O87"/>
  <c r="N87"/>
  <c r="M87"/>
  <c r="L87"/>
  <c r="K87"/>
  <c r="J87"/>
  <c r="I87"/>
  <c r="H87"/>
  <c r="G87"/>
  <c r="F87"/>
  <c r="E87"/>
  <c r="D87"/>
  <c r="C87"/>
  <c r="B87"/>
  <c r="S65"/>
  <c r="R467"/>
  <c r="Q467"/>
  <c r="P467"/>
  <c r="O467"/>
  <c r="N467"/>
  <c r="M467"/>
  <c r="L467"/>
  <c r="K467"/>
  <c r="J467"/>
  <c r="I467"/>
  <c r="H467"/>
  <c r="G467"/>
  <c r="F467"/>
  <c r="E467"/>
  <c r="D467"/>
  <c r="C467"/>
  <c r="B467"/>
  <c r="S64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S63"/>
  <c r="R290"/>
  <c r="Q290"/>
  <c r="P290"/>
  <c r="O290"/>
  <c r="N290"/>
  <c r="M290"/>
  <c r="L290"/>
  <c r="K290"/>
  <c r="I290"/>
  <c r="H290"/>
  <c r="G290"/>
  <c r="F290"/>
  <c r="E290"/>
  <c r="D290"/>
  <c r="C290"/>
  <c r="B290"/>
  <c r="S6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S61"/>
  <c r="R57"/>
  <c r="Q57"/>
  <c r="P57"/>
  <c r="O57"/>
  <c r="N57"/>
  <c r="M57"/>
  <c r="L57"/>
  <c r="K57"/>
  <c r="J57"/>
  <c r="I57"/>
  <c r="H57"/>
  <c r="G57"/>
  <c r="F57"/>
  <c r="E57"/>
  <c r="D57"/>
  <c r="C57"/>
  <c r="B57"/>
  <c r="S6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S59"/>
  <c r="R33"/>
  <c r="Q33"/>
  <c r="P33"/>
  <c r="O33"/>
  <c r="N33"/>
  <c r="M33"/>
  <c r="L33"/>
  <c r="K33"/>
  <c r="J33"/>
  <c r="I33"/>
  <c r="H33"/>
  <c r="G33"/>
  <c r="F33"/>
  <c r="E33"/>
  <c r="D33"/>
  <c r="C33"/>
  <c r="B33"/>
  <c r="S58"/>
  <c r="R86"/>
  <c r="Q86"/>
  <c r="P86"/>
  <c r="O86"/>
  <c r="N86"/>
  <c r="M86"/>
  <c r="L86"/>
  <c r="K86"/>
  <c r="J86"/>
  <c r="I86"/>
  <c r="H86"/>
  <c r="G86"/>
  <c r="F86"/>
  <c r="E86"/>
  <c r="D86"/>
  <c r="C86"/>
  <c r="B86"/>
  <c r="S57"/>
  <c r="R412"/>
  <c r="Q412"/>
  <c r="P412"/>
  <c r="O412"/>
  <c r="N412"/>
  <c r="M412"/>
  <c r="L412"/>
  <c r="K412"/>
  <c r="J412"/>
  <c r="I412"/>
  <c r="H412"/>
  <c r="G412"/>
  <c r="F412"/>
  <c r="E412"/>
  <c r="D412"/>
  <c r="C412"/>
  <c r="B412"/>
  <c r="S5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S55"/>
  <c r="R61"/>
  <c r="Q61"/>
  <c r="P61"/>
  <c r="O61"/>
  <c r="N61"/>
  <c r="M61"/>
  <c r="L61"/>
  <c r="K61"/>
  <c r="J61"/>
  <c r="I61"/>
  <c r="H61"/>
  <c r="G61"/>
  <c r="F61"/>
  <c r="E61"/>
  <c r="D61"/>
  <c r="C61"/>
  <c r="B61"/>
  <c r="S54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S53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S52"/>
  <c r="R366"/>
  <c r="Q366"/>
  <c r="P366"/>
  <c r="O366"/>
  <c r="N366"/>
  <c r="M366"/>
  <c r="L366"/>
  <c r="K366"/>
  <c r="J366"/>
  <c r="I366"/>
  <c r="H366"/>
  <c r="G366"/>
  <c r="F366"/>
  <c r="E366"/>
  <c r="D366"/>
  <c r="C366"/>
  <c r="B366"/>
  <c r="S51"/>
  <c r="R427"/>
  <c r="Q427"/>
  <c r="P427"/>
  <c r="O427"/>
  <c r="N427"/>
  <c r="M427"/>
  <c r="L427"/>
  <c r="K427"/>
  <c r="J427"/>
  <c r="I427"/>
  <c r="H427"/>
  <c r="G427"/>
  <c r="F427"/>
  <c r="E427"/>
  <c r="D427"/>
  <c r="C427"/>
  <c r="B427"/>
  <c r="S50"/>
  <c r="R424"/>
  <c r="Q424"/>
  <c r="P424"/>
  <c r="O424"/>
  <c r="N424"/>
  <c r="M424"/>
  <c r="L424"/>
  <c r="K424"/>
  <c r="J424"/>
  <c r="I424"/>
  <c r="H424"/>
  <c r="G424"/>
  <c r="F424"/>
  <c r="E424"/>
  <c r="D424"/>
  <c r="C424"/>
  <c r="B424"/>
  <c r="S49"/>
  <c r="R30"/>
  <c r="Q30"/>
  <c r="P30"/>
  <c r="O30"/>
  <c r="N30"/>
  <c r="M30"/>
  <c r="L30"/>
  <c r="K30"/>
  <c r="J30"/>
  <c r="I30"/>
  <c r="H30"/>
  <c r="G30"/>
  <c r="F30"/>
  <c r="E30"/>
  <c r="D30"/>
  <c r="C30"/>
  <c r="B30"/>
  <c r="S4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S47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S46"/>
  <c r="R316"/>
  <c r="Q316"/>
  <c r="P316"/>
  <c r="O316"/>
  <c r="N316"/>
  <c r="M316"/>
  <c r="L316"/>
  <c r="K316"/>
  <c r="J316"/>
  <c r="I316"/>
  <c r="H316"/>
  <c r="G316"/>
  <c r="F316"/>
  <c r="E316"/>
  <c r="D316"/>
  <c r="C316"/>
  <c r="B316"/>
  <c r="S45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S44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S43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S42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S41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S40"/>
  <c r="R384"/>
  <c r="Q384"/>
  <c r="P384"/>
  <c r="O384"/>
  <c r="N384"/>
  <c r="M384"/>
  <c r="L384"/>
  <c r="K384"/>
  <c r="J384"/>
  <c r="I384"/>
  <c r="H384"/>
  <c r="G384"/>
  <c r="F384"/>
  <c r="E384"/>
  <c r="D384"/>
  <c r="C384"/>
  <c r="B384"/>
  <c r="S39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S38"/>
  <c r="R82"/>
  <c r="Q82"/>
  <c r="P82"/>
  <c r="O82"/>
  <c r="N82"/>
  <c r="M82"/>
  <c r="L82"/>
  <c r="K82"/>
  <c r="J82"/>
  <c r="I82"/>
  <c r="H82"/>
  <c r="G82"/>
  <c r="F82"/>
  <c r="E82"/>
  <c r="D82"/>
  <c r="C82"/>
  <c r="B82"/>
  <c r="S3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S36"/>
  <c r="R43"/>
  <c r="Q43"/>
  <c r="P43"/>
  <c r="O43"/>
  <c r="N43"/>
  <c r="M43"/>
  <c r="L43"/>
  <c r="K43"/>
  <c r="J43"/>
  <c r="I43"/>
  <c r="H43"/>
  <c r="G43"/>
  <c r="F43"/>
  <c r="E43"/>
  <c r="D43"/>
  <c r="C43"/>
  <c r="B43"/>
  <c r="S35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S34"/>
  <c r="R38"/>
  <c r="Q38"/>
  <c r="P38"/>
  <c r="O38"/>
  <c r="N38"/>
  <c r="M38"/>
  <c r="L38"/>
  <c r="K38"/>
  <c r="J38"/>
  <c r="I38"/>
  <c r="H38"/>
  <c r="G38"/>
  <c r="F38"/>
  <c r="E38"/>
  <c r="D38"/>
  <c r="C38"/>
  <c r="B38"/>
  <c r="S33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S32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S31"/>
  <c r="R364"/>
  <c r="Q364"/>
  <c r="P364"/>
  <c r="O364"/>
  <c r="N364"/>
  <c r="M364"/>
  <c r="L364"/>
  <c r="K364"/>
  <c r="J364"/>
  <c r="I364"/>
  <c r="H364"/>
  <c r="G364"/>
  <c r="F364"/>
  <c r="E364"/>
  <c r="D364"/>
  <c r="C364"/>
  <c r="B364"/>
  <c r="S30"/>
  <c r="R342"/>
  <c r="Q342"/>
  <c r="P342"/>
  <c r="O342"/>
  <c r="N342"/>
  <c r="M342"/>
  <c r="L342"/>
  <c r="K342"/>
  <c r="J342"/>
  <c r="I342"/>
  <c r="H342"/>
  <c r="G342"/>
  <c r="F342"/>
  <c r="E342"/>
  <c r="D342"/>
  <c r="C342"/>
  <c r="B342"/>
  <c r="S29"/>
  <c r="R42"/>
  <c r="Q42"/>
  <c r="P42"/>
  <c r="O42"/>
  <c r="N42"/>
  <c r="M42"/>
  <c r="L42"/>
  <c r="K42"/>
  <c r="J42"/>
  <c r="I42"/>
  <c r="H42"/>
  <c r="G42"/>
  <c r="F42"/>
  <c r="E42"/>
  <c r="D42"/>
  <c r="C42"/>
  <c r="B42"/>
  <c r="S28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S2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S26"/>
  <c r="R52"/>
  <c r="Q52"/>
  <c r="P52"/>
  <c r="O52"/>
  <c r="N52"/>
  <c r="M52"/>
  <c r="L52"/>
  <c r="K52"/>
  <c r="J52"/>
  <c r="I52"/>
  <c r="H52"/>
  <c r="G52"/>
  <c r="F52"/>
  <c r="E52"/>
  <c r="D52"/>
  <c r="C52"/>
  <c r="B52"/>
  <c r="S25"/>
  <c r="R352"/>
  <c r="Q352"/>
  <c r="P352"/>
  <c r="O352"/>
  <c r="N352"/>
  <c r="M352"/>
  <c r="L352"/>
  <c r="K352"/>
  <c r="J352"/>
  <c r="I352"/>
  <c r="H352"/>
  <c r="G352"/>
  <c r="F352"/>
  <c r="E352"/>
  <c r="D352"/>
  <c r="C352"/>
  <c r="B352"/>
  <c r="S24"/>
  <c r="R411"/>
  <c r="Q411"/>
  <c r="P411"/>
  <c r="O411"/>
  <c r="N411"/>
  <c r="M411"/>
  <c r="L411"/>
  <c r="K411"/>
  <c r="J411"/>
  <c r="I411"/>
  <c r="H411"/>
  <c r="G411"/>
  <c r="F411"/>
  <c r="E411"/>
  <c r="D411"/>
  <c r="C411"/>
  <c r="B411"/>
  <c r="S23"/>
  <c r="R426"/>
  <c r="Q426"/>
  <c r="P426"/>
  <c r="O426"/>
  <c r="N426"/>
  <c r="M426"/>
  <c r="L426"/>
  <c r="K426"/>
  <c r="J426"/>
  <c r="I426"/>
  <c r="H426"/>
  <c r="G426"/>
  <c r="F426"/>
  <c r="E426"/>
  <c r="D426"/>
  <c r="C426"/>
  <c r="B426"/>
  <c r="S22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S21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S20"/>
  <c r="R365"/>
  <c r="Q365"/>
  <c r="P365"/>
  <c r="O365"/>
  <c r="N365"/>
  <c r="M365"/>
  <c r="L365"/>
  <c r="K365"/>
  <c r="J365"/>
  <c r="I365"/>
  <c r="H365"/>
  <c r="G365"/>
  <c r="F365"/>
  <c r="E365"/>
  <c r="D365"/>
  <c r="C365"/>
  <c r="B365"/>
  <c r="S19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S18"/>
  <c r="R435"/>
  <c r="Q435"/>
  <c r="P435"/>
  <c r="O435"/>
  <c r="N435"/>
  <c r="M435"/>
  <c r="L435"/>
  <c r="K435"/>
  <c r="J435"/>
  <c r="I435"/>
  <c r="H435"/>
  <c r="G435"/>
  <c r="F435"/>
  <c r="E435"/>
  <c r="D435"/>
  <c r="C435"/>
  <c r="B435"/>
  <c r="S17"/>
  <c r="R74"/>
  <c r="Q74"/>
  <c r="P74"/>
  <c r="O74"/>
  <c r="N74"/>
  <c r="M74"/>
  <c r="L74"/>
  <c r="K74"/>
  <c r="J74"/>
  <c r="I74"/>
  <c r="H74"/>
  <c r="G74"/>
  <c r="F74"/>
  <c r="E74"/>
  <c r="D74"/>
  <c r="C74"/>
  <c r="B74"/>
  <c r="S16"/>
  <c r="R84"/>
  <c r="Q84"/>
  <c r="P84"/>
  <c r="O84"/>
  <c r="N84"/>
  <c r="M84"/>
  <c r="L84"/>
  <c r="K84"/>
  <c r="J84"/>
  <c r="I84"/>
  <c r="H84"/>
  <c r="G84"/>
  <c r="F84"/>
  <c r="E84"/>
  <c r="D84"/>
  <c r="C84"/>
  <c r="B84"/>
  <c r="S15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S14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S13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S12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S11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S10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S9"/>
  <c r="R478"/>
  <c r="Q478"/>
  <c r="P478"/>
  <c r="O478"/>
  <c r="N478"/>
  <c r="M478"/>
  <c r="L478"/>
  <c r="K478"/>
  <c r="J478"/>
  <c r="I478"/>
  <c r="H478"/>
  <c r="G478"/>
  <c r="F478"/>
  <c r="E478"/>
  <c r="D478"/>
  <c r="C478"/>
  <c r="B478"/>
  <c r="S8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S7"/>
  <c r="R437"/>
  <c r="Q437"/>
  <c r="P437"/>
  <c r="O437"/>
  <c r="N437"/>
  <c r="M437"/>
  <c r="L437"/>
  <c r="K437"/>
  <c r="J437"/>
  <c r="I437"/>
  <c r="H437"/>
  <c r="G437"/>
  <c r="F437"/>
  <c r="E437"/>
  <c r="D437"/>
  <c r="C437"/>
  <c r="B437"/>
  <c r="S6"/>
  <c r="R90"/>
  <c r="Q90"/>
  <c r="P90"/>
  <c r="O90"/>
  <c r="N90"/>
  <c r="M90"/>
  <c r="L90"/>
  <c r="K90"/>
  <c r="J90"/>
  <c r="I90"/>
  <c r="H90"/>
  <c r="G90"/>
  <c r="F90"/>
  <c r="E90"/>
  <c r="D90"/>
  <c r="C90"/>
  <c r="B90"/>
  <c r="S102" i="11" l="1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S101"/>
  <c r="R63"/>
  <c r="Q63"/>
  <c r="P63"/>
  <c r="O63"/>
  <c r="N63"/>
  <c r="M63"/>
  <c r="L63"/>
  <c r="K63"/>
  <c r="J63"/>
  <c r="I63"/>
  <c r="H63"/>
  <c r="G63"/>
  <c r="F63"/>
  <c r="E63"/>
  <c r="D63"/>
  <c r="C63"/>
  <c r="B63"/>
  <c r="S100"/>
  <c r="R22"/>
  <c r="Q22"/>
  <c r="P22"/>
  <c r="O22"/>
  <c r="N22"/>
  <c r="M22"/>
  <c r="L22"/>
  <c r="K22"/>
  <c r="J22"/>
  <c r="I22"/>
  <c r="H22"/>
  <c r="G22"/>
  <c r="F22"/>
  <c r="E22"/>
  <c r="D22"/>
  <c r="C22"/>
  <c r="B22"/>
  <c r="S99"/>
  <c r="R66"/>
  <c r="Q66"/>
  <c r="P66"/>
  <c r="O66"/>
  <c r="N66"/>
  <c r="M66"/>
  <c r="L66"/>
  <c r="K66"/>
  <c r="J66"/>
  <c r="I66"/>
  <c r="H66"/>
  <c r="G66"/>
  <c r="F66"/>
  <c r="E66"/>
  <c r="D66"/>
  <c r="C66"/>
  <c r="B66"/>
  <c r="S98"/>
  <c r="R26"/>
  <c r="Q26"/>
  <c r="P26"/>
  <c r="O26"/>
  <c r="N26"/>
  <c r="M26"/>
  <c r="L26"/>
  <c r="K26"/>
  <c r="J26"/>
  <c r="I26"/>
  <c r="H26"/>
  <c r="G26"/>
  <c r="F26"/>
  <c r="E26"/>
  <c r="D26"/>
  <c r="C26"/>
  <c r="B26"/>
  <c r="S97"/>
  <c r="R73"/>
  <c r="Q73"/>
  <c r="P73"/>
  <c r="O73"/>
  <c r="N73"/>
  <c r="M73"/>
  <c r="L73"/>
  <c r="K73"/>
  <c r="J73"/>
  <c r="I73"/>
  <c r="H73"/>
  <c r="G73"/>
  <c r="F73"/>
  <c r="E73"/>
  <c r="D73"/>
  <c r="C73"/>
  <c r="B73"/>
  <c r="S96"/>
  <c r="R33"/>
  <c r="Q33"/>
  <c r="P33"/>
  <c r="O33"/>
  <c r="N33"/>
  <c r="M33"/>
  <c r="L33"/>
  <c r="K33"/>
  <c r="J33"/>
  <c r="I33"/>
  <c r="H33"/>
  <c r="G33"/>
  <c r="F33"/>
  <c r="E33"/>
  <c r="D33"/>
  <c r="C33"/>
  <c r="B33"/>
  <c r="S95"/>
  <c r="R67"/>
  <c r="Q67"/>
  <c r="P67"/>
  <c r="O67"/>
  <c r="N67"/>
  <c r="M67"/>
  <c r="L67"/>
  <c r="K67"/>
  <c r="J67"/>
  <c r="I67"/>
  <c r="H67"/>
  <c r="G67"/>
  <c r="F67"/>
  <c r="E67"/>
  <c r="D67"/>
  <c r="C67"/>
  <c r="B67"/>
  <c r="S94"/>
  <c r="R19"/>
  <c r="Q19"/>
  <c r="P19"/>
  <c r="O19"/>
  <c r="N19"/>
  <c r="M19"/>
  <c r="L19"/>
  <c r="K19"/>
  <c r="J19"/>
  <c r="I19"/>
  <c r="H19"/>
  <c r="G19"/>
  <c r="F19"/>
  <c r="E19"/>
  <c r="D19"/>
  <c r="C19"/>
  <c r="B19"/>
  <c r="S93"/>
  <c r="R24"/>
  <c r="Q24"/>
  <c r="P24"/>
  <c r="O24"/>
  <c r="N24"/>
  <c r="M24"/>
  <c r="L24"/>
  <c r="K24"/>
  <c r="J24"/>
  <c r="I24"/>
  <c r="H24"/>
  <c r="G24"/>
  <c r="F24"/>
  <c r="E24"/>
  <c r="D24"/>
  <c r="C24"/>
  <c r="B24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S91"/>
  <c r="R36"/>
  <c r="Q36"/>
  <c r="P36"/>
  <c r="O36"/>
  <c r="N36"/>
  <c r="M36"/>
  <c r="L36"/>
  <c r="K36"/>
  <c r="J36"/>
  <c r="I36"/>
  <c r="H36"/>
  <c r="G36"/>
  <c r="F36"/>
  <c r="E36"/>
  <c r="D36"/>
  <c r="C36"/>
  <c r="B36"/>
  <c r="S90"/>
  <c r="R85"/>
  <c r="Q85"/>
  <c r="P85"/>
  <c r="O85"/>
  <c r="N85"/>
  <c r="M85"/>
  <c r="L85"/>
  <c r="K85"/>
  <c r="J85"/>
  <c r="I85"/>
  <c r="H85"/>
  <c r="G85"/>
  <c r="F85"/>
  <c r="E85"/>
  <c r="D85"/>
  <c r="C85"/>
  <c r="B85"/>
  <c r="S89"/>
  <c r="R58"/>
  <c r="Q58"/>
  <c r="P58"/>
  <c r="O58"/>
  <c r="N58"/>
  <c r="M58"/>
  <c r="L58"/>
  <c r="K58"/>
  <c r="J58"/>
  <c r="I58"/>
  <c r="H58"/>
  <c r="G58"/>
  <c r="F58"/>
  <c r="E58"/>
  <c r="D58"/>
  <c r="C58"/>
  <c r="B58"/>
  <c r="S88"/>
  <c r="R45"/>
  <c r="Q45"/>
  <c r="P45"/>
  <c r="O45"/>
  <c r="N45"/>
  <c r="M45"/>
  <c r="L45"/>
  <c r="K45"/>
  <c r="J45"/>
  <c r="I45"/>
  <c r="H45"/>
  <c r="G45"/>
  <c r="F45"/>
  <c r="E45"/>
  <c r="D45"/>
  <c r="C45"/>
  <c r="B45"/>
  <c r="S87"/>
  <c r="R18"/>
  <c r="Q18"/>
  <c r="P18"/>
  <c r="O18"/>
  <c r="N18"/>
  <c r="M18"/>
  <c r="L18"/>
  <c r="K18"/>
  <c r="J18"/>
  <c r="I18"/>
  <c r="H18"/>
  <c r="G18"/>
  <c r="F18"/>
  <c r="E18"/>
  <c r="D18"/>
  <c r="C18"/>
  <c r="B18"/>
  <c r="S86"/>
  <c r="R87"/>
  <c r="Q87"/>
  <c r="P87"/>
  <c r="O87"/>
  <c r="N87"/>
  <c r="M87"/>
  <c r="L87"/>
  <c r="K87"/>
  <c r="J87"/>
  <c r="I87"/>
  <c r="H87"/>
  <c r="G87"/>
  <c r="F87"/>
  <c r="E87"/>
  <c r="D87"/>
  <c r="C87"/>
  <c r="B87"/>
  <c r="S85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S84"/>
  <c r="R95"/>
  <c r="Q95"/>
  <c r="P95"/>
  <c r="O95"/>
  <c r="N95"/>
  <c r="M95"/>
  <c r="L95"/>
  <c r="K95"/>
  <c r="J95"/>
  <c r="I95"/>
  <c r="H95"/>
  <c r="G95"/>
  <c r="F95"/>
  <c r="E95"/>
  <c r="D95"/>
  <c r="C95"/>
  <c r="B95"/>
  <c r="S83"/>
  <c r="R42"/>
  <c r="Q42"/>
  <c r="P42"/>
  <c r="O42"/>
  <c r="N42"/>
  <c r="M42"/>
  <c r="L42"/>
  <c r="K42"/>
  <c r="J42"/>
  <c r="I42"/>
  <c r="H42"/>
  <c r="G42"/>
  <c r="F42"/>
  <c r="E42"/>
  <c r="D42"/>
  <c r="C42"/>
  <c r="B42"/>
  <c r="S82"/>
  <c r="R25"/>
  <c r="Q25"/>
  <c r="P25"/>
  <c r="O25"/>
  <c r="N25"/>
  <c r="M25"/>
  <c r="L25"/>
  <c r="K25"/>
  <c r="J25"/>
  <c r="I25"/>
  <c r="H25"/>
  <c r="G25"/>
  <c r="F25"/>
  <c r="E25"/>
  <c r="D25"/>
  <c r="C25"/>
  <c r="B25"/>
  <c r="S81"/>
  <c r="R71"/>
  <c r="Q71"/>
  <c r="P71"/>
  <c r="O71"/>
  <c r="N71"/>
  <c r="M71"/>
  <c r="L71"/>
  <c r="K71"/>
  <c r="J71"/>
  <c r="I71"/>
  <c r="H71"/>
  <c r="G71"/>
  <c r="F71"/>
  <c r="E71"/>
  <c r="D71"/>
  <c r="C71"/>
  <c r="B71"/>
  <c r="S8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S79"/>
  <c r="R44"/>
  <c r="Q44"/>
  <c r="P44"/>
  <c r="O44"/>
  <c r="N44"/>
  <c r="M44"/>
  <c r="L44"/>
  <c r="K44"/>
  <c r="J44"/>
  <c r="I44"/>
  <c r="H44"/>
  <c r="G44"/>
  <c r="F44"/>
  <c r="E44"/>
  <c r="D44"/>
  <c r="C44"/>
  <c r="B44"/>
  <c r="S78"/>
  <c r="R30"/>
  <c r="Q30"/>
  <c r="P30"/>
  <c r="O30"/>
  <c r="N30"/>
  <c r="M30"/>
  <c r="L30"/>
  <c r="K30"/>
  <c r="J30"/>
  <c r="I30"/>
  <c r="H30"/>
  <c r="G30"/>
  <c r="F30"/>
  <c r="E30"/>
  <c r="D30"/>
  <c r="C30"/>
  <c r="B30"/>
  <c r="S77"/>
  <c r="R56"/>
  <c r="Q56"/>
  <c r="P56"/>
  <c r="O56"/>
  <c r="N56"/>
  <c r="M56"/>
  <c r="L56"/>
  <c r="K56"/>
  <c r="J56"/>
  <c r="I56"/>
  <c r="H56"/>
  <c r="G56"/>
  <c r="F56"/>
  <c r="E56"/>
  <c r="D56"/>
  <c r="C56"/>
  <c r="B56"/>
  <c r="S76"/>
  <c r="R37"/>
  <c r="Q37"/>
  <c r="P37"/>
  <c r="O37"/>
  <c r="N37"/>
  <c r="M37"/>
  <c r="L37"/>
  <c r="K37"/>
  <c r="J37"/>
  <c r="I37"/>
  <c r="H37"/>
  <c r="G37"/>
  <c r="F37"/>
  <c r="E37"/>
  <c r="D37"/>
  <c r="C37"/>
  <c r="B37"/>
  <c r="S75"/>
  <c r="R76"/>
  <c r="Q76"/>
  <c r="P76"/>
  <c r="O76"/>
  <c r="N76"/>
  <c r="M76"/>
  <c r="L76"/>
  <c r="K76"/>
  <c r="J76"/>
  <c r="I76"/>
  <c r="H76"/>
  <c r="G76"/>
  <c r="F76"/>
  <c r="E76"/>
  <c r="D76"/>
  <c r="C76"/>
  <c r="B76"/>
  <c r="S74"/>
  <c r="R90"/>
  <c r="Q90"/>
  <c r="P90"/>
  <c r="O90"/>
  <c r="N90"/>
  <c r="M90"/>
  <c r="L90"/>
  <c r="K90"/>
  <c r="J90"/>
  <c r="I90"/>
  <c r="H90"/>
  <c r="G90"/>
  <c r="F90"/>
  <c r="E90"/>
  <c r="D90"/>
  <c r="C90"/>
  <c r="B90"/>
  <c r="S73"/>
  <c r="R39"/>
  <c r="Q39"/>
  <c r="P39"/>
  <c r="O39"/>
  <c r="N39"/>
  <c r="M39"/>
  <c r="L39"/>
  <c r="K39"/>
  <c r="J39"/>
  <c r="I39"/>
  <c r="H39"/>
  <c r="G39"/>
  <c r="F39"/>
  <c r="E39"/>
  <c r="D39"/>
  <c r="C39"/>
  <c r="B39"/>
  <c r="S72"/>
  <c r="R49"/>
  <c r="Q49"/>
  <c r="P49"/>
  <c r="O49"/>
  <c r="N49"/>
  <c r="M49"/>
  <c r="L49"/>
  <c r="K49"/>
  <c r="J49"/>
  <c r="I49"/>
  <c r="H49"/>
  <c r="G49"/>
  <c r="F49"/>
  <c r="E49"/>
  <c r="D49"/>
  <c r="C49"/>
  <c r="B49"/>
  <c r="S71"/>
  <c r="R83"/>
  <c r="Q83"/>
  <c r="P83"/>
  <c r="O83"/>
  <c r="N83"/>
  <c r="M83"/>
  <c r="L83"/>
  <c r="K83"/>
  <c r="J83"/>
  <c r="I83"/>
  <c r="H83"/>
  <c r="G83"/>
  <c r="F83"/>
  <c r="E83"/>
  <c r="D83"/>
  <c r="C83"/>
  <c r="B83"/>
  <c r="S70"/>
  <c r="R8"/>
  <c r="Q8"/>
  <c r="P8"/>
  <c r="O8"/>
  <c r="N8"/>
  <c r="M8"/>
  <c r="L8"/>
  <c r="K8"/>
  <c r="J8"/>
  <c r="I8"/>
  <c r="H8"/>
  <c r="G8"/>
  <c r="F8"/>
  <c r="E8"/>
  <c r="D8"/>
  <c r="C8"/>
  <c r="B8"/>
  <c r="S69"/>
  <c r="R88"/>
  <c r="Q88"/>
  <c r="P88"/>
  <c r="O88"/>
  <c r="N88"/>
  <c r="M88"/>
  <c r="L88"/>
  <c r="K88"/>
  <c r="J88"/>
  <c r="I88"/>
  <c r="H88"/>
  <c r="G88"/>
  <c r="F88"/>
  <c r="E88"/>
  <c r="D88"/>
  <c r="C88"/>
  <c r="B88"/>
  <c r="S68"/>
  <c r="R69"/>
  <c r="Q69"/>
  <c r="P69"/>
  <c r="O69"/>
  <c r="N69"/>
  <c r="M69"/>
  <c r="L69"/>
  <c r="K69"/>
  <c r="J69"/>
  <c r="I69"/>
  <c r="H69"/>
  <c r="G69"/>
  <c r="F69"/>
  <c r="E69"/>
  <c r="D69"/>
  <c r="C69"/>
  <c r="B69"/>
  <c r="S67"/>
  <c r="R65"/>
  <c r="Q65"/>
  <c r="P65"/>
  <c r="O65"/>
  <c r="N65"/>
  <c r="M65"/>
  <c r="L65"/>
  <c r="K65"/>
  <c r="J65"/>
  <c r="I65"/>
  <c r="H65"/>
  <c r="G65"/>
  <c r="F65"/>
  <c r="E65"/>
  <c r="D65"/>
  <c r="C65"/>
  <c r="B65"/>
  <c r="S66"/>
  <c r="R62"/>
  <c r="Q62"/>
  <c r="P62"/>
  <c r="O62"/>
  <c r="N62"/>
  <c r="M62"/>
  <c r="L62"/>
  <c r="K62"/>
  <c r="J62"/>
  <c r="I62"/>
  <c r="H62"/>
  <c r="G62"/>
  <c r="F62"/>
  <c r="E62"/>
  <c r="D62"/>
  <c r="C62"/>
  <c r="B62"/>
  <c r="S65"/>
  <c r="R64"/>
  <c r="Q64"/>
  <c r="P64"/>
  <c r="O64"/>
  <c r="N64"/>
  <c r="M64"/>
  <c r="L64"/>
  <c r="K64"/>
  <c r="J64"/>
  <c r="I64"/>
  <c r="H64"/>
  <c r="G64"/>
  <c r="F64"/>
  <c r="E64"/>
  <c r="D64"/>
  <c r="C64"/>
  <c r="B64"/>
  <c r="S64"/>
  <c r="R77"/>
  <c r="Q77"/>
  <c r="P77"/>
  <c r="O77"/>
  <c r="N77"/>
  <c r="M77"/>
  <c r="L77"/>
  <c r="K77"/>
  <c r="J77"/>
  <c r="I77"/>
  <c r="H77"/>
  <c r="G77"/>
  <c r="F77"/>
  <c r="E77"/>
  <c r="D77"/>
  <c r="C77"/>
  <c r="B77"/>
  <c r="S63"/>
  <c r="R53"/>
  <c r="Q53"/>
  <c r="P53"/>
  <c r="O53"/>
  <c r="N53"/>
  <c r="M53"/>
  <c r="L53"/>
  <c r="K53"/>
  <c r="J53"/>
  <c r="I53"/>
  <c r="H53"/>
  <c r="G53"/>
  <c r="F53"/>
  <c r="E53"/>
  <c r="D53"/>
  <c r="C53"/>
  <c r="B53"/>
  <c r="S62"/>
  <c r="R96"/>
  <c r="Q96"/>
  <c r="P96"/>
  <c r="O96"/>
  <c r="N96"/>
  <c r="M96"/>
  <c r="L96"/>
  <c r="K96"/>
  <c r="J96"/>
  <c r="I96"/>
  <c r="H96"/>
  <c r="G96"/>
  <c r="F96"/>
  <c r="E96"/>
  <c r="D96"/>
  <c r="C96"/>
  <c r="B96"/>
  <c r="S61"/>
  <c r="R59"/>
  <c r="Q59"/>
  <c r="P59"/>
  <c r="O59"/>
  <c r="N59"/>
  <c r="M59"/>
  <c r="L59"/>
  <c r="K59"/>
  <c r="J59"/>
  <c r="I59"/>
  <c r="H59"/>
  <c r="G59"/>
  <c r="F59"/>
  <c r="E59"/>
  <c r="D59"/>
  <c r="C59"/>
  <c r="B59"/>
  <c r="S60"/>
  <c r="R55"/>
  <c r="Q55"/>
  <c r="P55"/>
  <c r="O55"/>
  <c r="N55"/>
  <c r="M55"/>
  <c r="L55"/>
  <c r="K55"/>
  <c r="J55"/>
  <c r="I55"/>
  <c r="H55"/>
  <c r="G55"/>
  <c r="F55"/>
  <c r="E55"/>
  <c r="D55"/>
  <c r="C55"/>
  <c r="B55"/>
  <c r="S59"/>
  <c r="R54"/>
  <c r="Q54"/>
  <c r="P54"/>
  <c r="O54"/>
  <c r="N54"/>
  <c r="M54"/>
  <c r="L54"/>
  <c r="K54"/>
  <c r="J54"/>
  <c r="I54"/>
  <c r="H54"/>
  <c r="G54"/>
  <c r="F54"/>
  <c r="E54"/>
  <c r="D54"/>
  <c r="C54"/>
  <c r="B54"/>
  <c r="S58"/>
  <c r="R50"/>
  <c r="Q50"/>
  <c r="P50"/>
  <c r="O50"/>
  <c r="N50"/>
  <c r="M50"/>
  <c r="L50"/>
  <c r="K50"/>
  <c r="J50"/>
  <c r="I50"/>
  <c r="H50"/>
  <c r="G50"/>
  <c r="F50"/>
  <c r="E50"/>
  <c r="D50"/>
  <c r="C50"/>
  <c r="B50"/>
  <c r="S57"/>
  <c r="R16"/>
  <c r="Q16"/>
  <c r="P16"/>
  <c r="O16"/>
  <c r="N16"/>
  <c r="M16"/>
  <c r="L16"/>
  <c r="K16"/>
  <c r="J16"/>
  <c r="I16"/>
  <c r="H16"/>
  <c r="G16"/>
  <c r="F16"/>
  <c r="E16"/>
  <c r="D16"/>
  <c r="C16"/>
  <c r="B16"/>
  <c r="S56"/>
  <c r="R21"/>
  <c r="Q21"/>
  <c r="P21"/>
  <c r="O21"/>
  <c r="N21"/>
  <c r="M21"/>
  <c r="L21"/>
  <c r="K21"/>
  <c r="J21"/>
  <c r="I21"/>
  <c r="H21"/>
  <c r="G21"/>
  <c r="F21"/>
  <c r="E21"/>
  <c r="D21"/>
  <c r="C21"/>
  <c r="B21"/>
  <c r="S55"/>
  <c r="R81"/>
  <c r="Q81"/>
  <c r="P81"/>
  <c r="O81"/>
  <c r="N81"/>
  <c r="M81"/>
  <c r="L81"/>
  <c r="K81"/>
  <c r="J81"/>
  <c r="I81"/>
  <c r="H81"/>
  <c r="G81"/>
  <c r="F81"/>
  <c r="E81"/>
  <c r="D81"/>
  <c r="C81"/>
  <c r="B81"/>
  <c r="S54"/>
  <c r="R61"/>
  <c r="Q61"/>
  <c r="P61"/>
  <c r="O61"/>
  <c r="N61"/>
  <c r="M61"/>
  <c r="L61"/>
  <c r="K61"/>
  <c r="J61"/>
  <c r="I61"/>
  <c r="H61"/>
  <c r="G61"/>
  <c r="F61"/>
  <c r="E61"/>
  <c r="D61"/>
  <c r="C61"/>
  <c r="B61"/>
  <c r="S53"/>
  <c r="R20"/>
  <c r="Q20"/>
  <c r="P20"/>
  <c r="O20"/>
  <c r="N20"/>
  <c r="M20"/>
  <c r="L20"/>
  <c r="K20"/>
  <c r="J20"/>
  <c r="I20"/>
  <c r="H20"/>
  <c r="G20"/>
  <c r="F20"/>
  <c r="E20"/>
  <c r="D20"/>
  <c r="C20"/>
  <c r="B20"/>
  <c r="S52"/>
  <c r="R74"/>
  <c r="Q74"/>
  <c r="P74"/>
  <c r="O74"/>
  <c r="N74"/>
  <c r="M74"/>
  <c r="L74"/>
  <c r="K74"/>
  <c r="J74"/>
  <c r="I74"/>
  <c r="H74"/>
  <c r="G74"/>
  <c r="F74"/>
  <c r="E74"/>
  <c r="D74"/>
  <c r="C74"/>
  <c r="B74"/>
  <c r="S51"/>
  <c r="R82"/>
  <c r="Q82"/>
  <c r="P82"/>
  <c r="O82"/>
  <c r="N82"/>
  <c r="M82"/>
  <c r="L82"/>
  <c r="K82"/>
  <c r="J82"/>
  <c r="I82"/>
  <c r="H82"/>
  <c r="G82"/>
  <c r="F82"/>
  <c r="E82"/>
  <c r="D82"/>
  <c r="C82"/>
  <c r="B82"/>
  <c r="S50"/>
  <c r="R32"/>
  <c r="Q32"/>
  <c r="P32"/>
  <c r="O32"/>
  <c r="N32"/>
  <c r="M32"/>
  <c r="L32"/>
  <c r="K32"/>
  <c r="J32"/>
  <c r="I32"/>
  <c r="H32"/>
  <c r="G32"/>
  <c r="F32"/>
  <c r="E32"/>
  <c r="D32"/>
  <c r="C32"/>
  <c r="B32"/>
  <c r="S49"/>
  <c r="R10"/>
  <c r="Q10"/>
  <c r="P10"/>
  <c r="O10"/>
  <c r="N10"/>
  <c r="M10"/>
  <c r="L10"/>
  <c r="K10"/>
  <c r="J10"/>
  <c r="I10"/>
  <c r="H10"/>
  <c r="G10"/>
  <c r="F10"/>
  <c r="E10"/>
  <c r="D10"/>
  <c r="C10"/>
  <c r="B10"/>
  <c r="S48"/>
  <c r="R27"/>
  <c r="Q27"/>
  <c r="P27"/>
  <c r="O27"/>
  <c r="N27"/>
  <c r="M27"/>
  <c r="L27"/>
  <c r="K27"/>
  <c r="J27"/>
  <c r="I27"/>
  <c r="H27"/>
  <c r="G27"/>
  <c r="F27"/>
  <c r="E27"/>
  <c r="D27"/>
  <c r="C27"/>
  <c r="B27"/>
  <c r="S47"/>
  <c r="R35"/>
  <c r="Q35"/>
  <c r="P35"/>
  <c r="O35"/>
  <c r="N35"/>
  <c r="M35"/>
  <c r="L35"/>
  <c r="K35"/>
  <c r="J35"/>
  <c r="I35"/>
  <c r="H35"/>
  <c r="G35"/>
  <c r="F35"/>
  <c r="E35"/>
  <c r="D35"/>
  <c r="C35"/>
  <c r="B35"/>
  <c r="S46"/>
  <c r="R93"/>
  <c r="Q93"/>
  <c r="P93"/>
  <c r="O93"/>
  <c r="N93"/>
  <c r="M93"/>
  <c r="L93"/>
  <c r="K93"/>
  <c r="J93"/>
  <c r="I93"/>
  <c r="H93"/>
  <c r="G93"/>
  <c r="F93"/>
  <c r="E93"/>
  <c r="D93"/>
  <c r="C93"/>
  <c r="B93"/>
  <c r="S45"/>
  <c r="R75"/>
  <c r="Q75"/>
  <c r="P75"/>
  <c r="O75"/>
  <c r="N75"/>
  <c r="M75"/>
  <c r="L75"/>
  <c r="K75"/>
  <c r="J75"/>
  <c r="I75"/>
  <c r="H75"/>
  <c r="G75"/>
  <c r="F75"/>
  <c r="E75"/>
  <c r="D75"/>
  <c r="C75"/>
  <c r="B75"/>
  <c r="S44"/>
  <c r="R98"/>
  <c r="Q98"/>
  <c r="P98"/>
  <c r="O98"/>
  <c r="N98"/>
  <c r="M98"/>
  <c r="L98"/>
  <c r="K98"/>
  <c r="J98"/>
  <c r="I98"/>
  <c r="H98"/>
  <c r="G98"/>
  <c r="F98"/>
  <c r="E98"/>
  <c r="D98"/>
  <c r="C98"/>
  <c r="B98"/>
  <c r="S43"/>
  <c r="R89"/>
  <c r="Q89"/>
  <c r="P89"/>
  <c r="O89"/>
  <c r="N89"/>
  <c r="M89"/>
  <c r="L89"/>
  <c r="K89"/>
  <c r="J89"/>
  <c r="I89"/>
  <c r="H89"/>
  <c r="G89"/>
  <c r="F89"/>
  <c r="E89"/>
  <c r="D89"/>
  <c r="C89"/>
  <c r="B89"/>
  <c r="S42"/>
  <c r="R17"/>
  <c r="Q17"/>
  <c r="P17"/>
  <c r="O17"/>
  <c r="N17"/>
  <c r="M17"/>
  <c r="L17"/>
  <c r="K17"/>
  <c r="J17"/>
  <c r="I17"/>
  <c r="H17"/>
  <c r="G17"/>
  <c r="F17"/>
  <c r="E17"/>
  <c r="D17"/>
  <c r="C17"/>
  <c r="B17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S40"/>
  <c r="R9"/>
  <c r="Q9"/>
  <c r="P9"/>
  <c r="O9"/>
  <c r="N9"/>
  <c r="M9"/>
  <c r="L9"/>
  <c r="K9"/>
  <c r="J9"/>
  <c r="I9"/>
  <c r="H9"/>
  <c r="G9"/>
  <c r="F9"/>
  <c r="E9"/>
  <c r="D9"/>
  <c r="C9"/>
  <c r="B9"/>
  <c r="S39"/>
  <c r="R29"/>
  <c r="Q29"/>
  <c r="P29"/>
  <c r="O29"/>
  <c r="N29"/>
  <c r="M29"/>
  <c r="L29"/>
  <c r="K29"/>
  <c r="J29"/>
  <c r="I29"/>
  <c r="H29"/>
  <c r="G29"/>
  <c r="F29"/>
  <c r="E29"/>
  <c r="D29"/>
  <c r="C29"/>
  <c r="B29"/>
  <c r="S38"/>
  <c r="R57"/>
  <c r="Q57"/>
  <c r="P57"/>
  <c r="O57"/>
  <c r="N57"/>
  <c r="M57"/>
  <c r="L57"/>
  <c r="K57"/>
  <c r="J57"/>
  <c r="I57"/>
  <c r="H57"/>
  <c r="G57"/>
  <c r="F57"/>
  <c r="E57"/>
  <c r="D57"/>
  <c r="C57"/>
  <c r="B57"/>
  <c r="S37"/>
  <c r="R38"/>
  <c r="Q38"/>
  <c r="P38"/>
  <c r="O38"/>
  <c r="N38"/>
  <c r="M38"/>
  <c r="L38"/>
  <c r="K38"/>
  <c r="J38"/>
  <c r="I38"/>
  <c r="H38"/>
  <c r="G38"/>
  <c r="F38"/>
  <c r="E38"/>
  <c r="D38"/>
  <c r="C38"/>
  <c r="B38"/>
  <c r="S36"/>
  <c r="R99"/>
  <c r="Q99"/>
  <c r="P99"/>
  <c r="O99"/>
  <c r="N99"/>
  <c r="M99"/>
  <c r="L99"/>
  <c r="K99"/>
  <c r="J99"/>
  <c r="I99"/>
  <c r="H99"/>
  <c r="G99"/>
  <c r="F99"/>
  <c r="E99"/>
  <c r="D99"/>
  <c r="C99"/>
  <c r="B99"/>
  <c r="S35"/>
  <c r="R15"/>
  <c r="Q15"/>
  <c r="P15"/>
  <c r="O15"/>
  <c r="N15"/>
  <c r="M15"/>
  <c r="L15"/>
  <c r="K15"/>
  <c r="J15"/>
  <c r="I15"/>
  <c r="H15"/>
  <c r="G15"/>
  <c r="F15"/>
  <c r="E15"/>
  <c r="D15"/>
  <c r="C15"/>
  <c r="B15"/>
  <c r="S34"/>
  <c r="R68"/>
  <c r="Q68"/>
  <c r="P68"/>
  <c r="O68"/>
  <c r="N68"/>
  <c r="M68"/>
  <c r="L68"/>
  <c r="K68"/>
  <c r="J68"/>
  <c r="I68"/>
  <c r="H68"/>
  <c r="G68"/>
  <c r="F68"/>
  <c r="E68"/>
  <c r="D68"/>
  <c r="C68"/>
  <c r="B68"/>
  <c r="S33"/>
  <c r="R72"/>
  <c r="Q72"/>
  <c r="P72"/>
  <c r="O72"/>
  <c r="N72"/>
  <c r="M72"/>
  <c r="L72"/>
  <c r="K72"/>
  <c r="J72"/>
  <c r="I72"/>
  <c r="H72"/>
  <c r="G72"/>
  <c r="F72"/>
  <c r="E72"/>
  <c r="D72"/>
  <c r="C72"/>
  <c r="B72"/>
  <c r="S32"/>
  <c r="R52"/>
  <c r="Q52"/>
  <c r="P52"/>
  <c r="O52"/>
  <c r="N52"/>
  <c r="M52"/>
  <c r="L52"/>
  <c r="K52"/>
  <c r="J52"/>
  <c r="I52"/>
  <c r="H52"/>
  <c r="G52"/>
  <c r="F52"/>
  <c r="E52"/>
  <c r="D52"/>
  <c r="C52"/>
  <c r="B52"/>
  <c r="S31"/>
  <c r="R43"/>
  <c r="Q43"/>
  <c r="P43"/>
  <c r="O43"/>
  <c r="N43"/>
  <c r="M43"/>
  <c r="L43"/>
  <c r="K43"/>
  <c r="J43"/>
  <c r="I43"/>
  <c r="H43"/>
  <c r="G43"/>
  <c r="F43"/>
  <c r="E43"/>
  <c r="D43"/>
  <c r="C43"/>
  <c r="B43"/>
  <c r="S30"/>
  <c r="R94"/>
  <c r="Q94"/>
  <c r="P94"/>
  <c r="O94"/>
  <c r="N94"/>
  <c r="M94"/>
  <c r="L94"/>
  <c r="K94"/>
  <c r="J94"/>
  <c r="I94"/>
  <c r="H94"/>
  <c r="G94"/>
  <c r="F94"/>
  <c r="E94"/>
  <c r="D94"/>
  <c r="C94"/>
  <c r="B94"/>
  <c r="S29"/>
  <c r="R4"/>
  <c r="Q4"/>
  <c r="P4"/>
  <c r="O4"/>
  <c r="N4"/>
  <c r="M4"/>
  <c r="L4"/>
  <c r="K4"/>
  <c r="J4"/>
  <c r="I4"/>
  <c r="H4"/>
  <c r="G4"/>
  <c r="F4"/>
  <c r="E4"/>
  <c r="D4"/>
  <c r="C4"/>
  <c r="B4"/>
  <c r="S28"/>
  <c r="R51"/>
  <c r="Q51"/>
  <c r="P51"/>
  <c r="O51"/>
  <c r="N51"/>
  <c r="M51"/>
  <c r="L51"/>
  <c r="K51"/>
  <c r="J51"/>
  <c r="I51"/>
  <c r="H51"/>
  <c r="G51"/>
  <c r="F51"/>
  <c r="E51"/>
  <c r="D51"/>
  <c r="C51"/>
  <c r="B51"/>
  <c r="S27"/>
  <c r="R34"/>
  <c r="Q34"/>
  <c r="P34"/>
  <c r="O34"/>
  <c r="N34"/>
  <c r="M34"/>
  <c r="L34"/>
  <c r="K34"/>
  <c r="J34"/>
  <c r="I34"/>
  <c r="H34"/>
  <c r="G34"/>
  <c r="F34"/>
  <c r="E34"/>
  <c r="D34"/>
  <c r="C34"/>
  <c r="B34"/>
  <c r="S26"/>
  <c r="R86"/>
  <c r="Q86"/>
  <c r="P86"/>
  <c r="O86"/>
  <c r="N86"/>
  <c r="M86"/>
  <c r="L86"/>
  <c r="K86"/>
  <c r="J86"/>
  <c r="I86"/>
  <c r="H86"/>
  <c r="G86"/>
  <c r="F86"/>
  <c r="E86"/>
  <c r="D86"/>
  <c r="C86"/>
  <c r="B86"/>
  <c r="S25"/>
  <c r="R7"/>
  <c r="Q7"/>
  <c r="P7"/>
  <c r="O7"/>
  <c r="N7"/>
  <c r="M7"/>
  <c r="L7"/>
  <c r="K7"/>
  <c r="J7"/>
  <c r="I7"/>
  <c r="H7"/>
  <c r="G7"/>
  <c r="F7"/>
  <c r="E7"/>
  <c r="D7"/>
  <c r="C7"/>
  <c r="B7"/>
  <c r="S24"/>
  <c r="R6"/>
  <c r="Q6"/>
  <c r="P6"/>
  <c r="O6"/>
  <c r="N6"/>
  <c r="M6"/>
  <c r="L6"/>
  <c r="K6"/>
  <c r="J6"/>
  <c r="I6"/>
  <c r="H6"/>
  <c r="G6"/>
  <c r="F6"/>
  <c r="E6"/>
  <c r="D6"/>
  <c r="C6"/>
  <c r="B6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S22"/>
  <c r="R13"/>
  <c r="Q13"/>
  <c r="P13"/>
  <c r="O13"/>
  <c r="N13"/>
  <c r="M13"/>
  <c r="L13"/>
  <c r="K13"/>
  <c r="J13"/>
  <c r="I13"/>
  <c r="H13"/>
  <c r="G13"/>
  <c r="F13"/>
  <c r="E13"/>
  <c r="D13"/>
  <c r="C13"/>
  <c r="B13"/>
  <c r="S21"/>
  <c r="R12"/>
  <c r="Q12"/>
  <c r="P12"/>
  <c r="O12"/>
  <c r="N12"/>
  <c r="M12"/>
  <c r="L12"/>
  <c r="K12"/>
  <c r="J12"/>
  <c r="I12"/>
  <c r="H12"/>
  <c r="G12"/>
  <c r="F12"/>
  <c r="E12"/>
  <c r="D12"/>
  <c r="C12"/>
  <c r="B12"/>
  <c r="S20"/>
  <c r="R70"/>
  <c r="Q70"/>
  <c r="P70"/>
  <c r="O70"/>
  <c r="N70"/>
  <c r="M70"/>
  <c r="L70"/>
  <c r="K70"/>
  <c r="J70"/>
  <c r="I70"/>
  <c r="H70"/>
  <c r="G70"/>
  <c r="F70"/>
  <c r="E70"/>
  <c r="D70"/>
  <c r="C70"/>
  <c r="B70"/>
  <c r="S19"/>
  <c r="R91"/>
  <c r="Q91"/>
  <c r="P91"/>
  <c r="O91"/>
  <c r="N91"/>
  <c r="M91"/>
  <c r="L91"/>
  <c r="K91"/>
  <c r="J91"/>
  <c r="I91"/>
  <c r="H91"/>
  <c r="G91"/>
  <c r="F91"/>
  <c r="E91"/>
  <c r="D91"/>
  <c r="C91"/>
  <c r="B91"/>
  <c r="S18"/>
  <c r="R60"/>
  <c r="Q60"/>
  <c r="P60"/>
  <c r="O60"/>
  <c r="N60"/>
  <c r="M60"/>
  <c r="L60"/>
  <c r="K60"/>
  <c r="J60"/>
  <c r="I60"/>
  <c r="H60"/>
  <c r="G60"/>
  <c r="F60"/>
  <c r="E60"/>
  <c r="D60"/>
  <c r="C60"/>
  <c r="B60"/>
  <c r="S17"/>
  <c r="R28"/>
  <c r="Q28"/>
  <c r="P28"/>
  <c r="O28"/>
  <c r="N28"/>
  <c r="M28"/>
  <c r="L28"/>
  <c r="K28"/>
  <c r="J28"/>
  <c r="I28"/>
  <c r="H28"/>
  <c r="G28"/>
  <c r="F28"/>
  <c r="E28"/>
  <c r="D28"/>
  <c r="C28"/>
  <c r="B28"/>
  <c r="S16"/>
  <c r="R80"/>
  <c r="Q80"/>
  <c r="P80"/>
  <c r="O80"/>
  <c r="N80"/>
  <c r="M80"/>
  <c r="L80"/>
  <c r="K80"/>
  <c r="J80"/>
  <c r="I80"/>
  <c r="H80"/>
  <c r="G80"/>
  <c r="F80"/>
  <c r="E80"/>
  <c r="D80"/>
  <c r="C80"/>
  <c r="B80"/>
  <c r="S15"/>
  <c r="R79"/>
  <c r="Q79"/>
  <c r="P79"/>
  <c r="O79"/>
  <c r="N79"/>
  <c r="M79"/>
  <c r="L79"/>
  <c r="K79"/>
  <c r="J79"/>
  <c r="I79"/>
  <c r="H79"/>
  <c r="G79"/>
  <c r="F79"/>
  <c r="E79"/>
  <c r="D79"/>
  <c r="C79"/>
  <c r="B79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S13"/>
  <c r="R31"/>
  <c r="Q31"/>
  <c r="P31"/>
  <c r="O31"/>
  <c r="N31"/>
  <c r="M31"/>
  <c r="L31"/>
  <c r="K31"/>
  <c r="J31"/>
  <c r="I31"/>
  <c r="H31"/>
  <c r="G31"/>
  <c r="F31"/>
  <c r="E31"/>
  <c r="D31"/>
  <c r="C31"/>
  <c r="B31"/>
  <c r="S12"/>
  <c r="R78"/>
  <c r="Q78"/>
  <c r="P78"/>
  <c r="O78"/>
  <c r="N78"/>
  <c r="M78"/>
  <c r="L78"/>
  <c r="K78"/>
  <c r="J78"/>
  <c r="I78"/>
  <c r="H78"/>
  <c r="G78"/>
  <c r="F78"/>
  <c r="E78"/>
  <c r="D78"/>
  <c r="C78"/>
  <c r="B78"/>
  <c r="S11"/>
  <c r="R84"/>
  <c r="Q84"/>
  <c r="P84"/>
  <c r="O84"/>
  <c r="N84"/>
  <c r="M84"/>
  <c r="L84"/>
  <c r="K84"/>
  <c r="J84"/>
  <c r="I84"/>
  <c r="H84"/>
  <c r="G84"/>
  <c r="F84"/>
  <c r="E84"/>
  <c r="D84"/>
  <c r="C84"/>
  <c r="B84"/>
  <c r="S10"/>
  <c r="R5"/>
  <c r="Q5"/>
  <c r="P5"/>
  <c r="O5"/>
  <c r="N5"/>
  <c r="M5"/>
  <c r="L5"/>
  <c r="K5"/>
  <c r="J5"/>
  <c r="I5"/>
  <c r="H5"/>
  <c r="G5"/>
  <c r="F5"/>
  <c r="E5"/>
  <c r="D5"/>
  <c r="C5"/>
  <c r="B5"/>
  <c r="S9"/>
  <c r="R46"/>
  <c r="Q46"/>
  <c r="P46"/>
  <c r="O46"/>
  <c r="N46"/>
  <c r="M46"/>
  <c r="L46"/>
  <c r="K46"/>
  <c r="J46"/>
  <c r="I46"/>
  <c r="H46"/>
  <c r="G46"/>
  <c r="F46"/>
  <c r="E46"/>
  <c r="D46"/>
  <c r="C46"/>
  <c r="B46"/>
  <c r="S8"/>
  <c r="R48"/>
  <c r="Q48"/>
  <c r="P48"/>
  <c r="O48"/>
  <c r="N48"/>
  <c r="M48"/>
  <c r="L48"/>
  <c r="K48"/>
  <c r="J48"/>
  <c r="I48"/>
  <c r="H48"/>
  <c r="G48"/>
  <c r="F48"/>
  <c r="E48"/>
  <c r="D48"/>
  <c r="C48"/>
  <c r="B48"/>
  <c r="S7"/>
  <c r="R47"/>
  <c r="Q47"/>
  <c r="P47"/>
  <c r="O47"/>
  <c r="N47"/>
  <c r="M47"/>
  <c r="L47"/>
  <c r="K47"/>
  <c r="J47"/>
  <c r="I47"/>
  <c r="H47"/>
  <c r="G47"/>
  <c r="F47"/>
  <c r="E47"/>
  <c r="D47"/>
  <c r="C47"/>
  <c r="B47"/>
  <c r="S6"/>
  <c r="R97"/>
  <c r="Q97"/>
  <c r="P97"/>
  <c r="O97"/>
  <c r="N97"/>
  <c r="M97"/>
  <c r="L97"/>
  <c r="K97"/>
  <c r="J97"/>
  <c r="I97"/>
  <c r="H97"/>
  <c r="G97"/>
  <c r="F97"/>
  <c r="E97"/>
  <c r="D97"/>
  <c r="C97"/>
  <c r="B97"/>
  <c r="S5"/>
  <c r="R40"/>
  <c r="Q40"/>
  <c r="P40"/>
  <c r="O40"/>
  <c r="N40"/>
  <c r="M40"/>
  <c r="L40"/>
  <c r="K40"/>
  <c r="J40"/>
  <c r="I40"/>
  <c r="H40"/>
  <c r="G40"/>
  <c r="F40"/>
  <c r="E40"/>
  <c r="D40"/>
  <c r="C40"/>
  <c r="B40"/>
  <c r="S4"/>
  <c r="R11"/>
  <c r="Q11"/>
  <c r="P11"/>
  <c r="O11"/>
  <c r="N11"/>
  <c r="M11"/>
  <c r="L11"/>
  <c r="K11"/>
  <c r="J11"/>
  <c r="I11"/>
  <c r="H11"/>
  <c r="G11"/>
  <c r="F11"/>
  <c r="E11"/>
  <c r="D11"/>
  <c r="C11"/>
  <c r="B11"/>
  <c r="S3"/>
  <c r="R3"/>
  <c r="Q3"/>
  <c r="P3"/>
  <c r="O3"/>
  <c r="N3"/>
  <c r="M3"/>
  <c r="L3"/>
  <c r="K3"/>
  <c r="J3"/>
  <c r="I3"/>
  <c r="H3"/>
  <c r="G3"/>
  <c r="F3"/>
  <c r="E3"/>
  <c r="D3"/>
  <c r="C3"/>
  <c r="B3"/>
  <c r="S102" i="10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S101"/>
  <c r="R23"/>
  <c r="Q23"/>
  <c r="P23"/>
  <c r="O23"/>
  <c r="N23"/>
  <c r="M23"/>
  <c r="L23"/>
  <c r="K23"/>
  <c r="J23"/>
  <c r="I23"/>
  <c r="H23"/>
  <c r="G23"/>
  <c r="F23"/>
  <c r="E23"/>
  <c r="D23"/>
  <c r="C23"/>
  <c r="B23"/>
  <c r="S100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S99"/>
  <c r="R91"/>
  <c r="Q91"/>
  <c r="P91"/>
  <c r="O91"/>
  <c r="N91"/>
  <c r="M91"/>
  <c r="L91"/>
  <c r="K91"/>
  <c r="J91"/>
  <c r="I91"/>
  <c r="H91"/>
  <c r="G91"/>
  <c r="F91"/>
  <c r="E91"/>
  <c r="D91"/>
  <c r="C91"/>
  <c r="B91"/>
  <c r="S98"/>
  <c r="R26"/>
  <c r="Q26"/>
  <c r="P26"/>
  <c r="O26"/>
  <c r="N26"/>
  <c r="M26"/>
  <c r="L26"/>
  <c r="K26"/>
  <c r="J26"/>
  <c r="I26"/>
  <c r="H26"/>
  <c r="G26"/>
  <c r="F26"/>
  <c r="E26"/>
  <c r="D26"/>
  <c r="C26"/>
  <c r="B26"/>
  <c r="S97"/>
  <c r="R98"/>
  <c r="Q98"/>
  <c r="P98"/>
  <c r="O98"/>
  <c r="N98"/>
  <c r="M98"/>
  <c r="L98"/>
  <c r="K98"/>
  <c r="J98"/>
  <c r="I98"/>
  <c r="H98"/>
  <c r="G98"/>
  <c r="F98"/>
  <c r="E98"/>
  <c r="D98"/>
  <c r="C98"/>
  <c r="B98"/>
  <c r="S96"/>
  <c r="R76"/>
  <c r="Q76"/>
  <c r="P76"/>
  <c r="O76"/>
  <c r="N76"/>
  <c r="M76"/>
  <c r="L76"/>
  <c r="K76"/>
  <c r="J76"/>
  <c r="I76"/>
  <c r="H76"/>
  <c r="G76"/>
  <c r="F76"/>
  <c r="E76"/>
  <c r="D76"/>
  <c r="C76"/>
  <c r="B76"/>
  <c r="S95"/>
  <c r="R87"/>
  <c r="Q87"/>
  <c r="P87"/>
  <c r="O87"/>
  <c r="N87"/>
  <c r="M87"/>
  <c r="L87"/>
  <c r="K87"/>
  <c r="J87"/>
  <c r="I87"/>
  <c r="H87"/>
  <c r="G87"/>
  <c r="F87"/>
  <c r="E87"/>
  <c r="D87"/>
  <c r="C87"/>
  <c r="B87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S93"/>
  <c r="R6"/>
  <c r="Q6"/>
  <c r="P6"/>
  <c r="O6"/>
  <c r="N6"/>
  <c r="M6"/>
  <c r="L6"/>
  <c r="K6"/>
  <c r="J6"/>
  <c r="I6"/>
  <c r="H6"/>
  <c r="G6"/>
  <c r="F6"/>
  <c r="E6"/>
  <c r="D6"/>
  <c r="C6"/>
  <c r="B6"/>
  <c r="S92"/>
  <c r="R28"/>
  <c r="Q28"/>
  <c r="P28"/>
  <c r="O28"/>
  <c r="N28"/>
  <c r="M28"/>
  <c r="L28"/>
  <c r="K28"/>
  <c r="J28"/>
  <c r="I28"/>
  <c r="H28"/>
  <c r="G28"/>
  <c r="F28"/>
  <c r="E28"/>
  <c r="D28"/>
  <c r="C28"/>
  <c r="B28"/>
  <c r="S91"/>
  <c r="R66"/>
  <c r="Q66"/>
  <c r="P66"/>
  <c r="O66"/>
  <c r="N66"/>
  <c r="M66"/>
  <c r="L66"/>
  <c r="K66"/>
  <c r="J66"/>
  <c r="I66"/>
  <c r="H66"/>
  <c r="G66"/>
  <c r="F66"/>
  <c r="E66"/>
  <c r="D66"/>
  <c r="C66"/>
  <c r="B66"/>
  <c r="S90"/>
  <c r="R60"/>
  <c r="Q60"/>
  <c r="P60"/>
  <c r="O60"/>
  <c r="N60"/>
  <c r="M60"/>
  <c r="L60"/>
  <c r="K60"/>
  <c r="J60"/>
  <c r="I60"/>
  <c r="H60"/>
  <c r="G60"/>
  <c r="F60"/>
  <c r="E60"/>
  <c r="D60"/>
  <c r="C60"/>
  <c r="B60"/>
  <c r="S89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S88"/>
  <c r="R65"/>
  <c r="Q65"/>
  <c r="P65"/>
  <c r="O65"/>
  <c r="N65"/>
  <c r="M65"/>
  <c r="L65"/>
  <c r="K65"/>
  <c r="J65"/>
  <c r="I65"/>
  <c r="H65"/>
  <c r="G65"/>
  <c r="F65"/>
  <c r="E65"/>
  <c r="D65"/>
  <c r="C65"/>
  <c r="B65"/>
  <c r="S87"/>
  <c r="R44"/>
  <c r="Q44"/>
  <c r="P44"/>
  <c r="O44"/>
  <c r="N44"/>
  <c r="M44"/>
  <c r="L44"/>
  <c r="K44"/>
  <c r="J44"/>
  <c r="I44"/>
  <c r="H44"/>
  <c r="G44"/>
  <c r="F44"/>
  <c r="E44"/>
  <c r="D44"/>
  <c r="C44"/>
  <c r="B44"/>
  <c r="S86"/>
  <c r="R34"/>
  <c r="Q34"/>
  <c r="P34"/>
  <c r="O34"/>
  <c r="N34"/>
  <c r="M34"/>
  <c r="L34"/>
  <c r="K34"/>
  <c r="J34"/>
  <c r="I34"/>
  <c r="H34"/>
  <c r="G34"/>
  <c r="F34"/>
  <c r="E34"/>
  <c r="D34"/>
  <c r="C34"/>
  <c r="B34"/>
  <c r="S85"/>
  <c r="R80"/>
  <c r="Q80"/>
  <c r="P80"/>
  <c r="O80"/>
  <c r="N80"/>
  <c r="M80"/>
  <c r="L80"/>
  <c r="K80"/>
  <c r="J80"/>
  <c r="I80"/>
  <c r="H80"/>
  <c r="G80"/>
  <c r="F80"/>
  <c r="E80"/>
  <c r="D80"/>
  <c r="C80"/>
  <c r="B80"/>
  <c r="S84"/>
  <c r="R88"/>
  <c r="Q88"/>
  <c r="P88"/>
  <c r="O88"/>
  <c r="N88"/>
  <c r="M88"/>
  <c r="L88"/>
  <c r="K88"/>
  <c r="J88"/>
  <c r="I88"/>
  <c r="H88"/>
  <c r="G88"/>
  <c r="F88"/>
  <c r="E88"/>
  <c r="D88"/>
  <c r="C88"/>
  <c r="B88"/>
  <c r="S83"/>
  <c r="R17"/>
  <c r="Q17"/>
  <c r="P17"/>
  <c r="O17"/>
  <c r="N17"/>
  <c r="M17"/>
  <c r="L17"/>
  <c r="K17"/>
  <c r="J17"/>
  <c r="I17"/>
  <c r="H17"/>
  <c r="G17"/>
  <c r="F17"/>
  <c r="E17"/>
  <c r="D17"/>
  <c r="C17"/>
  <c r="B17"/>
  <c r="S82"/>
  <c r="R93"/>
  <c r="Q93"/>
  <c r="P93"/>
  <c r="O93"/>
  <c r="N93"/>
  <c r="M93"/>
  <c r="L93"/>
  <c r="K93"/>
  <c r="J93"/>
  <c r="I93"/>
  <c r="H93"/>
  <c r="G93"/>
  <c r="F93"/>
  <c r="E93"/>
  <c r="D93"/>
  <c r="C93"/>
  <c r="B93"/>
  <c r="S81"/>
  <c r="R38"/>
  <c r="Q38"/>
  <c r="P38"/>
  <c r="O38"/>
  <c r="N38"/>
  <c r="M38"/>
  <c r="L38"/>
  <c r="K38"/>
  <c r="J38"/>
  <c r="I38"/>
  <c r="H38"/>
  <c r="G38"/>
  <c r="F38"/>
  <c r="E38"/>
  <c r="D38"/>
  <c r="C38"/>
  <c r="B38"/>
  <c r="S80"/>
  <c r="R61"/>
  <c r="Q61"/>
  <c r="P61"/>
  <c r="O61"/>
  <c r="N61"/>
  <c r="M61"/>
  <c r="L61"/>
  <c r="K61"/>
  <c r="J61"/>
  <c r="I61"/>
  <c r="H61"/>
  <c r="G61"/>
  <c r="F61"/>
  <c r="E61"/>
  <c r="D61"/>
  <c r="C61"/>
  <c r="B61"/>
  <c r="S79"/>
  <c r="R42"/>
  <c r="Q42"/>
  <c r="P42"/>
  <c r="O42"/>
  <c r="N42"/>
  <c r="M42"/>
  <c r="L42"/>
  <c r="K42"/>
  <c r="J42"/>
  <c r="I42"/>
  <c r="H42"/>
  <c r="G42"/>
  <c r="F42"/>
  <c r="E42"/>
  <c r="D42"/>
  <c r="C42"/>
  <c r="B42"/>
  <c r="S78"/>
  <c r="R62"/>
  <c r="Q62"/>
  <c r="P62"/>
  <c r="O62"/>
  <c r="N62"/>
  <c r="M62"/>
  <c r="L62"/>
  <c r="K62"/>
  <c r="J62"/>
  <c r="I62"/>
  <c r="H62"/>
  <c r="G62"/>
  <c r="F62"/>
  <c r="E62"/>
  <c r="D62"/>
  <c r="C62"/>
  <c r="B62"/>
  <c r="S77"/>
  <c r="R74"/>
  <c r="Q74"/>
  <c r="P74"/>
  <c r="O74"/>
  <c r="N74"/>
  <c r="M74"/>
  <c r="L74"/>
  <c r="K74"/>
  <c r="J74"/>
  <c r="I74"/>
  <c r="H74"/>
  <c r="G74"/>
  <c r="F74"/>
  <c r="E74"/>
  <c r="D74"/>
  <c r="C74"/>
  <c r="B74"/>
  <c r="S76"/>
  <c r="R45"/>
  <c r="Q45"/>
  <c r="P45"/>
  <c r="O45"/>
  <c r="N45"/>
  <c r="M45"/>
  <c r="L45"/>
  <c r="K45"/>
  <c r="J45"/>
  <c r="I45"/>
  <c r="H45"/>
  <c r="G45"/>
  <c r="F45"/>
  <c r="E45"/>
  <c r="D45"/>
  <c r="C45"/>
  <c r="B45"/>
  <c r="S75"/>
  <c r="R13"/>
  <c r="Q13"/>
  <c r="P13"/>
  <c r="O13"/>
  <c r="N13"/>
  <c r="M13"/>
  <c r="L13"/>
  <c r="K13"/>
  <c r="J13"/>
  <c r="I13"/>
  <c r="H13"/>
  <c r="G13"/>
  <c r="F13"/>
  <c r="E13"/>
  <c r="D13"/>
  <c r="C13"/>
  <c r="B13"/>
  <c r="S74"/>
  <c r="R59"/>
  <c r="Q59"/>
  <c r="P59"/>
  <c r="O59"/>
  <c r="N59"/>
  <c r="M59"/>
  <c r="L59"/>
  <c r="K59"/>
  <c r="J59"/>
  <c r="I59"/>
  <c r="H59"/>
  <c r="G59"/>
  <c r="F59"/>
  <c r="E59"/>
  <c r="D59"/>
  <c r="C59"/>
  <c r="B59"/>
  <c r="S73"/>
  <c r="R84"/>
  <c r="Q84"/>
  <c r="P84"/>
  <c r="O84"/>
  <c r="N84"/>
  <c r="M84"/>
  <c r="L84"/>
  <c r="K84"/>
  <c r="J84"/>
  <c r="I84"/>
  <c r="H84"/>
  <c r="G84"/>
  <c r="F84"/>
  <c r="E84"/>
  <c r="D84"/>
  <c r="C84"/>
  <c r="B84"/>
  <c r="S72"/>
  <c r="R50"/>
  <c r="Q50"/>
  <c r="P50"/>
  <c r="O50"/>
  <c r="N50"/>
  <c r="M50"/>
  <c r="L50"/>
  <c r="K50"/>
  <c r="J50"/>
  <c r="I50"/>
  <c r="H50"/>
  <c r="G50"/>
  <c r="F50"/>
  <c r="E50"/>
  <c r="D50"/>
  <c r="C50"/>
  <c r="B50"/>
  <c r="S71"/>
  <c r="R79"/>
  <c r="Q79"/>
  <c r="P79"/>
  <c r="O79"/>
  <c r="N79"/>
  <c r="M79"/>
  <c r="L79"/>
  <c r="K79"/>
  <c r="J79"/>
  <c r="I79"/>
  <c r="H79"/>
  <c r="G79"/>
  <c r="F79"/>
  <c r="E79"/>
  <c r="D79"/>
  <c r="C79"/>
  <c r="B79"/>
  <c r="S70"/>
  <c r="R77"/>
  <c r="Q77"/>
  <c r="P77"/>
  <c r="O77"/>
  <c r="N77"/>
  <c r="M77"/>
  <c r="L77"/>
  <c r="K77"/>
  <c r="J77"/>
  <c r="I77"/>
  <c r="H77"/>
  <c r="G77"/>
  <c r="F77"/>
  <c r="E77"/>
  <c r="D77"/>
  <c r="C77"/>
  <c r="B77"/>
  <c r="S69"/>
  <c r="R70"/>
  <c r="Q70"/>
  <c r="P70"/>
  <c r="O70"/>
  <c r="N70"/>
  <c r="M70"/>
  <c r="L70"/>
  <c r="K70"/>
  <c r="J70"/>
  <c r="I70"/>
  <c r="H70"/>
  <c r="G70"/>
  <c r="F70"/>
  <c r="E70"/>
  <c r="D70"/>
  <c r="C70"/>
  <c r="B70"/>
  <c r="S68"/>
  <c r="R14"/>
  <c r="Q14"/>
  <c r="P14"/>
  <c r="O14"/>
  <c r="N14"/>
  <c r="M14"/>
  <c r="L14"/>
  <c r="K14"/>
  <c r="J14"/>
  <c r="I14"/>
  <c r="H14"/>
  <c r="G14"/>
  <c r="F14"/>
  <c r="E14"/>
  <c r="D14"/>
  <c r="C14"/>
  <c r="B14"/>
  <c r="S67"/>
  <c r="R19"/>
  <c r="Q19"/>
  <c r="P19"/>
  <c r="O19"/>
  <c r="N19"/>
  <c r="M19"/>
  <c r="L19"/>
  <c r="K19"/>
  <c r="J19"/>
  <c r="I19"/>
  <c r="H19"/>
  <c r="G19"/>
  <c r="F19"/>
  <c r="E19"/>
  <c r="D19"/>
  <c r="C19"/>
  <c r="B19"/>
  <c r="S66"/>
  <c r="R67"/>
  <c r="Q67"/>
  <c r="P67"/>
  <c r="O67"/>
  <c r="N67"/>
  <c r="M67"/>
  <c r="L67"/>
  <c r="K67"/>
  <c r="J67"/>
  <c r="I67"/>
  <c r="H67"/>
  <c r="G67"/>
  <c r="F67"/>
  <c r="E67"/>
  <c r="D67"/>
  <c r="C67"/>
  <c r="B67"/>
  <c r="S65"/>
  <c r="R31"/>
  <c r="Q31"/>
  <c r="P31"/>
  <c r="O31"/>
  <c r="N31"/>
  <c r="M31"/>
  <c r="L31"/>
  <c r="K31"/>
  <c r="J31"/>
  <c r="I31"/>
  <c r="H31"/>
  <c r="G31"/>
  <c r="F31"/>
  <c r="E31"/>
  <c r="D31"/>
  <c r="C31"/>
  <c r="B31"/>
  <c r="S64"/>
  <c r="R11"/>
  <c r="Q11"/>
  <c r="P11"/>
  <c r="O11"/>
  <c r="N11"/>
  <c r="M11"/>
  <c r="L11"/>
  <c r="K11"/>
  <c r="J11"/>
  <c r="I11"/>
  <c r="H11"/>
  <c r="G11"/>
  <c r="F11"/>
  <c r="E11"/>
  <c r="D11"/>
  <c r="C11"/>
  <c r="B11"/>
  <c r="S63"/>
  <c r="R58"/>
  <c r="Q58"/>
  <c r="P58"/>
  <c r="O58"/>
  <c r="N58"/>
  <c r="M58"/>
  <c r="L58"/>
  <c r="K58"/>
  <c r="J58"/>
  <c r="I58"/>
  <c r="H58"/>
  <c r="G58"/>
  <c r="F58"/>
  <c r="E58"/>
  <c r="D58"/>
  <c r="C58"/>
  <c r="B58"/>
  <c r="S62"/>
  <c r="R97"/>
  <c r="Q97"/>
  <c r="P97"/>
  <c r="O97"/>
  <c r="N97"/>
  <c r="M97"/>
  <c r="L97"/>
  <c r="K97"/>
  <c r="J97"/>
  <c r="I97"/>
  <c r="H97"/>
  <c r="G97"/>
  <c r="F97"/>
  <c r="E97"/>
  <c r="D97"/>
  <c r="C97"/>
  <c r="B97"/>
  <c r="S61"/>
  <c r="R89"/>
  <c r="Q89"/>
  <c r="P89"/>
  <c r="O89"/>
  <c r="N89"/>
  <c r="M89"/>
  <c r="L89"/>
  <c r="K89"/>
  <c r="J89"/>
  <c r="I89"/>
  <c r="H89"/>
  <c r="G89"/>
  <c r="F89"/>
  <c r="E89"/>
  <c r="D89"/>
  <c r="C89"/>
  <c r="B89"/>
  <c r="S60"/>
  <c r="R35"/>
  <c r="Q35"/>
  <c r="P35"/>
  <c r="O35"/>
  <c r="N35"/>
  <c r="M35"/>
  <c r="L35"/>
  <c r="K35"/>
  <c r="J35"/>
  <c r="I35"/>
  <c r="H35"/>
  <c r="G35"/>
  <c r="F35"/>
  <c r="E35"/>
  <c r="D35"/>
  <c r="C35"/>
  <c r="B35"/>
  <c r="S59"/>
  <c r="R30"/>
  <c r="Q30"/>
  <c r="P30"/>
  <c r="O30"/>
  <c r="N30"/>
  <c r="M30"/>
  <c r="L30"/>
  <c r="K30"/>
  <c r="J30"/>
  <c r="I30"/>
  <c r="H30"/>
  <c r="G30"/>
  <c r="F30"/>
  <c r="E30"/>
  <c r="D30"/>
  <c r="C30"/>
  <c r="B30"/>
  <c r="S58"/>
  <c r="R69"/>
  <c r="Q69"/>
  <c r="P69"/>
  <c r="O69"/>
  <c r="N69"/>
  <c r="M69"/>
  <c r="L69"/>
  <c r="K69"/>
  <c r="J69"/>
  <c r="I69"/>
  <c r="H69"/>
  <c r="G69"/>
  <c r="F69"/>
  <c r="E69"/>
  <c r="D69"/>
  <c r="C69"/>
  <c r="B69"/>
  <c r="S57"/>
  <c r="R12"/>
  <c r="Q12"/>
  <c r="P12"/>
  <c r="O12"/>
  <c r="N12"/>
  <c r="M12"/>
  <c r="L12"/>
  <c r="K12"/>
  <c r="J12"/>
  <c r="I12"/>
  <c r="H12"/>
  <c r="G12"/>
  <c r="F12"/>
  <c r="E12"/>
  <c r="D12"/>
  <c r="C12"/>
  <c r="B12"/>
  <c r="S56"/>
  <c r="R48"/>
  <c r="Q48"/>
  <c r="P48"/>
  <c r="O48"/>
  <c r="N48"/>
  <c r="M48"/>
  <c r="L48"/>
  <c r="K48"/>
  <c r="J48"/>
  <c r="I48"/>
  <c r="H48"/>
  <c r="G48"/>
  <c r="F48"/>
  <c r="E48"/>
  <c r="D48"/>
  <c r="C48"/>
  <c r="B48"/>
  <c r="S55"/>
  <c r="R86"/>
  <c r="Q86"/>
  <c r="P86"/>
  <c r="O86"/>
  <c r="N86"/>
  <c r="M86"/>
  <c r="L86"/>
  <c r="K86"/>
  <c r="J86"/>
  <c r="I86"/>
  <c r="H86"/>
  <c r="G86"/>
  <c r="F86"/>
  <c r="E86"/>
  <c r="D86"/>
  <c r="C86"/>
  <c r="B86"/>
  <c r="S54"/>
  <c r="R92"/>
  <c r="Q92"/>
  <c r="P92"/>
  <c r="O92"/>
  <c r="N92"/>
  <c r="M92"/>
  <c r="L92"/>
  <c r="K92"/>
  <c r="J92"/>
  <c r="I92"/>
  <c r="H92"/>
  <c r="G92"/>
  <c r="F92"/>
  <c r="E92"/>
  <c r="D92"/>
  <c r="C92"/>
  <c r="B92"/>
  <c r="S53"/>
  <c r="R63"/>
  <c r="Q63"/>
  <c r="P63"/>
  <c r="O63"/>
  <c r="N63"/>
  <c r="M63"/>
  <c r="L63"/>
  <c r="K63"/>
  <c r="J63"/>
  <c r="I63"/>
  <c r="H63"/>
  <c r="G63"/>
  <c r="F63"/>
  <c r="E63"/>
  <c r="D63"/>
  <c r="C63"/>
  <c r="B63"/>
  <c r="S52"/>
  <c r="R43"/>
  <c r="Q43"/>
  <c r="P43"/>
  <c r="O43"/>
  <c r="N43"/>
  <c r="M43"/>
  <c r="L43"/>
  <c r="K43"/>
  <c r="J43"/>
  <c r="I43"/>
  <c r="H43"/>
  <c r="G43"/>
  <c r="F43"/>
  <c r="E43"/>
  <c r="D43"/>
  <c r="C43"/>
  <c r="B43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S50"/>
  <c r="R37"/>
  <c r="Q37"/>
  <c r="P37"/>
  <c r="O37"/>
  <c r="N37"/>
  <c r="M37"/>
  <c r="L37"/>
  <c r="K37"/>
  <c r="J37"/>
  <c r="I37"/>
  <c r="H37"/>
  <c r="G37"/>
  <c r="F37"/>
  <c r="E37"/>
  <c r="D37"/>
  <c r="C37"/>
  <c r="B37"/>
  <c r="S49"/>
  <c r="R40"/>
  <c r="Q40"/>
  <c r="P40"/>
  <c r="O40"/>
  <c r="N40"/>
  <c r="M40"/>
  <c r="L40"/>
  <c r="K40"/>
  <c r="J40"/>
  <c r="I40"/>
  <c r="H40"/>
  <c r="G40"/>
  <c r="F40"/>
  <c r="E40"/>
  <c r="D40"/>
  <c r="C40"/>
  <c r="B40"/>
  <c r="S48"/>
  <c r="R72"/>
  <c r="Q72"/>
  <c r="P72"/>
  <c r="O72"/>
  <c r="N72"/>
  <c r="M72"/>
  <c r="L72"/>
  <c r="K72"/>
  <c r="J72"/>
  <c r="I72"/>
  <c r="H72"/>
  <c r="G72"/>
  <c r="F72"/>
  <c r="E72"/>
  <c r="D72"/>
  <c r="C72"/>
  <c r="B72"/>
  <c r="S47"/>
  <c r="R96"/>
  <c r="Q96"/>
  <c r="P96"/>
  <c r="O96"/>
  <c r="N96"/>
  <c r="M96"/>
  <c r="L96"/>
  <c r="K96"/>
  <c r="J96"/>
  <c r="I96"/>
  <c r="H96"/>
  <c r="G96"/>
  <c r="F96"/>
  <c r="E96"/>
  <c r="D96"/>
  <c r="C96"/>
  <c r="B96"/>
  <c r="S46"/>
  <c r="R78"/>
  <c r="Q78"/>
  <c r="P78"/>
  <c r="O78"/>
  <c r="N78"/>
  <c r="M78"/>
  <c r="L78"/>
  <c r="K78"/>
  <c r="J78"/>
  <c r="I78"/>
  <c r="H78"/>
  <c r="G78"/>
  <c r="F78"/>
  <c r="E78"/>
  <c r="D78"/>
  <c r="C78"/>
  <c r="B78"/>
  <c r="S45"/>
  <c r="R29"/>
  <c r="Q29"/>
  <c r="P29"/>
  <c r="O29"/>
  <c r="N29"/>
  <c r="M29"/>
  <c r="L29"/>
  <c r="K29"/>
  <c r="J29"/>
  <c r="I29"/>
  <c r="H29"/>
  <c r="G29"/>
  <c r="F29"/>
  <c r="E29"/>
  <c r="D29"/>
  <c r="C29"/>
  <c r="B29"/>
  <c r="S44"/>
  <c r="R99"/>
  <c r="Q99"/>
  <c r="P99"/>
  <c r="O99"/>
  <c r="N99"/>
  <c r="M99"/>
  <c r="L99"/>
  <c r="K99"/>
  <c r="J99"/>
  <c r="I99"/>
  <c r="H99"/>
  <c r="G99"/>
  <c r="F99"/>
  <c r="E99"/>
  <c r="D99"/>
  <c r="C99"/>
  <c r="B99"/>
  <c r="S43"/>
  <c r="R54"/>
  <c r="Q54"/>
  <c r="P54"/>
  <c r="O54"/>
  <c r="N54"/>
  <c r="M54"/>
  <c r="L54"/>
  <c r="K54"/>
  <c r="J54"/>
  <c r="I54"/>
  <c r="H54"/>
  <c r="G54"/>
  <c r="F54"/>
  <c r="E54"/>
  <c r="D54"/>
  <c r="C54"/>
  <c r="B54"/>
  <c r="S42"/>
  <c r="R18"/>
  <c r="Q18"/>
  <c r="P18"/>
  <c r="O18"/>
  <c r="N18"/>
  <c r="M18"/>
  <c r="L18"/>
  <c r="K18"/>
  <c r="J18"/>
  <c r="I18"/>
  <c r="H18"/>
  <c r="G18"/>
  <c r="F18"/>
  <c r="E18"/>
  <c r="D18"/>
  <c r="C18"/>
  <c r="B18"/>
  <c r="S41"/>
  <c r="R85"/>
  <c r="Q85"/>
  <c r="P85"/>
  <c r="O85"/>
  <c r="N85"/>
  <c r="M85"/>
  <c r="L85"/>
  <c r="K85"/>
  <c r="J85"/>
  <c r="I85"/>
  <c r="H85"/>
  <c r="G85"/>
  <c r="F85"/>
  <c r="E85"/>
  <c r="D85"/>
  <c r="C85"/>
  <c r="B85"/>
  <c r="S40"/>
  <c r="R39"/>
  <c r="Q39"/>
  <c r="P39"/>
  <c r="O39"/>
  <c r="N39"/>
  <c r="M39"/>
  <c r="L39"/>
  <c r="K39"/>
  <c r="J39"/>
  <c r="I39"/>
  <c r="H39"/>
  <c r="G39"/>
  <c r="F39"/>
  <c r="E39"/>
  <c r="D39"/>
  <c r="C39"/>
  <c r="B39"/>
  <c r="S39"/>
  <c r="R57"/>
  <c r="Q57"/>
  <c r="P57"/>
  <c r="O57"/>
  <c r="N57"/>
  <c r="M57"/>
  <c r="L57"/>
  <c r="K57"/>
  <c r="J57"/>
  <c r="I57"/>
  <c r="H57"/>
  <c r="G57"/>
  <c r="F57"/>
  <c r="E57"/>
  <c r="D57"/>
  <c r="C57"/>
  <c r="B57"/>
  <c r="S38"/>
  <c r="R36"/>
  <c r="Q36"/>
  <c r="P36"/>
  <c r="O36"/>
  <c r="N36"/>
  <c r="M36"/>
  <c r="L36"/>
  <c r="K36"/>
  <c r="J36"/>
  <c r="I36"/>
  <c r="H36"/>
  <c r="G36"/>
  <c r="F36"/>
  <c r="E36"/>
  <c r="D36"/>
  <c r="C36"/>
  <c r="B36"/>
  <c r="S37"/>
  <c r="R10"/>
  <c r="Q10"/>
  <c r="P10"/>
  <c r="O10"/>
  <c r="N10"/>
  <c r="M10"/>
  <c r="L10"/>
  <c r="K10"/>
  <c r="J10"/>
  <c r="I10"/>
  <c r="H10"/>
  <c r="G10"/>
  <c r="F10"/>
  <c r="E10"/>
  <c r="D10"/>
  <c r="C10"/>
  <c r="B10"/>
  <c r="S36"/>
  <c r="R16"/>
  <c r="Q16"/>
  <c r="P16"/>
  <c r="O16"/>
  <c r="N16"/>
  <c r="M16"/>
  <c r="L16"/>
  <c r="K16"/>
  <c r="J16"/>
  <c r="I16"/>
  <c r="H16"/>
  <c r="G16"/>
  <c r="F16"/>
  <c r="E16"/>
  <c r="D16"/>
  <c r="C16"/>
  <c r="B16"/>
  <c r="S35"/>
  <c r="R55"/>
  <c r="Q55"/>
  <c r="P55"/>
  <c r="O55"/>
  <c r="N55"/>
  <c r="M55"/>
  <c r="L55"/>
  <c r="K55"/>
  <c r="J55"/>
  <c r="I55"/>
  <c r="H55"/>
  <c r="G55"/>
  <c r="F55"/>
  <c r="E55"/>
  <c r="D55"/>
  <c r="C55"/>
  <c r="B55"/>
  <c r="S34"/>
  <c r="R20"/>
  <c r="Q20"/>
  <c r="P20"/>
  <c r="O20"/>
  <c r="N20"/>
  <c r="M20"/>
  <c r="L20"/>
  <c r="K20"/>
  <c r="J20"/>
  <c r="I20"/>
  <c r="H20"/>
  <c r="G20"/>
  <c r="F20"/>
  <c r="E20"/>
  <c r="D20"/>
  <c r="C20"/>
  <c r="B20"/>
  <c r="S33"/>
  <c r="R90"/>
  <c r="Q90"/>
  <c r="P90"/>
  <c r="O90"/>
  <c r="N90"/>
  <c r="M90"/>
  <c r="L90"/>
  <c r="K90"/>
  <c r="J90"/>
  <c r="I90"/>
  <c r="H90"/>
  <c r="G90"/>
  <c r="F90"/>
  <c r="E90"/>
  <c r="D90"/>
  <c r="C90"/>
  <c r="B90"/>
  <c r="S32"/>
  <c r="R46"/>
  <c r="Q46"/>
  <c r="P46"/>
  <c r="O46"/>
  <c r="N46"/>
  <c r="M46"/>
  <c r="L46"/>
  <c r="K46"/>
  <c r="J46"/>
  <c r="I46"/>
  <c r="H46"/>
  <c r="G46"/>
  <c r="F46"/>
  <c r="E46"/>
  <c r="D46"/>
  <c r="C46"/>
  <c r="B46"/>
  <c r="S31"/>
  <c r="R53"/>
  <c r="Q53"/>
  <c r="P53"/>
  <c r="O53"/>
  <c r="N53"/>
  <c r="M53"/>
  <c r="L53"/>
  <c r="K53"/>
  <c r="J53"/>
  <c r="I53"/>
  <c r="H53"/>
  <c r="G53"/>
  <c r="F53"/>
  <c r="E53"/>
  <c r="D53"/>
  <c r="C53"/>
  <c r="B53"/>
  <c r="S30"/>
  <c r="R49"/>
  <c r="Q49"/>
  <c r="P49"/>
  <c r="O49"/>
  <c r="N49"/>
  <c r="M49"/>
  <c r="L49"/>
  <c r="K49"/>
  <c r="J49"/>
  <c r="I49"/>
  <c r="H49"/>
  <c r="G49"/>
  <c r="F49"/>
  <c r="E49"/>
  <c r="D49"/>
  <c r="C49"/>
  <c r="B49"/>
  <c r="S29"/>
  <c r="R33"/>
  <c r="Q33"/>
  <c r="P33"/>
  <c r="O33"/>
  <c r="N33"/>
  <c r="M33"/>
  <c r="L33"/>
  <c r="K33"/>
  <c r="J33"/>
  <c r="I33"/>
  <c r="H33"/>
  <c r="G33"/>
  <c r="F33"/>
  <c r="E33"/>
  <c r="D33"/>
  <c r="C33"/>
  <c r="B33"/>
  <c r="S28"/>
  <c r="R24"/>
  <c r="Q24"/>
  <c r="P24"/>
  <c r="O24"/>
  <c r="N24"/>
  <c r="M24"/>
  <c r="L24"/>
  <c r="K24"/>
  <c r="J24"/>
  <c r="I24"/>
  <c r="H24"/>
  <c r="G24"/>
  <c r="F24"/>
  <c r="E24"/>
  <c r="D24"/>
  <c r="C24"/>
  <c r="B24"/>
  <c r="S27"/>
  <c r="R68"/>
  <c r="Q68"/>
  <c r="P68"/>
  <c r="O68"/>
  <c r="N68"/>
  <c r="M68"/>
  <c r="L68"/>
  <c r="K68"/>
  <c r="J68"/>
  <c r="I68"/>
  <c r="H68"/>
  <c r="G68"/>
  <c r="F68"/>
  <c r="E68"/>
  <c r="D68"/>
  <c r="C68"/>
  <c r="B68"/>
  <c r="S26"/>
  <c r="R25"/>
  <c r="Q25"/>
  <c r="P25"/>
  <c r="O25"/>
  <c r="N25"/>
  <c r="M25"/>
  <c r="L25"/>
  <c r="K25"/>
  <c r="J25"/>
  <c r="I25"/>
  <c r="H25"/>
  <c r="G25"/>
  <c r="F25"/>
  <c r="E25"/>
  <c r="D25"/>
  <c r="C25"/>
  <c r="B25"/>
  <c r="S25"/>
  <c r="R8"/>
  <c r="Q8"/>
  <c r="P8"/>
  <c r="O8"/>
  <c r="N8"/>
  <c r="M8"/>
  <c r="L8"/>
  <c r="K8"/>
  <c r="J8"/>
  <c r="I8"/>
  <c r="H8"/>
  <c r="G8"/>
  <c r="F8"/>
  <c r="E8"/>
  <c r="D8"/>
  <c r="C8"/>
  <c r="B8"/>
  <c r="S24"/>
  <c r="R56"/>
  <c r="Q56"/>
  <c r="P56"/>
  <c r="O56"/>
  <c r="N56"/>
  <c r="M56"/>
  <c r="L56"/>
  <c r="K56"/>
  <c r="J56"/>
  <c r="I56"/>
  <c r="H56"/>
  <c r="G56"/>
  <c r="F56"/>
  <c r="E56"/>
  <c r="D56"/>
  <c r="C56"/>
  <c r="B56"/>
  <c r="S23"/>
  <c r="R22"/>
  <c r="Q22"/>
  <c r="P22"/>
  <c r="O22"/>
  <c r="N22"/>
  <c r="M22"/>
  <c r="L22"/>
  <c r="K22"/>
  <c r="J22"/>
  <c r="I22"/>
  <c r="H22"/>
  <c r="G22"/>
  <c r="F22"/>
  <c r="E22"/>
  <c r="D22"/>
  <c r="C22"/>
  <c r="B22"/>
  <c r="S22"/>
  <c r="R15"/>
  <c r="Q15"/>
  <c r="P15"/>
  <c r="O15"/>
  <c r="N15"/>
  <c r="M15"/>
  <c r="L15"/>
  <c r="K15"/>
  <c r="J15"/>
  <c r="I15"/>
  <c r="H15"/>
  <c r="G15"/>
  <c r="F15"/>
  <c r="E15"/>
  <c r="D15"/>
  <c r="C15"/>
  <c r="B15"/>
  <c r="S21"/>
  <c r="R47"/>
  <c r="Q47"/>
  <c r="P47"/>
  <c r="O47"/>
  <c r="N47"/>
  <c r="M47"/>
  <c r="L47"/>
  <c r="K47"/>
  <c r="J47"/>
  <c r="I47"/>
  <c r="H47"/>
  <c r="G47"/>
  <c r="F47"/>
  <c r="E47"/>
  <c r="D47"/>
  <c r="C47"/>
  <c r="B47"/>
  <c r="S20"/>
  <c r="R64"/>
  <c r="Q64"/>
  <c r="P64"/>
  <c r="O64"/>
  <c r="N64"/>
  <c r="M64"/>
  <c r="L64"/>
  <c r="K64"/>
  <c r="J64"/>
  <c r="I64"/>
  <c r="H64"/>
  <c r="G64"/>
  <c r="F64"/>
  <c r="E64"/>
  <c r="D64"/>
  <c r="C64"/>
  <c r="B64"/>
  <c r="S19"/>
  <c r="R27"/>
  <c r="Q27"/>
  <c r="P27"/>
  <c r="O27"/>
  <c r="N27"/>
  <c r="M27"/>
  <c r="L27"/>
  <c r="K27"/>
  <c r="J27"/>
  <c r="I27"/>
  <c r="H27"/>
  <c r="G27"/>
  <c r="F27"/>
  <c r="E27"/>
  <c r="D27"/>
  <c r="C27"/>
  <c r="B27"/>
  <c r="S18"/>
  <c r="R81"/>
  <c r="Q81"/>
  <c r="P81"/>
  <c r="O81"/>
  <c r="N81"/>
  <c r="M81"/>
  <c r="L81"/>
  <c r="K81"/>
  <c r="J81"/>
  <c r="I81"/>
  <c r="H81"/>
  <c r="G81"/>
  <c r="F81"/>
  <c r="E81"/>
  <c r="D81"/>
  <c r="C81"/>
  <c r="B81"/>
  <c r="S17"/>
  <c r="R83"/>
  <c r="Q83"/>
  <c r="P83"/>
  <c r="O83"/>
  <c r="N83"/>
  <c r="M83"/>
  <c r="L83"/>
  <c r="K83"/>
  <c r="J83"/>
  <c r="I83"/>
  <c r="H83"/>
  <c r="G83"/>
  <c r="F83"/>
  <c r="E83"/>
  <c r="D83"/>
  <c r="C83"/>
  <c r="B83"/>
  <c r="S16"/>
  <c r="R21"/>
  <c r="Q21"/>
  <c r="P21"/>
  <c r="O21"/>
  <c r="N21"/>
  <c r="M21"/>
  <c r="L21"/>
  <c r="K21"/>
  <c r="J21"/>
  <c r="I21"/>
  <c r="H21"/>
  <c r="G21"/>
  <c r="F21"/>
  <c r="E21"/>
  <c r="D21"/>
  <c r="C21"/>
  <c r="B21"/>
  <c r="S15"/>
  <c r="R52"/>
  <c r="Q52"/>
  <c r="P52"/>
  <c r="O52"/>
  <c r="N52"/>
  <c r="M52"/>
  <c r="L52"/>
  <c r="K52"/>
  <c r="J52"/>
  <c r="I52"/>
  <c r="H52"/>
  <c r="G52"/>
  <c r="F52"/>
  <c r="E52"/>
  <c r="D52"/>
  <c r="C52"/>
  <c r="B52"/>
  <c r="S14"/>
  <c r="R9"/>
  <c r="Q9"/>
  <c r="P9"/>
  <c r="O9"/>
  <c r="N9"/>
  <c r="M9"/>
  <c r="L9"/>
  <c r="K9"/>
  <c r="J9"/>
  <c r="I9"/>
  <c r="H9"/>
  <c r="G9"/>
  <c r="F9"/>
  <c r="E9"/>
  <c r="D9"/>
  <c r="C9"/>
  <c r="B9"/>
  <c r="S13"/>
  <c r="R5"/>
  <c r="Q5"/>
  <c r="P5"/>
  <c r="O5"/>
  <c r="N5"/>
  <c r="M5"/>
  <c r="L5"/>
  <c r="K5"/>
  <c r="J5"/>
  <c r="I5"/>
  <c r="H5"/>
  <c r="G5"/>
  <c r="F5"/>
  <c r="E5"/>
  <c r="D5"/>
  <c r="C5"/>
  <c r="B5"/>
  <c r="S12"/>
  <c r="R41"/>
  <c r="Q41"/>
  <c r="P41"/>
  <c r="O41"/>
  <c r="N41"/>
  <c r="M41"/>
  <c r="L41"/>
  <c r="K41"/>
  <c r="J41"/>
  <c r="I41"/>
  <c r="H41"/>
  <c r="G41"/>
  <c r="F41"/>
  <c r="E41"/>
  <c r="D41"/>
  <c r="C41"/>
  <c r="B41"/>
  <c r="S11"/>
  <c r="R32"/>
  <c r="Q32"/>
  <c r="P32"/>
  <c r="O32"/>
  <c r="N32"/>
  <c r="M32"/>
  <c r="L32"/>
  <c r="K32"/>
  <c r="J32"/>
  <c r="I32"/>
  <c r="H32"/>
  <c r="G32"/>
  <c r="F32"/>
  <c r="E32"/>
  <c r="D32"/>
  <c r="C32"/>
  <c r="B32"/>
  <c r="S10"/>
  <c r="R71"/>
  <c r="Q71"/>
  <c r="P71"/>
  <c r="O71"/>
  <c r="N71"/>
  <c r="M71"/>
  <c r="L71"/>
  <c r="K71"/>
  <c r="J71"/>
  <c r="I71"/>
  <c r="H71"/>
  <c r="G71"/>
  <c r="F71"/>
  <c r="E71"/>
  <c r="D71"/>
  <c r="C71"/>
  <c r="B71"/>
  <c r="S9"/>
  <c r="R82"/>
  <c r="Q82"/>
  <c r="P82"/>
  <c r="O82"/>
  <c r="N82"/>
  <c r="M82"/>
  <c r="L82"/>
  <c r="K82"/>
  <c r="J82"/>
  <c r="I82"/>
  <c r="H82"/>
  <c r="G82"/>
  <c r="F82"/>
  <c r="E82"/>
  <c r="D82"/>
  <c r="C82"/>
  <c r="B82"/>
  <c r="S8"/>
  <c r="R4"/>
  <c r="Q4"/>
  <c r="P4"/>
  <c r="O4"/>
  <c r="N4"/>
  <c r="M4"/>
  <c r="L4"/>
  <c r="K4"/>
  <c r="J4"/>
  <c r="I4"/>
  <c r="H4"/>
  <c r="G4"/>
  <c r="F4"/>
  <c r="E4"/>
  <c r="D4"/>
  <c r="C4"/>
  <c r="B4"/>
  <c r="S7"/>
  <c r="R75"/>
  <c r="Q75"/>
  <c r="P75"/>
  <c r="O75"/>
  <c r="N75"/>
  <c r="M75"/>
  <c r="L75"/>
  <c r="K75"/>
  <c r="J75"/>
  <c r="I75"/>
  <c r="H75"/>
  <c r="G75"/>
  <c r="F75"/>
  <c r="E75"/>
  <c r="D75"/>
  <c r="C75"/>
  <c r="B75"/>
  <c r="S6"/>
  <c r="R73"/>
  <c r="Q73"/>
  <c r="P73"/>
  <c r="O73"/>
  <c r="N73"/>
  <c r="M73"/>
  <c r="L73"/>
  <c r="K73"/>
  <c r="J73"/>
  <c r="I73"/>
  <c r="H73"/>
  <c r="G73"/>
  <c r="F73"/>
  <c r="E73"/>
  <c r="D73"/>
  <c r="C73"/>
  <c r="B73"/>
  <c r="S5"/>
  <c r="R7"/>
  <c r="Q7"/>
  <c r="P7"/>
  <c r="O7"/>
  <c r="N7"/>
  <c r="M7"/>
  <c r="L7"/>
  <c r="K7"/>
  <c r="J7"/>
  <c r="I7"/>
  <c r="H7"/>
  <c r="G7"/>
  <c r="F7"/>
  <c r="E7"/>
  <c r="D7"/>
  <c r="C7"/>
  <c r="B7"/>
  <c r="S4"/>
  <c r="R95"/>
  <c r="Q95"/>
  <c r="P95"/>
  <c r="O95"/>
  <c r="N95"/>
  <c r="M95"/>
  <c r="L95"/>
  <c r="K95"/>
  <c r="J95"/>
  <c r="I95"/>
  <c r="H95"/>
  <c r="G95"/>
  <c r="F95"/>
  <c r="E95"/>
  <c r="D95"/>
  <c r="C95"/>
  <c r="B95"/>
  <c r="S3"/>
  <c r="R3"/>
  <c r="Q3"/>
  <c r="P3"/>
  <c r="O3"/>
  <c r="N3"/>
  <c r="M3"/>
  <c r="L3"/>
  <c r="K3"/>
  <c r="J3"/>
  <c r="I3"/>
  <c r="H3"/>
  <c r="G3"/>
  <c r="F3"/>
  <c r="E3"/>
  <c r="D3"/>
  <c r="C3"/>
  <c r="B3"/>
  <c r="S102" i="9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S101"/>
  <c r="R99"/>
  <c r="Q99"/>
  <c r="P99"/>
  <c r="O99"/>
  <c r="N99"/>
  <c r="M99"/>
  <c r="L99"/>
  <c r="K99"/>
  <c r="J99"/>
  <c r="I99"/>
  <c r="H99"/>
  <c r="G99"/>
  <c r="F99"/>
  <c r="E99"/>
  <c r="D99"/>
  <c r="C99"/>
  <c r="B99"/>
  <c r="S100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S99"/>
  <c r="R98"/>
  <c r="Q98"/>
  <c r="P98"/>
  <c r="O98"/>
  <c r="N98"/>
  <c r="M98"/>
  <c r="L98"/>
  <c r="K98"/>
  <c r="J98"/>
  <c r="I98"/>
  <c r="H98"/>
  <c r="G98"/>
  <c r="F98"/>
  <c r="E98"/>
  <c r="D98"/>
  <c r="C98"/>
  <c r="B98"/>
  <c r="S98"/>
  <c r="R97"/>
  <c r="Q97"/>
  <c r="P97"/>
  <c r="O97"/>
  <c r="N97"/>
  <c r="M97"/>
  <c r="L97"/>
  <c r="K97"/>
  <c r="J97"/>
  <c r="I97"/>
  <c r="H97"/>
  <c r="G97"/>
  <c r="F97"/>
  <c r="E97"/>
  <c r="D97"/>
  <c r="C97"/>
  <c r="B97"/>
  <c r="S97"/>
  <c r="R96"/>
  <c r="Q96"/>
  <c r="P96"/>
  <c r="O96"/>
  <c r="N96"/>
  <c r="M96"/>
  <c r="L96"/>
  <c r="K96"/>
  <c r="J96"/>
  <c r="I96"/>
  <c r="H96"/>
  <c r="G96"/>
  <c r="F96"/>
  <c r="E96"/>
  <c r="D96"/>
  <c r="C96"/>
  <c r="B96"/>
  <c r="S96"/>
  <c r="R95"/>
  <c r="Q95"/>
  <c r="P95"/>
  <c r="O95"/>
  <c r="N95"/>
  <c r="M95"/>
  <c r="L95"/>
  <c r="K95"/>
  <c r="J95"/>
  <c r="I95"/>
  <c r="H95"/>
  <c r="G95"/>
  <c r="F95"/>
  <c r="E95"/>
  <c r="D95"/>
  <c r="C95"/>
  <c r="B95"/>
  <c r="S95"/>
  <c r="R94"/>
  <c r="Q94"/>
  <c r="P94"/>
  <c r="O94"/>
  <c r="N94"/>
  <c r="M94"/>
  <c r="L94"/>
  <c r="K94"/>
  <c r="J94"/>
  <c r="I94"/>
  <c r="H94"/>
  <c r="G94"/>
  <c r="F94"/>
  <c r="E94"/>
  <c r="D94"/>
  <c r="C94"/>
  <c r="B94"/>
  <c r="S94"/>
  <c r="R93"/>
  <c r="Q93"/>
  <c r="P93"/>
  <c r="O93"/>
  <c r="N93"/>
  <c r="M93"/>
  <c r="L93"/>
  <c r="K93"/>
  <c r="J93"/>
  <c r="I93"/>
  <c r="H93"/>
  <c r="G93"/>
  <c r="F93"/>
  <c r="E93"/>
  <c r="D93"/>
  <c r="C93"/>
  <c r="B93"/>
  <c r="S93"/>
  <c r="R92"/>
  <c r="Q92"/>
  <c r="P92"/>
  <c r="O92"/>
  <c r="N92"/>
  <c r="M92"/>
  <c r="L92"/>
  <c r="K92"/>
  <c r="J92"/>
  <c r="I92"/>
  <c r="H92"/>
  <c r="G92"/>
  <c r="F92"/>
  <c r="E92"/>
  <c r="D92"/>
  <c r="C92"/>
  <c r="B92"/>
  <c r="S92"/>
  <c r="R91"/>
  <c r="Q91"/>
  <c r="P91"/>
  <c r="O91"/>
  <c r="N91"/>
  <c r="M91"/>
  <c r="L91"/>
  <c r="K91"/>
  <c r="J91"/>
  <c r="I91"/>
  <c r="H91"/>
  <c r="G91"/>
  <c r="F91"/>
  <c r="E91"/>
  <c r="D91"/>
  <c r="C91"/>
  <c r="B91"/>
  <c r="S91"/>
  <c r="R90"/>
  <c r="Q90"/>
  <c r="P90"/>
  <c r="O90"/>
  <c r="N90"/>
  <c r="M90"/>
  <c r="L90"/>
  <c r="K90"/>
  <c r="J90"/>
  <c r="I90"/>
  <c r="H90"/>
  <c r="G90"/>
  <c r="F90"/>
  <c r="E90"/>
  <c r="D90"/>
  <c r="C90"/>
  <c r="B90"/>
  <c r="S90"/>
  <c r="R89"/>
  <c r="Q89"/>
  <c r="P89"/>
  <c r="O89"/>
  <c r="N89"/>
  <c r="M89"/>
  <c r="L89"/>
  <c r="K89"/>
  <c r="J89"/>
  <c r="I89"/>
  <c r="H89"/>
  <c r="G89"/>
  <c r="F89"/>
  <c r="E89"/>
  <c r="D89"/>
  <c r="C89"/>
  <c r="B89"/>
  <c r="S89"/>
  <c r="R88"/>
  <c r="Q88"/>
  <c r="P88"/>
  <c r="O88"/>
  <c r="N88"/>
  <c r="M88"/>
  <c r="L88"/>
  <c r="K88"/>
  <c r="J88"/>
  <c r="I88"/>
  <c r="H88"/>
  <c r="G88"/>
  <c r="F88"/>
  <c r="E88"/>
  <c r="D88"/>
  <c r="C88"/>
  <c r="B88"/>
  <c r="S88"/>
  <c r="R87"/>
  <c r="Q87"/>
  <c r="P87"/>
  <c r="O87"/>
  <c r="N87"/>
  <c r="M87"/>
  <c r="L87"/>
  <c r="K87"/>
  <c r="J87"/>
  <c r="I87"/>
  <c r="H87"/>
  <c r="G87"/>
  <c r="F87"/>
  <c r="E87"/>
  <c r="D87"/>
  <c r="C87"/>
  <c r="B87"/>
  <c r="S87"/>
  <c r="R86"/>
  <c r="Q86"/>
  <c r="P86"/>
  <c r="O86"/>
  <c r="N86"/>
  <c r="M86"/>
  <c r="L86"/>
  <c r="K86"/>
  <c r="J86"/>
  <c r="I86"/>
  <c r="H86"/>
  <c r="G86"/>
  <c r="F86"/>
  <c r="E86"/>
  <c r="D86"/>
  <c r="C86"/>
  <c r="B86"/>
  <c r="S86"/>
  <c r="R85"/>
  <c r="Q85"/>
  <c r="P85"/>
  <c r="O85"/>
  <c r="N85"/>
  <c r="M85"/>
  <c r="L85"/>
  <c r="K85"/>
  <c r="J85"/>
  <c r="I85"/>
  <c r="H85"/>
  <c r="G85"/>
  <c r="F85"/>
  <c r="E85"/>
  <c r="D85"/>
  <c r="C85"/>
  <c r="B85"/>
  <c r="S85"/>
  <c r="R84"/>
  <c r="Q84"/>
  <c r="P84"/>
  <c r="O84"/>
  <c r="N84"/>
  <c r="M84"/>
  <c r="L84"/>
  <c r="K84"/>
  <c r="J84"/>
  <c r="I84"/>
  <c r="H84"/>
  <c r="G84"/>
  <c r="F84"/>
  <c r="E84"/>
  <c r="D84"/>
  <c r="C84"/>
  <c r="B84"/>
  <c r="S84"/>
  <c r="R83"/>
  <c r="Q83"/>
  <c r="P83"/>
  <c r="O83"/>
  <c r="N83"/>
  <c r="M83"/>
  <c r="L83"/>
  <c r="K83"/>
  <c r="J83"/>
  <c r="I83"/>
  <c r="H83"/>
  <c r="G83"/>
  <c r="F83"/>
  <c r="E83"/>
  <c r="D83"/>
  <c r="C83"/>
  <c r="B83"/>
  <c r="S83"/>
  <c r="R82"/>
  <c r="Q82"/>
  <c r="P82"/>
  <c r="O82"/>
  <c r="N82"/>
  <c r="M82"/>
  <c r="L82"/>
  <c r="K82"/>
  <c r="J82"/>
  <c r="I82"/>
  <c r="H82"/>
  <c r="G82"/>
  <c r="F82"/>
  <c r="E82"/>
  <c r="D82"/>
  <c r="C82"/>
  <c r="B82"/>
  <c r="S82"/>
  <c r="R81"/>
  <c r="Q81"/>
  <c r="P81"/>
  <c r="O81"/>
  <c r="N81"/>
  <c r="M81"/>
  <c r="L81"/>
  <c r="K81"/>
  <c r="J81"/>
  <c r="I81"/>
  <c r="H81"/>
  <c r="G81"/>
  <c r="F81"/>
  <c r="E81"/>
  <c r="D81"/>
  <c r="C81"/>
  <c r="B81"/>
  <c r="S81"/>
  <c r="R80"/>
  <c r="Q80"/>
  <c r="P80"/>
  <c r="O80"/>
  <c r="N80"/>
  <c r="M80"/>
  <c r="L80"/>
  <c r="K80"/>
  <c r="J80"/>
  <c r="I80"/>
  <c r="H80"/>
  <c r="G80"/>
  <c r="F80"/>
  <c r="E80"/>
  <c r="D80"/>
  <c r="C80"/>
  <c r="B80"/>
  <c r="S80"/>
  <c r="R79"/>
  <c r="Q79"/>
  <c r="P79"/>
  <c r="O79"/>
  <c r="N79"/>
  <c r="M79"/>
  <c r="L79"/>
  <c r="K79"/>
  <c r="J79"/>
  <c r="I79"/>
  <c r="H79"/>
  <c r="G79"/>
  <c r="F79"/>
  <c r="E79"/>
  <c r="D79"/>
  <c r="C79"/>
  <c r="B79"/>
  <c r="S79"/>
  <c r="R78"/>
  <c r="Q78"/>
  <c r="P78"/>
  <c r="O78"/>
  <c r="N78"/>
  <c r="M78"/>
  <c r="L78"/>
  <c r="K78"/>
  <c r="J78"/>
  <c r="I78"/>
  <c r="H78"/>
  <c r="G78"/>
  <c r="F78"/>
  <c r="E78"/>
  <c r="D78"/>
  <c r="C78"/>
  <c r="B78"/>
  <c r="S78"/>
  <c r="R77"/>
  <c r="Q77"/>
  <c r="P77"/>
  <c r="O77"/>
  <c r="N77"/>
  <c r="M77"/>
  <c r="L77"/>
  <c r="K77"/>
  <c r="J77"/>
  <c r="I77"/>
  <c r="H77"/>
  <c r="G77"/>
  <c r="F77"/>
  <c r="E77"/>
  <c r="D77"/>
  <c r="C77"/>
  <c r="B77"/>
  <c r="S77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S9"/>
  <c r="R9"/>
  <c r="Q9"/>
  <c r="P9"/>
  <c r="O9"/>
  <c r="N9"/>
  <c r="M9"/>
  <c r="L9"/>
  <c r="K9"/>
  <c r="J9"/>
  <c r="I9"/>
  <c r="H9"/>
  <c r="G9"/>
  <c r="F9"/>
  <c r="E9"/>
  <c r="D9"/>
  <c r="C9"/>
  <c r="B9"/>
  <c r="S8"/>
  <c r="R8"/>
  <c r="Q8"/>
  <c r="P8"/>
  <c r="O8"/>
  <c r="N8"/>
  <c r="M8"/>
  <c r="L8"/>
  <c r="K8"/>
  <c r="J8"/>
  <c r="I8"/>
  <c r="H8"/>
  <c r="G8"/>
  <c r="F8"/>
  <c r="E8"/>
  <c r="D8"/>
  <c r="C8"/>
  <c r="B8"/>
  <c r="S7"/>
  <c r="R7"/>
  <c r="Q7"/>
  <c r="P7"/>
  <c r="O7"/>
  <c r="N7"/>
  <c r="M7"/>
  <c r="L7"/>
  <c r="K7"/>
  <c r="J7"/>
  <c r="I7"/>
  <c r="H7"/>
  <c r="G7"/>
  <c r="F7"/>
  <c r="E7"/>
  <c r="D7"/>
  <c r="C7"/>
  <c r="B7"/>
  <c r="S6"/>
  <c r="R6"/>
  <c r="Q6"/>
  <c r="P6"/>
  <c r="O6"/>
  <c r="N6"/>
  <c r="M6"/>
  <c r="L6"/>
  <c r="K6"/>
  <c r="J6"/>
  <c r="I6"/>
  <c r="H6"/>
  <c r="G6"/>
  <c r="F6"/>
  <c r="E6"/>
  <c r="D6"/>
  <c r="C6"/>
  <c r="B6"/>
  <c r="S5"/>
  <c r="R5"/>
  <c r="Q5"/>
  <c r="P5"/>
  <c r="O5"/>
  <c r="N5"/>
  <c r="M5"/>
  <c r="L5"/>
  <c r="K5"/>
  <c r="J5"/>
  <c r="I5"/>
  <c r="H5"/>
  <c r="G5"/>
  <c r="F5"/>
  <c r="E5"/>
  <c r="D5"/>
  <c r="C5"/>
  <c r="B5"/>
  <c r="S4"/>
  <c r="R4"/>
  <c r="Q4"/>
  <c r="P4"/>
  <c r="O4"/>
  <c r="N4"/>
  <c r="M4"/>
  <c r="L4"/>
  <c r="K4"/>
  <c r="J4"/>
  <c r="I4"/>
  <c r="H4"/>
  <c r="G4"/>
  <c r="F4"/>
  <c r="E4"/>
  <c r="D4"/>
  <c r="C4"/>
  <c r="B4"/>
  <c r="S3"/>
  <c r="R3"/>
  <c r="Q3"/>
  <c r="P3"/>
  <c r="O3"/>
  <c r="N3"/>
  <c r="M3"/>
  <c r="L3"/>
  <c r="K3"/>
  <c r="J3"/>
  <c r="I3"/>
  <c r="H3"/>
  <c r="G3"/>
  <c r="F3"/>
  <c r="E3"/>
  <c r="D3"/>
  <c r="C3"/>
  <c r="B3"/>
  <c r="S102" i="8"/>
  <c r="R83"/>
  <c r="Q83"/>
  <c r="P83"/>
  <c r="O83"/>
  <c r="N83"/>
  <c r="M83"/>
  <c r="L83"/>
  <c r="K83"/>
  <c r="J83"/>
  <c r="I83"/>
  <c r="H83"/>
  <c r="G83"/>
  <c r="F83"/>
  <c r="E83"/>
  <c r="D83"/>
  <c r="C83"/>
  <c r="B83"/>
  <c r="S101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S100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S99"/>
  <c r="R72"/>
  <c r="Q72"/>
  <c r="P72"/>
  <c r="O72"/>
  <c r="N72"/>
  <c r="M72"/>
  <c r="L72"/>
  <c r="K72"/>
  <c r="J72"/>
  <c r="I72"/>
  <c r="H72"/>
  <c r="G72"/>
  <c r="F72"/>
  <c r="E72"/>
  <c r="D72"/>
  <c r="C72"/>
  <c r="B72"/>
  <c r="S98"/>
  <c r="R40"/>
  <c r="Q40"/>
  <c r="P40"/>
  <c r="O40"/>
  <c r="N40"/>
  <c r="M40"/>
  <c r="L40"/>
  <c r="K40"/>
  <c r="J40"/>
  <c r="I40"/>
  <c r="H40"/>
  <c r="G40"/>
  <c r="F40"/>
  <c r="E40"/>
  <c r="D40"/>
  <c r="C40"/>
  <c r="B40"/>
  <c r="S97"/>
  <c r="R55"/>
  <c r="Q55"/>
  <c r="P55"/>
  <c r="O55"/>
  <c r="N55"/>
  <c r="M55"/>
  <c r="L55"/>
  <c r="K55"/>
  <c r="J55"/>
  <c r="I55"/>
  <c r="H55"/>
  <c r="G55"/>
  <c r="F55"/>
  <c r="E55"/>
  <c r="D55"/>
  <c r="C55"/>
  <c r="B55"/>
  <c r="S96"/>
  <c r="R37"/>
  <c r="Q37"/>
  <c r="P37"/>
  <c r="O37"/>
  <c r="N37"/>
  <c r="M37"/>
  <c r="L37"/>
  <c r="K37"/>
  <c r="J37"/>
  <c r="I37"/>
  <c r="H37"/>
  <c r="G37"/>
  <c r="F37"/>
  <c r="E37"/>
  <c r="D37"/>
  <c r="C37"/>
  <c r="B37"/>
  <c r="S95"/>
  <c r="R43"/>
  <c r="Q43"/>
  <c r="P43"/>
  <c r="O43"/>
  <c r="N43"/>
  <c r="M43"/>
  <c r="L43"/>
  <c r="K43"/>
  <c r="J43"/>
  <c r="I43"/>
  <c r="H43"/>
  <c r="G43"/>
  <c r="F43"/>
  <c r="E43"/>
  <c r="D43"/>
  <c r="C43"/>
  <c r="B43"/>
  <c r="S94"/>
  <c r="R31"/>
  <c r="Q31"/>
  <c r="P31"/>
  <c r="O31"/>
  <c r="N31"/>
  <c r="M31"/>
  <c r="L31"/>
  <c r="K31"/>
  <c r="J31"/>
  <c r="I31"/>
  <c r="H31"/>
  <c r="G31"/>
  <c r="F31"/>
  <c r="E31"/>
  <c r="D31"/>
  <c r="C31"/>
  <c r="B31"/>
  <c r="S93"/>
  <c r="R66"/>
  <c r="Q66"/>
  <c r="P66"/>
  <c r="O66"/>
  <c r="N66"/>
  <c r="M66"/>
  <c r="L66"/>
  <c r="K66"/>
  <c r="J66"/>
  <c r="I66"/>
  <c r="H66"/>
  <c r="G66"/>
  <c r="F66"/>
  <c r="E66"/>
  <c r="D66"/>
  <c r="C66"/>
  <c r="B66"/>
  <c r="S92"/>
  <c r="R84"/>
  <c r="Q84"/>
  <c r="P84"/>
  <c r="O84"/>
  <c r="N84"/>
  <c r="M84"/>
  <c r="L84"/>
  <c r="K84"/>
  <c r="J84"/>
  <c r="I84"/>
  <c r="H84"/>
  <c r="G84"/>
  <c r="F84"/>
  <c r="E84"/>
  <c r="D84"/>
  <c r="C84"/>
  <c r="B84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S90"/>
  <c r="R60"/>
  <c r="Q60"/>
  <c r="P60"/>
  <c r="O60"/>
  <c r="N60"/>
  <c r="M60"/>
  <c r="L60"/>
  <c r="K60"/>
  <c r="J60"/>
  <c r="I60"/>
  <c r="H60"/>
  <c r="G60"/>
  <c r="F60"/>
  <c r="E60"/>
  <c r="D60"/>
  <c r="C60"/>
  <c r="B60"/>
  <c r="S89"/>
  <c r="R23"/>
  <c r="Q23"/>
  <c r="P23"/>
  <c r="O23"/>
  <c r="N23"/>
  <c r="M23"/>
  <c r="L23"/>
  <c r="K23"/>
  <c r="J23"/>
  <c r="I23"/>
  <c r="H23"/>
  <c r="G23"/>
  <c r="F23"/>
  <c r="E23"/>
  <c r="D23"/>
  <c r="C23"/>
  <c r="B23"/>
  <c r="S88"/>
  <c r="R82"/>
  <c r="Q82"/>
  <c r="P82"/>
  <c r="O82"/>
  <c r="N82"/>
  <c r="M82"/>
  <c r="L82"/>
  <c r="K82"/>
  <c r="J82"/>
  <c r="I82"/>
  <c r="H82"/>
  <c r="G82"/>
  <c r="F82"/>
  <c r="E82"/>
  <c r="D82"/>
  <c r="C82"/>
  <c r="B82"/>
  <c r="S87"/>
  <c r="R94"/>
  <c r="Q94"/>
  <c r="P94"/>
  <c r="O94"/>
  <c r="N94"/>
  <c r="M94"/>
  <c r="L94"/>
  <c r="K94"/>
  <c r="J94"/>
  <c r="I94"/>
  <c r="H94"/>
  <c r="G94"/>
  <c r="F94"/>
  <c r="E94"/>
  <c r="D94"/>
  <c r="C94"/>
  <c r="B94"/>
  <c r="S86"/>
  <c r="R15"/>
  <c r="Q15"/>
  <c r="P15"/>
  <c r="O15"/>
  <c r="N15"/>
  <c r="M15"/>
  <c r="L15"/>
  <c r="K15"/>
  <c r="J15"/>
  <c r="I15"/>
  <c r="H15"/>
  <c r="G15"/>
  <c r="F15"/>
  <c r="E15"/>
  <c r="D15"/>
  <c r="C15"/>
  <c r="B15"/>
  <c r="S85"/>
  <c r="R77"/>
  <c r="Q77"/>
  <c r="P77"/>
  <c r="O77"/>
  <c r="N77"/>
  <c r="M77"/>
  <c r="L77"/>
  <c r="K77"/>
  <c r="J77"/>
  <c r="I77"/>
  <c r="H77"/>
  <c r="G77"/>
  <c r="F77"/>
  <c r="E77"/>
  <c r="D77"/>
  <c r="C77"/>
  <c r="B77"/>
  <c r="S84"/>
  <c r="R16"/>
  <c r="Q16"/>
  <c r="P16"/>
  <c r="O16"/>
  <c r="N16"/>
  <c r="M16"/>
  <c r="L16"/>
  <c r="K16"/>
  <c r="J16"/>
  <c r="I16"/>
  <c r="H16"/>
  <c r="G16"/>
  <c r="F16"/>
  <c r="E16"/>
  <c r="D16"/>
  <c r="C16"/>
  <c r="B16"/>
  <c r="S83"/>
  <c r="R7"/>
  <c r="Q7"/>
  <c r="P7"/>
  <c r="O7"/>
  <c r="N7"/>
  <c r="M7"/>
  <c r="L7"/>
  <c r="K7"/>
  <c r="J7"/>
  <c r="I7"/>
  <c r="H7"/>
  <c r="G7"/>
  <c r="F7"/>
  <c r="E7"/>
  <c r="D7"/>
  <c r="C7"/>
  <c r="B7"/>
  <c r="S82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S81"/>
  <c r="R53"/>
  <c r="Q53"/>
  <c r="P53"/>
  <c r="O53"/>
  <c r="N53"/>
  <c r="M53"/>
  <c r="L53"/>
  <c r="K53"/>
  <c r="J53"/>
  <c r="I53"/>
  <c r="H53"/>
  <c r="G53"/>
  <c r="F53"/>
  <c r="E53"/>
  <c r="D53"/>
  <c r="C53"/>
  <c r="B53"/>
  <c r="S80"/>
  <c r="R50"/>
  <c r="Q50"/>
  <c r="P50"/>
  <c r="O50"/>
  <c r="N50"/>
  <c r="M50"/>
  <c r="L50"/>
  <c r="K50"/>
  <c r="J50"/>
  <c r="I50"/>
  <c r="H50"/>
  <c r="G50"/>
  <c r="F50"/>
  <c r="E50"/>
  <c r="D50"/>
  <c r="C50"/>
  <c r="B50"/>
  <c r="S79"/>
  <c r="R35"/>
  <c r="Q35"/>
  <c r="P35"/>
  <c r="O35"/>
  <c r="N35"/>
  <c r="M35"/>
  <c r="L35"/>
  <c r="K35"/>
  <c r="J35"/>
  <c r="I35"/>
  <c r="H35"/>
  <c r="G35"/>
  <c r="F35"/>
  <c r="E35"/>
  <c r="D35"/>
  <c r="C35"/>
  <c r="B35"/>
  <c r="S78"/>
  <c r="R58"/>
  <c r="Q58"/>
  <c r="P58"/>
  <c r="O58"/>
  <c r="N58"/>
  <c r="M58"/>
  <c r="L58"/>
  <c r="K58"/>
  <c r="J58"/>
  <c r="I58"/>
  <c r="H58"/>
  <c r="G58"/>
  <c r="F58"/>
  <c r="E58"/>
  <c r="D58"/>
  <c r="C58"/>
  <c r="B58"/>
  <c r="S77"/>
  <c r="R89"/>
  <c r="Q89"/>
  <c r="P89"/>
  <c r="O89"/>
  <c r="N89"/>
  <c r="M89"/>
  <c r="L89"/>
  <c r="K89"/>
  <c r="J89"/>
  <c r="I89"/>
  <c r="H89"/>
  <c r="G89"/>
  <c r="F89"/>
  <c r="E89"/>
  <c r="D89"/>
  <c r="C89"/>
  <c r="B89"/>
  <c r="S76"/>
  <c r="R56"/>
  <c r="Q56"/>
  <c r="P56"/>
  <c r="O56"/>
  <c r="N56"/>
  <c r="M56"/>
  <c r="L56"/>
  <c r="K56"/>
  <c r="J56"/>
  <c r="I56"/>
  <c r="H56"/>
  <c r="G56"/>
  <c r="F56"/>
  <c r="E56"/>
  <c r="D56"/>
  <c r="C56"/>
  <c r="B56"/>
  <c r="S75"/>
  <c r="R42"/>
  <c r="Q42"/>
  <c r="P42"/>
  <c r="O42"/>
  <c r="N42"/>
  <c r="M42"/>
  <c r="L42"/>
  <c r="K42"/>
  <c r="J42"/>
  <c r="I42"/>
  <c r="H42"/>
  <c r="G42"/>
  <c r="F42"/>
  <c r="E42"/>
  <c r="D42"/>
  <c r="C42"/>
  <c r="B42"/>
  <c r="S74"/>
  <c r="R75"/>
  <c r="Q75"/>
  <c r="P75"/>
  <c r="O75"/>
  <c r="N75"/>
  <c r="M75"/>
  <c r="L75"/>
  <c r="K75"/>
  <c r="J75"/>
  <c r="I75"/>
  <c r="H75"/>
  <c r="G75"/>
  <c r="F75"/>
  <c r="E75"/>
  <c r="D75"/>
  <c r="C75"/>
  <c r="B75"/>
  <c r="S73"/>
  <c r="R38"/>
  <c r="Q38"/>
  <c r="P38"/>
  <c r="O38"/>
  <c r="N38"/>
  <c r="M38"/>
  <c r="L38"/>
  <c r="K38"/>
  <c r="J38"/>
  <c r="I38"/>
  <c r="H38"/>
  <c r="G38"/>
  <c r="F38"/>
  <c r="E38"/>
  <c r="D38"/>
  <c r="C38"/>
  <c r="B38"/>
  <c r="S72"/>
  <c r="R99"/>
  <c r="Q99"/>
  <c r="P99"/>
  <c r="O99"/>
  <c r="N99"/>
  <c r="M99"/>
  <c r="L99"/>
  <c r="K99"/>
  <c r="J99"/>
  <c r="I99"/>
  <c r="H99"/>
  <c r="G99"/>
  <c r="F99"/>
  <c r="E99"/>
  <c r="D99"/>
  <c r="C99"/>
  <c r="B99"/>
  <c r="S71"/>
  <c r="R70"/>
  <c r="Q70"/>
  <c r="P70"/>
  <c r="O70"/>
  <c r="N70"/>
  <c r="M70"/>
  <c r="L70"/>
  <c r="K70"/>
  <c r="J70"/>
  <c r="I70"/>
  <c r="H70"/>
  <c r="G70"/>
  <c r="F70"/>
  <c r="E70"/>
  <c r="D70"/>
  <c r="C70"/>
  <c r="B70"/>
  <c r="S70"/>
  <c r="R61"/>
  <c r="Q61"/>
  <c r="P61"/>
  <c r="O61"/>
  <c r="N61"/>
  <c r="M61"/>
  <c r="L61"/>
  <c r="K61"/>
  <c r="J61"/>
  <c r="I61"/>
  <c r="H61"/>
  <c r="G61"/>
  <c r="F61"/>
  <c r="E61"/>
  <c r="D61"/>
  <c r="C61"/>
  <c r="B61"/>
  <c r="S69"/>
  <c r="R45"/>
  <c r="Q45"/>
  <c r="P45"/>
  <c r="O45"/>
  <c r="N45"/>
  <c r="M45"/>
  <c r="L45"/>
  <c r="K45"/>
  <c r="J45"/>
  <c r="I45"/>
  <c r="H45"/>
  <c r="G45"/>
  <c r="F45"/>
  <c r="E45"/>
  <c r="D45"/>
  <c r="C45"/>
  <c r="B45"/>
  <c r="S68"/>
  <c r="R81"/>
  <c r="Q81"/>
  <c r="P81"/>
  <c r="O81"/>
  <c r="N81"/>
  <c r="M81"/>
  <c r="L81"/>
  <c r="K81"/>
  <c r="J81"/>
  <c r="I81"/>
  <c r="H81"/>
  <c r="G81"/>
  <c r="F81"/>
  <c r="E81"/>
  <c r="D81"/>
  <c r="C81"/>
  <c r="B81"/>
  <c r="S67"/>
  <c r="R88"/>
  <c r="Q88"/>
  <c r="P88"/>
  <c r="O88"/>
  <c r="N88"/>
  <c r="M88"/>
  <c r="L88"/>
  <c r="K88"/>
  <c r="J88"/>
  <c r="I88"/>
  <c r="H88"/>
  <c r="G88"/>
  <c r="F88"/>
  <c r="E88"/>
  <c r="D88"/>
  <c r="C88"/>
  <c r="B88"/>
  <c r="S66"/>
  <c r="R76"/>
  <c r="Q76"/>
  <c r="P76"/>
  <c r="O76"/>
  <c r="N76"/>
  <c r="M76"/>
  <c r="L76"/>
  <c r="K76"/>
  <c r="J76"/>
  <c r="I76"/>
  <c r="H76"/>
  <c r="G76"/>
  <c r="F76"/>
  <c r="E76"/>
  <c r="D76"/>
  <c r="C76"/>
  <c r="B76"/>
  <c r="S65"/>
  <c r="R14"/>
  <c r="Q14"/>
  <c r="P14"/>
  <c r="O14"/>
  <c r="N14"/>
  <c r="M14"/>
  <c r="L14"/>
  <c r="K14"/>
  <c r="J14"/>
  <c r="I14"/>
  <c r="H14"/>
  <c r="G14"/>
  <c r="F14"/>
  <c r="E14"/>
  <c r="D14"/>
  <c r="C14"/>
  <c r="B14"/>
  <c r="S64"/>
  <c r="R57"/>
  <c r="Q57"/>
  <c r="P57"/>
  <c r="O57"/>
  <c r="N57"/>
  <c r="M57"/>
  <c r="L57"/>
  <c r="K57"/>
  <c r="J57"/>
  <c r="I57"/>
  <c r="H57"/>
  <c r="G57"/>
  <c r="F57"/>
  <c r="E57"/>
  <c r="D57"/>
  <c r="C57"/>
  <c r="B57"/>
  <c r="S63"/>
  <c r="R21"/>
  <c r="Q21"/>
  <c r="P21"/>
  <c r="O21"/>
  <c r="N21"/>
  <c r="M21"/>
  <c r="L21"/>
  <c r="K21"/>
  <c r="J21"/>
  <c r="I21"/>
  <c r="H21"/>
  <c r="G21"/>
  <c r="F21"/>
  <c r="E21"/>
  <c r="D21"/>
  <c r="C21"/>
  <c r="B21"/>
  <c r="S62"/>
  <c r="R41"/>
  <c r="Q41"/>
  <c r="P41"/>
  <c r="O41"/>
  <c r="N41"/>
  <c r="M41"/>
  <c r="L41"/>
  <c r="K41"/>
  <c r="J41"/>
  <c r="I41"/>
  <c r="H41"/>
  <c r="G41"/>
  <c r="F41"/>
  <c r="E41"/>
  <c r="D41"/>
  <c r="C41"/>
  <c r="B41"/>
  <c r="S61"/>
  <c r="R20"/>
  <c r="Q20"/>
  <c r="P20"/>
  <c r="O20"/>
  <c r="N20"/>
  <c r="M20"/>
  <c r="L20"/>
  <c r="K20"/>
  <c r="J20"/>
  <c r="I20"/>
  <c r="H20"/>
  <c r="G20"/>
  <c r="F20"/>
  <c r="E20"/>
  <c r="D20"/>
  <c r="C20"/>
  <c r="B20"/>
  <c r="S60"/>
  <c r="R63"/>
  <c r="Q63"/>
  <c r="P63"/>
  <c r="O63"/>
  <c r="N63"/>
  <c r="M63"/>
  <c r="L63"/>
  <c r="K63"/>
  <c r="J63"/>
  <c r="I63"/>
  <c r="H63"/>
  <c r="G63"/>
  <c r="F63"/>
  <c r="E63"/>
  <c r="D63"/>
  <c r="C63"/>
  <c r="B63"/>
  <c r="S59"/>
  <c r="R67"/>
  <c r="Q67"/>
  <c r="P67"/>
  <c r="O67"/>
  <c r="N67"/>
  <c r="M67"/>
  <c r="L67"/>
  <c r="K67"/>
  <c r="J67"/>
  <c r="I67"/>
  <c r="H67"/>
  <c r="G67"/>
  <c r="F67"/>
  <c r="E67"/>
  <c r="D67"/>
  <c r="C67"/>
  <c r="B67"/>
  <c r="S58"/>
  <c r="R78"/>
  <c r="Q78"/>
  <c r="P78"/>
  <c r="O78"/>
  <c r="N78"/>
  <c r="M78"/>
  <c r="L78"/>
  <c r="K78"/>
  <c r="J78"/>
  <c r="I78"/>
  <c r="H78"/>
  <c r="G78"/>
  <c r="F78"/>
  <c r="E78"/>
  <c r="D78"/>
  <c r="C78"/>
  <c r="B78"/>
  <c r="S57"/>
  <c r="R69"/>
  <c r="Q69"/>
  <c r="P69"/>
  <c r="O69"/>
  <c r="N69"/>
  <c r="M69"/>
  <c r="L69"/>
  <c r="K69"/>
  <c r="J69"/>
  <c r="I69"/>
  <c r="H69"/>
  <c r="G69"/>
  <c r="F69"/>
  <c r="E69"/>
  <c r="D69"/>
  <c r="C69"/>
  <c r="B69"/>
  <c r="S56"/>
  <c r="R18"/>
  <c r="Q18"/>
  <c r="P18"/>
  <c r="O18"/>
  <c r="N18"/>
  <c r="M18"/>
  <c r="L18"/>
  <c r="K18"/>
  <c r="J18"/>
  <c r="I18"/>
  <c r="H18"/>
  <c r="G18"/>
  <c r="F18"/>
  <c r="E18"/>
  <c r="D18"/>
  <c r="C18"/>
  <c r="B18"/>
  <c r="S55"/>
  <c r="R59"/>
  <c r="Q59"/>
  <c r="P59"/>
  <c r="O59"/>
  <c r="N59"/>
  <c r="M59"/>
  <c r="L59"/>
  <c r="K59"/>
  <c r="J59"/>
  <c r="I59"/>
  <c r="H59"/>
  <c r="G59"/>
  <c r="F59"/>
  <c r="E59"/>
  <c r="D59"/>
  <c r="C59"/>
  <c r="B59"/>
  <c r="S54"/>
  <c r="R62"/>
  <c r="Q62"/>
  <c r="P62"/>
  <c r="O62"/>
  <c r="N62"/>
  <c r="M62"/>
  <c r="L62"/>
  <c r="K62"/>
  <c r="J62"/>
  <c r="I62"/>
  <c r="H62"/>
  <c r="G62"/>
  <c r="F62"/>
  <c r="E62"/>
  <c r="D62"/>
  <c r="C62"/>
  <c r="B62"/>
  <c r="S53"/>
  <c r="R47"/>
  <c r="Q47"/>
  <c r="P47"/>
  <c r="O47"/>
  <c r="N47"/>
  <c r="M47"/>
  <c r="L47"/>
  <c r="K47"/>
  <c r="J47"/>
  <c r="I47"/>
  <c r="H47"/>
  <c r="G47"/>
  <c r="F47"/>
  <c r="E47"/>
  <c r="D47"/>
  <c r="C47"/>
  <c r="B47"/>
  <c r="S52"/>
  <c r="R96"/>
  <c r="Q96"/>
  <c r="P96"/>
  <c r="O96"/>
  <c r="N96"/>
  <c r="M96"/>
  <c r="L96"/>
  <c r="K96"/>
  <c r="J96"/>
  <c r="I96"/>
  <c r="H96"/>
  <c r="G96"/>
  <c r="F96"/>
  <c r="E96"/>
  <c r="D96"/>
  <c r="C96"/>
  <c r="B96"/>
  <c r="S51"/>
  <c r="R85"/>
  <c r="Q85"/>
  <c r="P85"/>
  <c r="O85"/>
  <c r="N85"/>
  <c r="M85"/>
  <c r="L85"/>
  <c r="K85"/>
  <c r="J85"/>
  <c r="I85"/>
  <c r="H85"/>
  <c r="G85"/>
  <c r="F85"/>
  <c r="E85"/>
  <c r="D85"/>
  <c r="C85"/>
  <c r="B85"/>
  <c r="S50"/>
  <c r="R26"/>
  <c r="Q26"/>
  <c r="P26"/>
  <c r="O26"/>
  <c r="N26"/>
  <c r="M26"/>
  <c r="L26"/>
  <c r="K26"/>
  <c r="J26"/>
  <c r="I26"/>
  <c r="H26"/>
  <c r="G26"/>
  <c r="F26"/>
  <c r="E26"/>
  <c r="D26"/>
  <c r="C26"/>
  <c r="B26"/>
  <c r="S49"/>
  <c r="R25"/>
  <c r="Q25"/>
  <c r="P25"/>
  <c r="O25"/>
  <c r="N25"/>
  <c r="M25"/>
  <c r="L25"/>
  <c r="K25"/>
  <c r="J25"/>
  <c r="I25"/>
  <c r="H25"/>
  <c r="G25"/>
  <c r="F25"/>
  <c r="E25"/>
  <c r="D25"/>
  <c r="C25"/>
  <c r="B25"/>
  <c r="S48"/>
  <c r="R44"/>
  <c r="Q44"/>
  <c r="P44"/>
  <c r="O44"/>
  <c r="N44"/>
  <c r="M44"/>
  <c r="L44"/>
  <c r="K44"/>
  <c r="J44"/>
  <c r="I44"/>
  <c r="H44"/>
  <c r="G44"/>
  <c r="F44"/>
  <c r="E44"/>
  <c r="D44"/>
  <c r="C44"/>
  <c r="B44"/>
  <c r="S47"/>
  <c r="R30"/>
  <c r="Q30"/>
  <c r="P30"/>
  <c r="O30"/>
  <c r="N30"/>
  <c r="M30"/>
  <c r="L30"/>
  <c r="K30"/>
  <c r="J30"/>
  <c r="I30"/>
  <c r="H30"/>
  <c r="G30"/>
  <c r="F30"/>
  <c r="E30"/>
  <c r="D30"/>
  <c r="C30"/>
  <c r="B30"/>
  <c r="S46"/>
  <c r="R11"/>
  <c r="Q11"/>
  <c r="P11"/>
  <c r="O11"/>
  <c r="N11"/>
  <c r="M11"/>
  <c r="L11"/>
  <c r="K11"/>
  <c r="J11"/>
  <c r="I11"/>
  <c r="H11"/>
  <c r="G11"/>
  <c r="F11"/>
  <c r="E11"/>
  <c r="D11"/>
  <c r="C11"/>
  <c r="B11"/>
  <c r="S45"/>
  <c r="R98"/>
  <c r="Q98"/>
  <c r="P98"/>
  <c r="O98"/>
  <c r="N98"/>
  <c r="M98"/>
  <c r="L98"/>
  <c r="K98"/>
  <c r="J98"/>
  <c r="I98"/>
  <c r="H98"/>
  <c r="G98"/>
  <c r="F98"/>
  <c r="E98"/>
  <c r="D98"/>
  <c r="C98"/>
  <c r="B98"/>
  <c r="S44"/>
  <c r="R65"/>
  <c r="Q65"/>
  <c r="P65"/>
  <c r="O65"/>
  <c r="N65"/>
  <c r="M65"/>
  <c r="L65"/>
  <c r="K65"/>
  <c r="J65"/>
  <c r="I65"/>
  <c r="H65"/>
  <c r="G65"/>
  <c r="F65"/>
  <c r="E65"/>
  <c r="D65"/>
  <c r="C65"/>
  <c r="B65"/>
  <c r="S43"/>
  <c r="R51"/>
  <c r="Q51"/>
  <c r="P51"/>
  <c r="O51"/>
  <c r="N51"/>
  <c r="M51"/>
  <c r="L51"/>
  <c r="K51"/>
  <c r="J51"/>
  <c r="I51"/>
  <c r="H51"/>
  <c r="G51"/>
  <c r="F51"/>
  <c r="E51"/>
  <c r="D51"/>
  <c r="C51"/>
  <c r="B51"/>
  <c r="S42"/>
  <c r="R93"/>
  <c r="Q93"/>
  <c r="P93"/>
  <c r="O93"/>
  <c r="N93"/>
  <c r="M93"/>
  <c r="L93"/>
  <c r="K93"/>
  <c r="J93"/>
  <c r="I93"/>
  <c r="H93"/>
  <c r="G93"/>
  <c r="F93"/>
  <c r="E93"/>
  <c r="D93"/>
  <c r="C93"/>
  <c r="B93"/>
  <c r="S41"/>
  <c r="R5"/>
  <c r="Q5"/>
  <c r="P5"/>
  <c r="O5"/>
  <c r="N5"/>
  <c r="M5"/>
  <c r="L5"/>
  <c r="K5"/>
  <c r="J5"/>
  <c r="I5"/>
  <c r="H5"/>
  <c r="G5"/>
  <c r="F5"/>
  <c r="E5"/>
  <c r="D5"/>
  <c r="C5"/>
  <c r="B5"/>
  <c r="S40"/>
  <c r="R36"/>
  <c r="Q36"/>
  <c r="P36"/>
  <c r="O36"/>
  <c r="N36"/>
  <c r="M36"/>
  <c r="L36"/>
  <c r="K36"/>
  <c r="J36"/>
  <c r="I36"/>
  <c r="H36"/>
  <c r="G36"/>
  <c r="F36"/>
  <c r="E36"/>
  <c r="D36"/>
  <c r="C36"/>
  <c r="B36"/>
  <c r="S39"/>
  <c r="R71"/>
  <c r="Q71"/>
  <c r="P71"/>
  <c r="O71"/>
  <c r="N71"/>
  <c r="M71"/>
  <c r="L71"/>
  <c r="K71"/>
  <c r="J71"/>
  <c r="I71"/>
  <c r="H71"/>
  <c r="G71"/>
  <c r="F71"/>
  <c r="E71"/>
  <c r="D71"/>
  <c r="C71"/>
  <c r="B71"/>
  <c r="S38"/>
  <c r="R46"/>
  <c r="Q46"/>
  <c r="P46"/>
  <c r="O46"/>
  <c r="N46"/>
  <c r="M46"/>
  <c r="L46"/>
  <c r="K46"/>
  <c r="J46"/>
  <c r="I46"/>
  <c r="H46"/>
  <c r="G46"/>
  <c r="F46"/>
  <c r="E46"/>
  <c r="D46"/>
  <c r="C46"/>
  <c r="B46"/>
  <c r="S37"/>
  <c r="R9"/>
  <c r="Q9"/>
  <c r="P9"/>
  <c r="O9"/>
  <c r="N9"/>
  <c r="M9"/>
  <c r="L9"/>
  <c r="K9"/>
  <c r="J9"/>
  <c r="I9"/>
  <c r="H9"/>
  <c r="G9"/>
  <c r="F9"/>
  <c r="E9"/>
  <c r="D9"/>
  <c r="C9"/>
  <c r="B9"/>
  <c r="S36"/>
  <c r="R12"/>
  <c r="Q12"/>
  <c r="P12"/>
  <c r="O12"/>
  <c r="N12"/>
  <c r="M12"/>
  <c r="L12"/>
  <c r="K12"/>
  <c r="J12"/>
  <c r="I12"/>
  <c r="H12"/>
  <c r="G12"/>
  <c r="F12"/>
  <c r="E12"/>
  <c r="D12"/>
  <c r="C12"/>
  <c r="B12"/>
  <c r="S35"/>
  <c r="R80"/>
  <c r="Q80"/>
  <c r="P80"/>
  <c r="O80"/>
  <c r="N80"/>
  <c r="M80"/>
  <c r="L80"/>
  <c r="K80"/>
  <c r="J80"/>
  <c r="I80"/>
  <c r="H80"/>
  <c r="G80"/>
  <c r="F80"/>
  <c r="E80"/>
  <c r="D80"/>
  <c r="C80"/>
  <c r="B80"/>
  <c r="S34"/>
  <c r="R68"/>
  <c r="Q68"/>
  <c r="P68"/>
  <c r="O68"/>
  <c r="N68"/>
  <c r="M68"/>
  <c r="L68"/>
  <c r="K68"/>
  <c r="J68"/>
  <c r="I68"/>
  <c r="H68"/>
  <c r="G68"/>
  <c r="F68"/>
  <c r="E68"/>
  <c r="D68"/>
  <c r="C68"/>
  <c r="B68"/>
  <c r="S33"/>
  <c r="R97"/>
  <c r="Q97"/>
  <c r="P97"/>
  <c r="O97"/>
  <c r="N97"/>
  <c r="M97"/>
  <c r="L97"/>
  <c r="K97"/>
  <c r="J97"/>
  <c r="I97"/>
  <c r="H97"/>
  <c r="G97"/>
  <c r="F97"/>
  <c r="E97"/>
  <c r="D97"/>
  <c r="C97"/>
  <c r="B97"/>
  <c r="S32"/>
  <c r="R48"/>
  <c r="Q48"/>
  <c r="P48"/>
  <c r="O48"/>
  <c r="N48"/>
  <c r="M48"/>
  <c r="L48"/>
  <c r="K48"/>
  <c r="J48"/>
  <c r="I48"/>
  <c r="H48"/>
  <c r="G48"/>
  <c r="F48"/>
  <c r="E48"/>
  <c r="D48"/>
  <c r="C48"/>
  <c r="B48"/>
  <c r="S31"/>
  <c r="R49"/>
  <c r="Q49"/>
  <c r="P49"/>
  <c r="O49"/>
  <c r="N49"/>
  <c r="M49"/>
  <c r="L49"/>
  <c r="K49"/>
  <c r="J49"/>
  <c r="I49"/>
  <c r="H49"/>
  <c r="G49"/>
  <c r="F49"/>
  <c r="E49"/>
  <c r="D49"/>
  <c r="C49"/>
  <c r="B49"/>
  <c r="S30"/>
  <c r="R29"/>
  <c r="Q29"/>
  <c r="P29"/>
  <c r="O29"/>
  <c r="N29"/>
  <c r="M29"/>
  <c r="L29"/>
  <c r="K29"/>
  <c r="J29"/>
  <c r="I29"/>
  <c r="H29"/>
  <c r="G29"/>
  <c r="F29"/>
  <c r="E29"/>
  <c r="D29"/>
  <c r="C29"/>
  <c r="B29"/>
  <c r="S29"/>
  <c r="R19"/>
  <c r="Q19"/>
  <c r="P19"/>
  <c r="O19"/>
  <c r="N19"/>
  <c r="M19"/>
  <c r="L19"/>
  <c r="K19"/>
  <c r="J19"/>
  <c r="I19"/>
  <c r="H19"/>
  <c r="G19"/>
  <c r="F19"/>
  <c r="E19"/>
  <c r="D19"/>
  <c r="C19"/>
  <c r="B19"/>
  <c r="S28"/>
  <c r="R92"/>
  <c r="Q92"/>
  <c r="P92"/>
  <c r="O92"/>
  <c r="N92"/>
  <c r="M92"/>
  <c r="L92"/>
  <c r="K92"/>
  <c r="J92"/>
  <c r="I92"/>
  <c r="H92"/>
  <c r="G92"/>
  <c r="F92"/>
  <c r="E92"/>
  <c r="D92"/>
  <c r="C92"/>
  <c r="B92"/>
  <c r="S27"/>
  <c r="R34"/>
  <c r="Q34"/>
  <c r="P34"/>
  <c r="O34"/>
  <c r="N34"/>
  <c r="M34"/>
  <c r="L34"/>
  <c r="K34"/>
  <c r="J34"/>
  <c r="I34"/>
  <c r="H34"/>
  <c r="G34"/>
  <c r="F34"/>
  <c r="E34"/>
  <c r="D34"/>
  <c r="C34"/>
  <c r="B34"/>
  <c r="S26"/>
  <c r="R24"/>
  <c r="Q24"/>
  <c r="P24"/>
  <c r="O24"/>
  <c r="N24"/>
  <c r="M24"/>
  <c r="L24"/>
  <c r="K24"/>
  <c r="J24"/>
  <c r="I24"/>
  <c r="H24"/>
  <c r="G24"/>
  <c r="F24"/>
  <c r="E24"/>
  <c r="D24"/>
  <c r="C24"/>
  <c r="B24"/>
  <c r="S25"/>
  <c r="R6"/>
  <c r="Q6"/>
  <c r="P6"/>
  <c r="O6"/>
  <c r="N6"/>
  <c r="M6"/>
  <c r="L6"/>
  <c r="K6"/>
  <c r="J6"/>
  <c r="I6"/>
  <c r="H6"/>
  <c r="G6"/>
  <c r="F6"/>
  <c r="E6"/>
  <c r="D6"/>
  <c r="C6"/>
  <c r="B6"/>
  <c r="S24"/>
  <c r="R8"/>
  <c r="Q8"/>
  <c r="P8"/>
  <c r="O8"/>
  <c r="N8"/>
  <c r="M8"/>
  <c r="L8"/>
  <c r="K8"/>
  <c r="J8"/>
  <c r="I8"/>
  <c r="H8"/>
  <c r="G8"/>
  <c r="F8"/>
  <c r="E8"/>
  <c r="D8"/>
  <c r="C8"/>
  <c r="B8"/>
  <c r="S23"/>
  <c r="R13"/>
  <c r="Q13"/>
  <c r="P13"/>
  <c r="O13"/>
  <c r="N13"/>
  <c r="M13"/>
  <c r="L13"/>
  <c r="K13"/>
  <c r="J13"/>
  <c r="I13"/>
  <c r="H13"/>
  <c r="G13"/>
  <c r="F13"/>
  <c r="E13"/>
  <c r="D13"/>
  <c r="C13"/>
  <c r="B13"/>
  <c r="S22"/>
  <c r="R90"/>
  <c r="Q90"/>
  <c r="P90"/>
  <c r="O90"/>
  <c r="N90"/>
  <c r="M90"/>
  <c r="L90"/>
  <c r="K90"/>
  <c r="J90"/>
  <c r="I90"/>
  <c r="H90"/>
  <c r="G90"/>
  <c r="F90"/>
  <c r="E90"/>
  <c r="D90"/>
  <c r="C90"/>
  <c r="B90"/>
  <c r="S21"/>
  <c r="R95"/>
  <c r="Q95"/>
  <c r="P95"/>
  <c r="O95"/>
  <c r="N95"/>
  <c r="M95"/>
  <c r="L95"/>
  <c r="K95"/>
  <c r="J95"/>
  <c r="I95"/>
  <c r="H95"/>
  <c r="G95"/>
  <c r="F95"/>
  <c r="E95"/>
  <c r="D95"/>
  <c r="C95"/>
  <c r="B95"/>
  <c r="S20"/>
  <c r="R86"/>
  <c r="Q86"/>
  <c r="P86"/>
  <c r="O86"/>
  <c r="N86"/>
  <c r="M86"/>
  <c r="L86"/>
  <c r="K86"/>
  <c r="J86"/>
  <c r="I86"/>
  <c r="H86"/>
  <c r="G86"/>
  <c r="F86"/>
  <c r="E86"/>
  <c r="D86"/>
  <c r="C86"/>
  <c r="B86"/>
  <c r="S19"/>
  <c r="R32"/>
  <c r="Q32"/>
  <c r="P32"/>
  <c r="O32"/>
  <c r="N32"/>
  <c r="M32"/>
  <c r="L32"/>
  <c r="K32"/>
  <c r="J32"/>
  <c r="I32"/>
  <c r="H32"/>
  <c r="G32"/>
  <c r="F32"/>
  <c r="E32"/>
  <c r="D32"/>
  <c r="C32"/>
  <c r="B32"/>
  <c r="S18"/>
  <c r="R64"/>
  <c r="Q64"/>
  <c r="P64"/>
  <c r="O64"/>
  <c r="N64"/>
  <c r="M64"/>
  <c r="L64"/>
  <c r="K64"/>
  <c r="J64"/>
  <c r="I64"/>
  <c r="H64"/>
  <c r="G64"/>
  <c r="F64"/>
  <c r="E64"/>
  <c r="D64"/>
  <c r="C64"/>
  <c r="B64"/>
  <c r="S17"/>
  <c r="R28"/>
  <c r="Q28"/>
  <c r="P28"/>
  <c r="O28"/>
  <c r="N28"/>
  <c r="M28"/>
  <c r="L28"/>
  <c r="K28"/>
  <c r="J28"/>
  <c r="I28"/>
  <c r="H28"/>
  <c r="G28"/>
  <c r="F28"/>
  <c r="E28"/>
  <c r="D28"/>
  <c r="C28"/>
  <c r="B28"/>
  <c r="S16"/>
  <c r="R4"/>
  <c r="Q4"/>
  <c r="P4"/>
  <c r="O4"/>
  <c r="N4"/>
  <c r="M4"/>
  <c r="L4"/>
  <c r="K4"/>
  <c r="J4"/>
  <c r="I4"/>
  <c r="H4"/>
  <c r="G4"/>
  <c r="F4"/>
  <c r="E4"/>
  <c r="D4"/>
  <c r="C4"/>
  <c r="B4"/>
  <c r="S15"/>
  <c r="R27"/>
  <c r="Q27"/>
  <c r="P27"/>
  <c r="O27"/>
  <c r="N27"/>
  <c r="M27"/>
  <c r="L27"/>
  <c r="K27"/>
  <c r="J27"/>
  <c r="I27"/>
  <c r="H27"/>
  <c r="G27"/>
  <c r="F27"/>
  <c r="E27"/>
  <c r="D27"/>
  <c r="C27"/>
  <c r="B27"/>
  <c r="S14"/>
  <c r="R74"/>
  <c r="Q74"/>
  <c r="P74"/>
  <c r="O74"/>
  <c r="N74"/>
  <c r="M74"/>
  <c r="L74"/>
  <c r="K74"/>
  <c r="J74"/>
  <c r="I74"/>
  <c r="H74"/>
  <c r="G74"/>
  <c r="F74"/>
  <c r="E74"/>
  <c r="D74"/>
  <c r="C74"/>
  <c r="B74"/>
  <c r="S13"/>
  <c r="R87"/>
  <c r="Q87"/>
  <c r="P87"/>
  <c r="O87"/>
  <c r="N87"/>
  <c r="M87"/>
  <c r="L87"/>
  <c r="K87"/>
  <c r="J87"/>
  <c r="I87"/>
  <c r="H87"/>
  <c r="G87"/>
  <c r="F87"/>
  <c r="E87"/>
  <c r="D87"/>
  <c r="C87"/>
  <c r="B87"/>
  <c r="S12"/>
  <c r="R22"/>
  <c r="Q22"/>
  <c r="P22"/>
  <c r="O22"/>
  <c r="N22"/>
  <c r="M22"/>
  <c r="L22"/>
  <c r="K22"/>
  <c r="J22"/>
  <c r="I22"/>
  <c r="H22"/>
  <c r="G22"/>
  <c r="F22"/>
  <c r="E22"/>
  <c r="D22"/>
  <c r="C22"/>
  <c r="B22"/>
  <c r="S11"/>
  <c r="R73"/>
  <c r="Q73"/>
  <c r="P73"/>
  <c r="O73"/>
  <c r="N73"/>
  <c r="M73"/>
  <c r="L73"/>
  <c r="K73"/>
  <c r="J73"/>
  <c r="I73"/>
  <c r="H73"/>
  <c r="G73"/>
  <c r="F73"/>
  <c r="E73"/>
  <c r="D73"/>
  <c r="C73"/>
  <c r="B73"/>
  <c r="S10"/>
  <c r="R33"/>
  <c r="Q33"/>
  <c r="P33"/>
  <c r="O33"/>
  <c r="N33"/>
  <c r="M33"/>
  <c r="L33"/>
  <c r="K33"/>
  <c r="J33"/>
  <c r="I33"/>
  <c r="H33"/>
  <c r="G33"/>
  <c r="F33"/>
  <c r="E33"/>
  <c r="D33"/>
  <c r="C33"/>
  <c r="B33"/>
  <c r="S9"/>
  <c r="R54"/>
  <c r="Q54"/>
  <c r="P54"/>
  <c r="O54"/>
  <c r="N54"/>
  <c r="M54"/>
  <c r="L54"/>
  <c r="K54"/>
  <c r="J54"/>
  <c r="I54"/>
  <c r="H54"/>
  <c r="G54"/>
  <c r="F54"/>
  <c r="E54"/>
  <c r="D54"/>
  <c r="C54"/>
  <c r="B54"/>
  <c r="S8"/>
  <c r="R10"/>
  <c r="Q10"/>
  <c r="P10"/>
  <c r="O10"/>
  <c r="N10"/>
  <c r="M10"/>
  <c r="L10"/>
  <c r="K10"/>
  <c r="J10"/>
  <c r="I10"/>
  <c r="H10"/>
  <c r="G10"/>
  <c r="F10"/>
  <c r="E10"/>
  <c r="D10"/>
  <c r="C10"/>
  <c r="B10"/>
  <c r="S7"/>
  <c r="R17"/>
  <c r="Q17"/>
  <c r="P17"/>
  <c r="O17"/>
  <c r="N17"/>
  <c r="M17"/>
  <c r="L17"/>
  <c r="K17"/>
  <c r="J17"/>
  <c r="I17"/>
  <c r="H17"/>
  <c r="G17"/>
  <c r="F17"/>
  <c r="E17"/>
  <c r="D17"/>
  <c r="C17"/>
  <c r="B17"/>
  <c r="S6"/>
  <c r="R52"/>
  <c r="Q52"/>
  <c r="P52"/>
  <c r="O52"/>
  <c r="N52"/>
  <c r="M52"/>
  <c r="L52"/>
  <c r="K52"/>
  <c r="J52"/>
  <c r="I52"/>
  <c r="H52"/>
  <c r="G52"/>
  <c r="F52"/>
  <c r="E52"/>
  <c r="D52"/>
  <c r="C52"/>
  <c r="B52"/>
  <c r="S5"/>
  <c r="R39"/>
  <c r="Q39"/>
  <c r="P39"/>
  <c r="O39"/>
  <c r="N39"/>
  <c r="M39"/>
  <c r="L39"/>
  <c r="K39"/>
  <c r="J39"/>
  <c r="I39"/>
  <c r="H39"/>
  <c r="G39"/>
  <c r="F39"/>
  <c r="E39"/>
  <c r="D39"/>
  <c r="C39"/>
  <c r="B39"/>
  <c r="S4"/>
  <c r="R79"/>
  <c r="Q79"/>
  <c r="P79"/>
  <c r="O79"/>
  <c r="N79"/>
  <c r="M79"/>
  <c r="L79"/>
  <c r="K79"/>
  <c r="J79"/>
  <c r="I79"/>
  <c r="H79"/>
  <c r="G79"/>
  <c r="F79"/>
  <c r="E79"/>
  <c r="D79"/>
  <c r="C79"/>
  <c r="B79"/>
  <c r="S3"/>
  <c r="R3"/>
  <c r="Q3"/>
  <c r="P3"/>
  <c r="O3"/>
  <c r="N3"/>
  <c r="M3"/>
  <c r="L3"/>
  <c r="K3"/>
  <c r="J3"/>
  <c r="I3"/>
  <c r="H3"/>
  <c r="G3"/>
  <c r="F3"/>
  <c r="E3"/>
  <c r="D3"/>
  <c r="C3"/>
  <c r="B3"/>
  <c r="S102" i="7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S101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S9"/>
  <c r="R9"/>
  <c r="Q9"/>
  <c r="P9"/>
  <c r="O9"/>
  <c r="N9"/>
  <c r="M9"/>
  <c r="L9"/>
  <c r="K9"/>
  <c r="J9"/>
  <c r="I9"/>
  <c r="H9"/>
  <c r="G9"/>
  <c r="F9"/>
  <c r="E9"/>
  <c r="D9"/>
  <c r="C9"/>
  <c r="B9"/>
  <c r="S8"/>
  <c r="R8"/>
  <c r="Q8"/>
  <c r="P8"/>
  <c r="O8"/>
  <c r="N8"/>
  <c r="M8"/>
  <c r="L8"/>
  <c r="K8"/>
  <c r="J8"/>
  <c r="I8"/>
  <c r="H8"/>
  <c r="G8"/>
  <c r="F8"/>
  <c r="E8"/>
  <c r="D8"/>
  <c r="C8"/>
  <c r="B8"/>
  <c r="S7"/>
  <c r="R7"/>
  <c r="Q7"/>
  <c r="P7"/>
  <c r="O7"/>
  <c r="N7"/>
  <c r="M7"/>
  <c r="L7"/>
  <c r="K7"/>
  <c r="J7"/>
  <c r="I7"/>
  <c r="H7"/>
  <c r="G7"/>
  <c r="F7"/>
  <c r="E7"/>
  <c r="D7"/>
  <c r="C7"/>
  <c r="B7"/>
  <c r="S6"/>
  <c r="R6"/>
  <c r="Q6"/>
  <c r="P6"/>
  <c r="O6"/>
  <c r="N6"/>
  <c r="M6"/>
  <c r="L6"/>
  <c r="K6"/>
  <c r="J6"/>
  <c r="I6"/>
  <c r="H6"/>
  <c r="G6"/>
  <c r="F6"/>
  <c r="E6"/>
  <c r="D6"/>
  <c r="C6"/>
  <c r="B6"/>
  <c r="S5"/>
  <c r="R5"/>
  <c r="Q5"/>
  <c r="P5"/>
  <c r="O5"/>
  <c r="N5"/>
  <c r="M5"/>
  <c r="L5"/>
  <c r="K5"/>
  <c r="J5"/>
  <c r="I5"/>
  <c r="H5"/>
  <c r="G5"/>
  <c r="F5"/>
  <c r="E5"/>
  <c r="D5"/>
  <c r="C5"/>
  <c r="B5"/>
  <c r="S4"/>
  <c r="R4"/>
  <c r="Q4"/>
  <c r="P4"/>
  <c r="O4"/>
  <c r="N4"/>
  <c r="M4"/>
  <c r="L4"/>
  <c r="K4"/>
  <c r="J4"/>
  <c r="I4"/>
  <c r="H4"/>
  <c r="G4"/>
  <c r="F4"/>
  <c r="E4"/>
  <c r="D4"/>
  <c r="C4"/>
  <c r="B4"/>
  <c r="S3"/>
  <c r="R3"/>
  <c r="Q3"/>
  <c r="P3"/>
  <c r="O3"/>
  <c r="N3"/>
  <c r="M3"/>
  <c r="L3"/>
  <c r="K3"/>
  <c r="J3"/>
  <c r="I3"/>
  <c r="H3"/>
  <c r="G3"/>
  <c r="F3"/>
  <c r="E3"/>
  <c r="D3"/>
  <c r="C3"/>
  <c r="B3"/>
  <c r="S5" i="1"/>
  <c r="R3"/>
  <c r="Q3"/>
  <c r="P3"/>
  <c r="O3"/>
  <c r="N3"/>
  <c r="M3"/>
  <c r="L3"/>
  <c r="K3"/>
  <c r="J3"/>
  <c r="I3"/>
  <c r="H3"/>
  <c r="G3"/>
  <c r="F3"/>
  <c r="E3"/>
  <c r="D3"/>
  <c r="C3"/>
  <c r="B3"/>
  <c r="S2" i="9" l="1"/>
  <c r="K2"/>
  <c r="Q2"/>
  <c r="K2" i="10"/>
  <c r="J2"/>
  <c r="R2"/>
  <c r="K2" i="8"/>
  <c r="P2" i="9"/>
  <c r="H2" i="11"/>
  <c r="P2"/>
  <c r="F2"/>
  <c r="N2"/>
  <c r="L2"/>
  <c r="R2"/>
  <c r="Q2" i="8"/>
  <c r="I2" i="10"/>
  <c r="Q2"/>
  <c r="G2"/>
  <c r="I2" i="11"/>
  <c r="Q2"/>
  <c r="G2"/>
  <c r="M2"/>
  <c r="S2"/>
  <c r="L2" i="8"/>
  <c r="R2"/>
  <c r="F2" i="1"/>
  <c r="M2"/>
  <c r="K2"/>
  <c r="S2"/>
  <c r="L2"/>
  <c r="R2"/>
  <c r="G2"/>
  <c r="H2"/>
  <c r="P2"/>
  <c r="N2"/>
  <c r="J2"/>
  <c r="O2"/>
  <c r="I2"/>
  <c r="Q2"/>
  <c r="R2" i="9"/>
  <c r="J2" i="11"/>
  <c r="Q2" i="7"/>
  <c r="K2" i="11"/>
  <c r="H2" i="7"/>
  <c r="P2"/>
  <c r="M2" i="10"/>
  <c r="S2"/>
  <c r="I2" i="7"/>
  <c r="F2" i="8"/>
  <c r="L2" i="10"/>
  <c r="H2" i="8"/>
  <c r="N2"/>
  <c r="I2"/>
  <c r="G2"/>
  <c r="O2"/>
  <c r="M2"/>
  <c r="H2" i="9"/>
  <c r="F2"/>
  <c r="N2"/>
  <c r="L2"/>
  <c r="J2"/>
  <c r="O2" i="10"/>
  <c r="J2" i="8"/>
  <c r="P2"/>
  <c r="I2" i="9"/>
  <c r="G2"/>
  <c r="O2"/>
  <c r="M2"/>
  <c r="H2" i="10"/>
  <c r="P2"/>
  <c r="F2"/>
  <c r="N2"/>
  <c r="O2" i="11"/>
  <c r="J2" i="7"/>
  <c r="M2"/>
  <c r="K2"/>
  <c r="S2"/>
  <c r="L2"/>
  <c r="F2"/>
  <c r="N2"/>
  <c r="R2"/>
  <c r="G2"/>
  <c r="O2"/>
</calcChain>
</file>

<file path=xl/sharedStrings.xml><?xml version="1.0" encoding="utf-8"?>
<sst xmlns="http://schemas.openxmlformats.org/spreadsheetml/2006/main" count="7" uniqueCount="2">
  <si>
    <t>Averages</t>
  </si>
  <si>
    <t>No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</si>
</sst>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0" fontId="0" fillId="0" borderId="0" xfId="0" applyFont="1"/>
    <xf numFmtId="164" fontId="0" fillId="0" borderId="0" xfId="1" applyNumberFormat="1" applyFont="1"/>
    <xf numFmtId="0" fontId="1" fillId="2" borderId="0" xfId="0" applyFont="1" applyFill="1"/>
    <xf numFmtId="164" fontId="1" fillId="2" borderId="0" xfId="1" applyNumberFormat="1" applyFont="1" applyFill="1"/>
    <xf numFmtId="164" fontId="3" fillId="3" borderId="0" xfId="1" applyNumberFormat="1" applyFont="1" applyFill="1"/>
    <xf numFmtId="164" fontId="3" fillId="2" borderId="0" xfId="1" applyNumberFormat="1" applyFont="1" applyFill="1"/>
    <xf numFmtId="164" fontId="4" fillId="0" borderId="0" xfId="1" applyNumberFormat="1" applyFont="1"/>
    <xf numFmtId="164" fontId="5" fillId="0" borderId="0" xfId="1" applyNumberFormat="1" applyFont="1"/>
    <xf numFmtId="0" fontId="5" fillId="0" borderId="0" xfId="0" applyFont="1"/>
    <xf numFmtId="164" fontId="6" fillId="0" borderId="0" xfId="1" applyNumberFormat="1" applyFont="1"/>
    <xf numFmtId="0" fontId="0" fillId="0" borderId="1" xfId="0" applyBorder="1"/>
    <xf numFmtId="0" fontId="0" fillId="0" borderId="2" xfId="0" applyBorder="1"/>
    <xf numFmtId="0" fontId="1" fillId="0" borderId="2" xfId="0" applyFont="1" applyBorder="1"/>
    <xf numFmtId="164" fontId="3" fillId="3" borderId="2" xfId="1" applyNumberFormat="1" applyFont="1" applyFill="1" applyBorder="1"/>
    <xf numFmtId="164" fontId="3" fillId="3" borderId="3" xfId="1" applyNumberFormat="1" applyFont="1" applyFill="1" applyBorder="1"/>
    <xf numFmtId="0" fontId="1" fillId="0" borderId="4" xfId="0" applyFont="1" applyBorder="1"/>
    <xf numFmtId="0" fontId="0" fillId="0" borderId="0" xfId="0" applyFont="1" applyBorder="1"/>
    <xf numFmtId="164" fontId="4" fillId="0" borderId="0" xfId="1" applyNumberFormat="1" applyFont="1" applyBorder="1"/>
    <xf numFmtId="164" fontId="6" fillId="0" borderId="0" xfId="1" applyNumberFormat="1" applyFont="1" applyBorder="1"/>
    <xf numFmtId="164" fontId="6" fillId="0" borderId="5" xfId="1" applyNumberFormat="1" applyFont="1" applyBorder="1"/>
    <xf numFmtId="0" fontId="1" fillId="0" borderId="6" xfId="0" applyFont="1" applyBorder="1"/>
    <xf numFmtId="0" fontId="0" fillId="0" borderId="7" xfId="0" applyFont="1" applyBorder="1"/>
    <xf numFmtId="164" fontId="4" fillId="0" borderId="7" xfId="1" applyNumberFormat="1" applyFont="1" applyBorder="1"/>
    <xf numFmtId="164" fontId="6" fillId="0" borderId="7" xfId="1" applyNumberFormat="1" applyFont="1" applyBorder="1"/>
    <xf numFmtId="164" fontId="6" fillId="0" borderId="8" xfId="1" applyNumberFormat="1" applyFont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8" xfId="0" applyFont="1" applyBorder="1"/>
    <xf numFmtId="164" fontId="4" fillId="0" borderId="4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3" fillId="0" borderId="5" xfId="1" applyNumberFormat="1" applyFont="1" applyBorder="1"/>
    <xf numFmtId="164" fontId="7" fillId="0" borderId="0" xfId="1" applyNumberFormat="1" applyFont="1" applyBorder="1"/>
    <xf numFmtId="164" fontId="3" fillId="0" borderId="8" xfId="1" applyNumberFormat="1" applyFont="1" applyBorder="1"/>
    <xf numFmtId="164" fontId="7" fillId="0" borderId="7" xfId="1" applyNumberFormat="1" applyFont="1" applyBorder="1"/>
    <xf numFmtId="164" fontId="3" fillId="3" borderId="9" xfId="1" applyNumberFormat="1" applyFont="1" applyFill="1" applyBorder="1"/>
    <xf numFmtId="164" fontId="3" fillId="3" borderId="10" xfId="1" applyNumberFormat="1" applyFont="1" applyFill="1" applyBorder="1"/>
    <xf numFmtId="164" fontId="3" fillId="3" borderId="11" xfId="1" applyNumberFormat="1" applyFont="1" applyFill="1" applyBorder="1"/>
    <xf numFmtId="164" fontId="3" fillId="3" borderId="12" xfId="1" applyNumberFormat="1" applyFont="1" applyFill="1" applyBorder="1"/>
    <xf numFmtId="0" fontId="0" fillId="4" borderId="0" xfId="0" applyFont="1" applyFill="1"/>
    <xf numFmtId="0" fontId="1" fillId="4" borderId="4" xfId="0" applyFont="1" applyFill="1" applyBorder="1"/>
    <xf numFmtId="0" fontId="0" fillId="4" borderId="4" xfId="0" applyFont="1" applyFill="1" applyBorder="1"/>
    <xf numFmtId="0" fontId="0" fillId="4" borderId="0" xfId="0" applyFont="1" applyFill="1" applyBorder="1"/>
    <xf numFmtId="0" fontId="0" fillId="4" borderId="5" xfId="0" applyFont="1" applyFill="1" applyBorder="1"/>
    <xf numFmtId="164" fontId="4" fillId="4" borderId="4" xfId="1" applyNumberFormat="1" applyFont="1" applyFill="1" applyBorder="1"/>
    <xf numFmtId="164" fontId="4" fillId="4" borderId="0" xfId="1" applyNumberFormat="1" applyFont="1" applyFill="1" applyBorder="1"/>
    <xf numFmtId="164" fontId="3" fillId="4" borderId="5" xfId="1" applyNumberFormat="1" applyFont="1" applyFill="1" applyBorder="1"/>
    <xf numFmtId="164" fontId="7" fillId="4" borderId="0" xfId="1" applyNumberFormat="1" applyFont="1" applyFill="1" applyBorder="1"/>
    <xf numFmtId="164" fontId="6" fillId="4" borderId="0" xfId="1" applyNumberFormat="1" applyFont="1" applyFill="1" applyBorder="1"/>
    <xf numFmtId="164" fontId="6" fillId="4" borderId="5" xfId="1" applyNumberFormat="1" applyFont="1" applyFill="1" applyBorder="1"/>
    <xf numFmtId="0" fontId="8" fillId="4" borderId="0" xfId="0" applyFont="1" applyFill="1"/>
    <xf numFmtId="0" fontId="9" fillId="4" borderId="0" xfId="0" applyFont="1" applyFill="1"/>
    <xf numFmtId="164" fontId="10" fillId="4" borderId="0" xfId="1" applyNumberFormat="1" applyFont="1" applyFill="1"/>
    <xf numFmtId="164" fontId="11" fillId="4" borderId="0" xfId="1" applyNumberFormat="1" applyFont="1" applyFill="1"/>
    <xf numFmtId="43" fontId="8" fillId="0" borderId="0" xfId="1" applyFont="1"/>
    <xf numFmtId="49" fontId="0" fillId="0" borderId="0" xfId="0" applyNumberFormat="1"/>
    <xf numFmtId="49" fontId="0" fillId="0" borderId="0" xfId="0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-vrc-16-327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"/>
      <sheetName val="Grp_1"/>
      <sheetName val="Grp_2"/>
      <sheetName val="Grp_3"/>
      <sheetName val="Grp_4"/>
      <sheetName val="Grp_5"/>
    </sheetNames>
    <sheetDataSet>
      <sheetData sheetId="0">
        <row r="1">
          <cell r="A1" t="str">
            <v>Team</v>
          </cell>
          <cell r="B1" t="str">
            <v>Name</v>
          </cell>
          <cell r="C1" t="str">
            <v>Org</v>
          </cell>
          <cell r="D1" t="str">
            <v>Location</v>
          </cell>
          <cell r="E1" t="str">
            <v>Drv_skills</v>
          </cell>
          <cell r="F1" t="str">
            <v>Prg_skills</v>
          </cell>
          <cell r="G1" t="str">
            <v>Opr_max</v>
          </cell>
          <cell r="H1" t="str">
            <v>Opr_last</v>
          </cell>
          <cell r="I1" t="str">
            <v>Opr-1</v>
          </cell>
          <cell r="J1" t="str">
            <v>Opr-2</v>
          </cell>
          <cell r="K1" t="str">
            <v>Opr-3</v>
          </cell>
          <cell r="L1" t="str">
            <v>Opr-4</v>
          </cell>
          <cell r="M1" t="str">
            <v>Opr-5</v>
          </cell>
        </row>
        <row r="2">
          <cell r="A2" t="str">
            <v>2R</v>
          </cell>
          <cell r="B2" t="str">
            <v>Robosavages R</v>
          </cell>
          <cell r="C2" t="str">
            <v>Gladstone</v>
          </cell>
          <cell r="D2" t="str">
            <v>Vancouver, British Columbia, Canada</v>
          </cell>
          <cell r="E2">
            <v>356</v>
          </cell>
          <cell r="F2">
            <v>253</v>
          </cell>
          <cell r="G2">
            <v>142.357</v>
          </cell>
          <cell r="H2">
            <v>142.357</v>
          </cell>
          <cell r="I2">
            <v>107.38200000000001</v>
          </cell>
          <cell r="J2">
            <v>138.21799999999999</v>
          </cell>
          <cell r="K2">
            <v>87.828999999999994</v>
          </cell>
          <cell r="L2">
            <v>82.34</v>
          </cell>
        </row>
        <row r="3">
          <cell r="A3" t="str">
            <v>2S</v>
          </cell>
          <cell r="B3" t="str">
            <v>Robosavages S</v>
          </cell>
          <cell r="C3" t="str">
            <v>Gladstone</v>
          </cell>
          <cell r="D3" t="str">
            <v>Vancouver, British Columbia, Canada</v>
          </cell>
          <cell r="E3">
            <v>40</v>
          </cell>
          <cell r="F3">
            <v>0</v>
          </cell>
          <cell r="G3">
            <v>72.793099999999995</v>
          </cell>
          <cell r="H3">
            <v>72.793099999999995</v>
          </cell>
          <cell r="I3">
            <v>10.095800000000001</v>
          </cell>
        </row>
        <row r="4">
          <cell r="A4" t="str">
            <v>2Z</v>
          </cell>
          <cell r="B4" t="str">
            <v>Robosavages Z</v>
          </cell>
          <cell r="C4" t="str">
            <v>Gladstone</v>
          </cell>
          <cell r="D4" t="str">
            <v>Vancouver, British Columbia, Canada</v>
          </cell>
          <cell r="E4">
            <v>260</v>
          </cell>
          <cell r="F4">
            <v>135</v>
          </cell>
          <cell r="G4">
            <v>103.771</v>
          </cell>
          <cell r="H4">
            <v>103.771</v>
          </cell>
          <cell r="I4">
            <v>80.842600000000004</v>
          </cell>
          <cell r="J4">
            <v>98.807299999999998</v>
          </cell>
          <cell r="K4">
            <v>87.034899999999993</v>
          </cell>
          <cell r="L4">
            <v>67.794300000000007</v>
          </cell>
        </row>
        <row r="5">
          <cell r="A5" t="str">
            <v>10D</v>
          </cell>
          <cell r="B5" t="str">
            <v>Exothermic Dichotomy</v>
          </cell>
          <cell r="C5" t="str">
            <v>Exothermic Robotics</v>
          </cell>
          <cell r="D5" t="str">
            <v>Redmond, Washington, United States</v>
          </cell>
          <cell r="E5">
            <v>0</v>
          </cell>
          <cell r="F5">
            <v>0</v>
          </cell>
          <cell r="G5">
            <v>47.432299999999998</v>
          </cell>
          <cell r="H5">
            <v>47.432299999999998</v>
          </cell>
          <cell r="I5">
            <v>19.273900000000001</v>
          </cell>
          <cell r="J5">
            <v>7.9199400000000004</v>
          </cell>
          <cell r="K5">
            <v>20.750800000000002</v>
          </cell>
          <cell r="L5">
            <v>16.109500000000001</v>
          </cell>
          <cell r="M5">
            <v>3.98813</v>
          </cell>
        </row>
        <row r="6">
          <cell r="A6" t="str">
            <v>10Q</v>
          </cell>
          <cell r="B6" t="str">
            <v>Exothermic Quties</v>
          </cell>
          <cell r="C6" t="str">
            <v>Exothermic Robotics</v>
          </cell>
          <cell r="D6" t="str">
            <v>Redmond, Washington, United States</v>
          </cell>
          <cell r="E6">
            <v>316</v>
          </cell>
          <cell r="F6">
            <v>141</v>
          </cell>
          <cell r="G6">
            <v>149.648</v>
          </cell>
          <cell r="H6">
            <v>149.648</v>
          </cell>
          <cell r="I6">
            <v>145.149</v>
          </cell>
          <cell r="J6">
            <v>120.913</v>
          </cell>
          <cell r="K6">
            <v>137.77500000000001</v>
          </cell>
          <cell r="L6">
            <v>146.43</v>
          </cell>
          <cell r="M6">
            <v>65.663200000000003</v>
          </cell>
        </row>
        <row r="7">
          <cell r="A7" t="str">
            <v>10Z</v>
          </cell>
          <cell r="B7" t="str">
            <v>Exothermic Zen</v>
          </cell>
          <cell r="C7" t="str">
            <v>Exothermic Robotics</v>
          </cell>
          <cell r="D7" t="str">
            <v>Redmond, Washington, United States</v>
          </cell>
          <cell r="E7">
            <v>161</v>
          </cell>
          <cell r="F7">
            <v>225</v>
          </cell>
          <cell r="G7">
            <v>83.911199999999994</v>
          </cell>
          <cell r="H7">
            <v>83.911199999999994</v>
          </cell>
          <cell r="I7">
            <v>67.572000000000003</v>
          </cell>
          <cell r="J7">
            <v>80.308899999999994</v>
          </cell>
          <cell r="K7">
            <v>2.7913000000000001</v>
          </cell>
          <cell r="L7">
            <v>62.307600000000001</v>
          </cell>
          <cell r="M7">
            <v>31.303699999999999</v>
          </cell>
        </row>
        <row r="8">
          <cell r="A8" t="str">
            <v>24A</v>
          </cell>
          <cell r="B8" t="str">
            <v>Super Sonic Sparks A</v>
          </cell>
          <cell r="C8" t="str">
            <v>SPARKS 4-H Club</v>
          </cell>
          <cell r="D8" t="str">
            <v>Westminster, Maryland, United States</v>
          </cell>
          <cell r="E8">
            <v>265</v>
          </cell>
          <cell r="F8">
            <v>121</v>
          </cell>
          <cell r="G8">
            <v>107.136</v>
          </cell>
          <cell r="H8">
            <v>87.996499999999997</v>
          </cell>
          <cell r="I8">
            <v>107.136</v>
          </cell>
          <cell r="J8">
            <v>60.262599999999999</v>
          </cell>
          <cell r="K8">
            <v>12.3642</v>
          </cell>
          <cell r="L8">
            <v>41.787599999999998</v>
          </cell>
          <cell r="M8">
            <v>39.940300000000001</v>
          </cell>
          <cell r="N8">
            <v>33.211500000000001</v>
          </cell>
        </row>
        <row r="9">
          <cell r="A9" t="str">
            <v>24B</v>
          </cell>
          <cell r="B9" t="str">
            <v>Super Sonic Sparks B</v>
          </cell>
          <cell r="C9" t="str">
            <v>SPARKS 4-H Club</v>
          </cell>
          <cell r="D9" t="str">
            <v>Westminster, Maryland, United States</v>
          </cell>
          <cell r="E9">
            <v>360</v>
          </cell>
          <cell r="F9">
            <v>160</v>
          </cell>
          <cell r="G9">
            <v>95.878</v>
          </cell>
          <cell r="H9">
            <v>88.948099999999997</v>
          </cell>
          <cell r="I9">
            <v>45.969200000000001</v>
          </cell>
          <cell r="J9">
            <v>45.494300000000003</v>
          </cell>
          <cell r="K9">
            <v>95.878</v>
          </cell>
          <cell r="L9">
            <v>51.261200000000002</v>
          </cell>
        </row>
        <row r="10">
          <cell r="A10" t="str">
            <v>33A</v>
          </cell>
          <cell r="B10" t="str">
            <v>Killer Bees</v>
          </cell>
          <cell r="C10" t="str">
            <v>Notre Dame Prep Killer Bees</v>
          </cell>
          <cell r="D10" t="str">
            <v>Pontiac, Michigan, United States</v>
          </cell>
          <cell r="E10">
            <v>168</v>
          </cell>
          <cell r="F10">
            <v>176</v>
          </cell>
          <cell r="G10">
            <v>173.37700000000001</v>
          </cell>
          <cell r="H10">
            <v>144.91999999999999</v>
          </cell>
          <cell r="I10">
            <v>166.113</v>
          </cell>
          <cell r="J10">
            <v>173.37700000000001</v>
          </cell>
          <cell r="K10">
            <v>130.48599999999999</v>
          </cell>
        </row>
        <row r="11">
          <cell r="A11" t="str">
            <v>35</v>
          </cell>
          <cell r="B11" t="str">
            <v>Terminal Velocity</v>
          </cell>
          <cell r="C11" t="str">
            <v>Cranbrook Schools</v>
          </cell>
          <cell r="D11" t="str">
            <v>Bloomfield Hills, Michigan, United States</v>
          </cell>
          <cell r="E11">
            <v>231</v>
          </cell>
          <cell r="F11">
            <v>183</v>
          </cell>
          <cell r="G11">
            <v>115.691</v>
          </cell>
          <cell r="H11">
            <v>92.681100000000001</v>
          </cell>
          <cell r="I11">
            <v>73.259600000000006</v>
          </cell>
          <cell r="J11">
            <v>101.706</v>
          </cell>
          <cell r="K11">
            <v>85.513900000000007</v>
          </cell>
          <cell r="L11">
            <v>115.691</v>
          </cell>
          <cell r="M11">
            <v>16.049700000000001</v>
          </cell>
          <cell r="N11">
            <v>0</v>
          </cell>
        </row>
        <row r="12">
          <cell r="A12" t="str">
            <v>35A</v>
          </cell>
          <cell r="B12" t="str">
            <v>Made of Steel</v>
          </cell>
          <cell r="C12" t="str">
            <v>Cranbrook Schools</v>
          </cell>
          <cell r="D12" t="str">
            <v>Bloomfield Hills, Michigan, United States</v>
          </cell>
          <cell r="E12">
            <v>269</v>
          </cell>
          <cell r="F12">
            <v>261</v>
          </cell>
          <cell r="G12">
            <v>140.76400000000001</v>
          </cell>
          <cell r="H12">
            <v>71.459699999999998</v>
          </cell>
          <cell r="I12">
            <v>84.537499999999994</v>
          </cell>
          <cell r="J12">
            <v>140.76400000000001</v>
          </cell>
          <cell r="K12">
            <v>83.189099999999996</v>
          </cell>
          <cell r="L12">
            <v>81.9268</v>
          </cell>
          <cell r="M12">
            <v>90.562200000000004</v>
          </cell>
          <cell r="N12">
            <v>59.546999999999997</v>
          </cell>
          <cell r="O12">
            <v>24.939900000000002</v>
          </cell>
        </row>
        <row r="13">
          <cell r="A13" t="str">
            <v>35B</v>
          </cell>
          <cell r="B13" t="str">
            <v>The Baylyfe Brigade</v>
          </cell>
          <cell r="C13" t="str">
            <v>Cranbrook Schools</v>
          </cell>
          <cell r="D13" t="str">
            <v>Bloomfield Hills, Michigan, United States</v>
          </cell>
          <cell r="E13">
            <v>198</v>
          </cell>
          <cell r="F13">
            <v>270</v>
          </cell>
          <cell r="G13">
            <v>97.616</v>
          </cell>
          <cell r="H13">
            <v>97.616</v>
          </cell>
          <cell r="I13">
            <v>54.735199999999999</v>
          </cell>
          <cell r="J13">
            <v>91.7881</v>
          </cell>
          <cell r="K13">
            <v>25.4038</v>
          </cell>
          <cell r="L13">
            <v>42.045000000000002</v>
          </cell>
          <cell r="M13">
            <v>37.795699999999997</v>
          </cell>
        </row>
        <row r="14">
          <cell r="A14" t="str">
            <v>39</v>
          </cell>
          <cell r="B14" t="str">
            <v>The Zip Ties</v>
          </cell>
          <cell r="C14" t="str">
            <v>Cranbrook Schools</v>
          </cell>
          <cell r="D14" t="str">
            <v>Bloomfield Hills, Michigan, United States</v>
          </cell>
          <cell r="E14">
            <v>55</v>
          </cell>
          <cell r="F14">
            <v>0</v>
          </cell>
          <cell r="G14">
            <v>85.960700000000003</v>
          </cell>
          <cell r="H14">
            <v>85.960700000000003</v>
          </cell>
          <cell r="I14">
            <v>17.209099999999999</v>
          </cell>
          <cell r="J14">
            <v>37.121600000000001</v>
          </cell>
          <cell r="K14">
            <v>12.2263</v>
          </cell>
        </row>
        <row r="15">
          <cell r="A15" t="str">
            <v>46A</v>
          </cell>
          <cell r="B15" t="str">
            <v>Conquistadors</v>
          </cell>
          <cell r="C15" t="str">
            <v>Seton Junior-Senior High School</v>
          </cell>
          <cell r="D15" t="str">
            <v>Manassas, Virginia, United States</v>
          </cell>
          <cell r="E15">
            <v>119</v>
          </cell>
          <cell r="F15">
            <v>133</v>
          </cell>
          <cell r="G15">
            <v>84.924499999999995</v>
          </cell>
          <cell r="H15">
            <v>69.6708</v>
          </cell>
          <cell r="I15">
            <v>10.106400000000001</v>
          </cell>
          <cell r="J15">
            <v>61.349499999999999</v>
          </cell>
          <cell r="K15">
            <v>84.924499999999995</v>
          </cell>
        </row>
        <row r="16">
          <cell r="A16" t="str">
            <v>56B</v>
          </cell>
          <cell r="B16" t="str">
            <v>Cape Robotics B</v>
          </cell>
          <cell r="C16" t="str">
            <v>Cape Elizabeth High School</v>
          </cell>
          <cell r="D16" t="str">
            <v>Cape Elizabeth, Maine, United States</v>
          </cell>
          <cell r="E16">
            <v>17</v>
          </cell>
          <cell r="F16">
            <v>15</v>
          </cell>
          <cell r="G16">
            <v>18.670100000000001</v>
          </cell>
          <cell r="H16">
            <v>18.670100000000001</v>
          </cell>
          <cell r="I16">
            <v>6.32334</v>
          </cell>
          <cell r="J16">
            <v>9.5600299999999994</v>
          </cell>
        </row>
        <row r="17">
          <cell r="A17" t="str">
            <v>60X</v>
          </cell>
          <cell r="B17" t="str">
            <v>Crossfire ⍟</v>
          </cell>
          <cell r="C17" t="str">
            <v>Neobots</v>
          </cell>
          <cell r="D17" t="str">
            <v>Garland, Texas, United States</v>
          </cell>
          <cell r="E17">
            <v>300</v>
          </cell>
          <cell r="F17">
            <v>168</v>
          </cell>
          <cell r="G17">
            <v>185.21600000000001</v>
          </cell>
          <cell r="H17">
            <v>151.179</v>
          </cell>
          <cell r="I17">
            <v>125.11</v>
          </cell>
          <cell r="J17">
            <v>161.44200000000001</v>
          </cell>
          <cell r="K17">
            <v>185.21600000000001</v>
          </cell>
          <cell r="L17">
            <v>83.9161</v>
          </cell>
          <cell r="M17">
            <v>139.94</v>
          </cell>
          <cell r="N17">
            <v>124.596</v>
          </cell>
          <cell r="O17">
            <v>53.4375</v>
          </cell>
          <cell r="P17">
            <v>40.6496</v>
          </cell>
          <cell r="Q17">
            <v>108.425</v>
          </cell>
          <cell r="R17">
            <v>85.322999999999993</v>
          </cell>
        </row>
        <row r="18">
          <cell r="A18" t="str">
            <v>62</v>
          </cell>
          <cell r="B18" t="str">
            <v>Kanagasabapathys</v>
          </cell>
          <cell r="C18" t="str">
            <v>Harvard-Westlake</v>
          </cell>
          <cell r="D18" t="str">
            <v>Studio City, California, United States</v>
          </cell>
          <cell r="E18">
            <v>345</v>
          </cell>
          <cell r="F18">
            <v>160</v>
          </cell>
          <cell r="G18">
            <v>126.161</v>
          </cell>
          <cell r="H18">
            <v>90.535600000000002</v>
          </cell>
          <cell r="I18">
            <v>126.161</v>
          </cell>
          <cell r="J18">
            <v>26.6843</v>
          </cell>
          <cell r="K18">
            <v>84.885999999999996</v>
          </cell>
          <cell r="L18">
            <v>121.535</v>
          </cell>
          <cell r="M18">
            <v>73.419799999999995</v>
          </cell>
        </row>
        <row r="19">
          <cell r="A19" t="str">
            <v>64</v>
          </cell>
          <cell r="B19" t="str">
            <v>Double Down</v>
          </cell>
          <cell r="C19" t="str">
            <v>Ed W. Clark High School</v>
          </cell>
          <cell r="D19" t="str">
            <v>Las Vegas, Nevada, United States</v>
          </cell>
          <cell r="E19">
            <v>79</v>
          </cell>
          <cell r="F19">
            <v>0</v>
          </cell>
          <cell r="G19">
            <v>93.138000000000005</v>
          </cell>
          <cell r="H19">
            <v>93.138000000000005</v>
          </cell>
          <cell r="I19">
            <v>59.061300000000003</v>
          </cell>
          <cell r="J19">
            <v>64.892700000000005</v>
          </cell>
          <cell r="K19">
            <v>60.905700000000003</v>
          </cell>
        </row>
        <row r="20">
          <cell r="A20" t="str">
            <v>64C</v>
          </cell>
          <cell r="B20" t="str">
            <v>Double Down</v>
          </cell>
          <cell r="C20" t="str">
            <v>Ed W. Clark High School</v>
          </cell>
          <cell r="D20" t="str">
            <v>Las Vegas, Nevada, United States</v>
          </cell>
          <cell r="E20">
            <v>115</v>
          </cell>
          <cell r="F20">
            <v>0</v>
          </cell>
          <cell r="G20">
            <v>83.710400000000007</v>
          </cell>
          <cell r="H20">
            <v>71.643699999999995</v>
          </cell>
          <cell r="I20">
            <v>83.710400000000007</v>
          </cell>
          <cell r="J20">
            <v>47.342700000000001</v>
          </cell>
          <cell r="K20">
            <v>26.6174</v>
          </cell>
        </row>
        <row r="21">
          <cell r="A21" t="str">
            <v>66A</v>
          </cell>
          <cell r="B21" t="str">
            <v>Real Steel</v>
          </cell>
          <cell r="C21" t="str">
            <v xml:space="preserve"> Har-Ber Robotics</v>
          </cell>
          <cell r="D21" t="str">
            <v>Springdale, Arkansas, United States</v>
          </cell>
          <cell r="E21">
            <v>99</v>
          </cell>
          <cell r="F21">
            <v>29</v>
          </cell>
          <cell r="G21">
            <v>107.28</v>
          </cell>
          <cell r="H21">
            <v>79.225300000000004</v>
          </cell>
          <cell r="I21">
            <v>107.28</v>
          </cell>
          <cell r="J21">
            <v>62.546100000000003</v>
          </cell>
        </row>
        <row r="22">
          <cell r="A22" t="str">
            <v>69</v>
          </cell>
          <cell r="B22" t="str">
            <v xml:space="preserve">Hav U Seen? -  🍁 </v>
          </cell>
          <cell r="C22" t="str">
            <v>Independent</v>
          </cell>
          <cell r="D22" t="str">
            <v>Bloomfield Hills, Michigan, United States</v>
          </cell>
          <cell r="E22">
            <v>313</v>
          </cell>
          <cell r="F22">
            <v>296</v>
          </cell>
          <cell r="G22">
            <v>118.947</v>
          </cell>
          <cell r="H22">
            <v>61.668900000000001</v>
          </cell>
          <cell r="I22">
            <v>118.947</v>
          </cell>
          <cell r="J22">
            <v>85.060500000000005</v>
          </cell>
          <cell r="K22">
            <v>65.999300000000005</v>
          </cell>
          <cell r="L22">
            <v>81.7333</v>
          </cell>
          <cell r="M22">
            <v>45.441200000000002</v>
          </cell>
          <cell r="N22">
            <v>22.520299999999999</v>
          </cell>
        </row>
        <row r="23">
          <cell r="A23" t="str">
            <v>78</v>
          </cell>
          <cell r="B23" t="str">
            <v>AIR Strike</v>
          </cell>
          <cell r="C23" t="str">
            <v>Aquidneck Island Robotics 4-H Club</v>
          </cell>
          <cell r="D23" t="str">
            <v>Middletown, Rhode Island, United States</v>
          </cell>
          <cell r="E23">
            <v>209</v>
          </cell>
          <cell r="F23">
            <v>105</v>
          </cell>
          <cell r="G23">
            <v>139.774</v>
          </cell>
          <cell r="H23">
            <v>139.774</v>
          </cell>
          <cell r="I23">
            <v>101.133</v>
          </cell>
          <cell r="J23">
            <v>70.418599999999998</v>
          </cell>
          <cell r="K23">
            <v>68.198099999999997</v>
          </cell>
          <cell r="L23">
            <v>66.542900000000003</v>
          </cell>
          <cell r="M23">
            <v>59.273899999999998</v>
          </cell>
          <cell r="N23">
            <v>38.919699999999999</v>
          </cell>
        </row>
        <row r="24">
          <cell r="A24" t="str">
            <v>82M</v>
          </cell>
          <cell r="B24" t="str">
            <v>T-Raptors M</v>
          </cell>
          <cell r="C24" t="str">
            <v>Tianjin International School</v>
          </cell>
          <cell r="D24" t="str">
            <v>Tianjin, N/A, China</v>
          </cell>
          <cell r="E24">
            <v>146</v>
          </cell>
          <cell r="F24">
            <v>160</v>
          </cell>
          <cell r="G24">
            <v>97.378399999999999</v>
          </cell>
          <cell r="H24">
            <v>44.066899999999997</v>
          </cell>
          <cell r="I24">
            <v>97.378399999999999</v>
          </cell>
        </row>
        <row r="25">
          <cell r="A25" t="str">
            <v>118</v>
          </cell>
          <cell r="B25" t="str">
            <v>Robonauts</v>
          </cell>
          <cell r="C25" t="str">
            <v>Clear Creek ISD</v>
          </cell>
          <cell r="D25" t="str">
            <v>League City, Texas, United States</v>
          </cell>
          <cell r="E25">
            <v>300</v>
          </cell>
          <cell r="F25">
            <v>305</v>
          </cell>
          <cell r="G25">
            <v>202.67599999999999</v>
          </cell>
          <cell r="H25">
            <v>202.67599999999999</v>
          </cell>
          <cell r="I25">
            <v>121.91500000000001</v>
          </cell>
          <cell r="J25">
            <v>158.59700000000001</v>
          </cell>
          <cell r="K25">
            <v>163.447</v>
          </cell>
          <cell r="L25">
            <v>82.5471</v>
          </cell>
        </row>
        <row r="26">
          <cell r="A26" t="str">
            <v>127A</v>
          </cell>
          <cell r="B26" t="str">
            <v>Lemon Bots</v>
          </cell>
          <cell r="C26" t="str">
            <v>Campo Verde High School</v>
          </cell>
          <cell r="D26" t="str">
            <v>Gilbert, Arizona, United States</v>
          </cell>
          <cell r="E26">
            <v>119</v>
          </cell>
          <cell r="F26">
            <v>51</v>
          </cell>
          <cell r="G26">
            <v>106.636</v>
          </cell>
          <cell r="H26">
            <v>71.779300000000006</v>
          </cell>
          <cell r="I26">
            <v>106.636</v>
          </cell>
          <cell r="J26">
            <v>78.460300000000004</v>
          </cell>
          <cell r="K26">
            <v>64.173299999999998</v>
          </cell>
          <cell r="L26">
            <v>23.109500000000001</v>
          </cell>
          <cell r="M26">
            <v>37.954099999999997</v>
          </cell>
          <cell r="N26">
            <v>42.518300000000004</v>
          </cell>
          <cell r="O26">
            <v>9.0685300000000009</v>
          </cell>
        </row>
        <row r="27">
          <cell r="A27" t="str">
            <v>134A</v>
          </cell>
          <cell r="B27" t="str">
            <v>Team Discovery -  Alpha</v>
          </cell>
          <cell r="C27" t="str">
            <v>Pembroke Academy</v>
          </cell>
          <cell r="D27" t="str">
            <v>Pembroke, New Hampshire, United States</v>
          </cell>
          <cell r="E27">
            <v>85</v>
          </cell>
          <cell r="F27">
            <v>15</v>
          </cell>
          <cell r="G27">
            <v>69.090599999999995</v>
          </cell>
          <cell r="H27">
            <v>58.788400000000003</v>
          </cell>
          <cell r="I27">
            <v>69.090599999999995</v>
          </cell>
          <cell r="J27">
            <v>46.463299999999997</v>
          </cell>
          <cell r="K27">
            <v>29.940100000000001</v>
          </cell>
          <cell r="L27">
            <v>28.203199999999999</v>
          </cell>
          <cell r="M27">
            <v>49.744399999999999</v>
          </cell>
          <cell r="N27">
            <v>17.308199999999999</v>
          </cell>
        </row>
        <row r="28">
          <cell r="A28" t="str">
            <v>134D</v>
          </cell>
          <cell r="B28" t="str">
            <v>Team Discovery - Delta</v>
          </cell>
          <cell r="C28" t="str">
            <v>Pembroke Academy</v>
          </cell>
          <cell r="D28" t="str">
            <v>Pembroke, New Hampshire, United States</v>
          </cell>
          <cell r="E28">
            <v>114</v>
          </cell>
          <cell r="F28">
            <v>133</v>
          </cell>
          <cell r="G28">
            <v>96.254000000000005</v>
          </cell>
          <cell r="H28">
            <v>96.254000000000005</v>
          </cell>
          <cell r="I28">
            <v>94.664599999999993</v>
          </cell>
          <cell r="J28">
            <v>80.083399999999997</v>
          </cell>
          <cell r="K28">
            <v>79.641099999999994</v>
          </cell>
          <cell r="L28">
            <v>77.951800000000006</v>
          </cell>
          <cell r="M28">
            <v>39.320500000000003</v>
          </cell>
          <cell r="N28">
            <v>35.006999999999998</v>
          </cell>
        </row>
        <row r="29">
          <cell r="A29" t="str">
            <v>169A</v>
          </cell>
          <cell r="B29" t="str">
            <v>The Cavalry</v>
          </cell>
          <cell r="C29" t="str">
            <v>Haverford School Robotics</v>
          </cell>
          <cell r="D29" t="str">
            <v>Haverford, Pennsylvania, United States</v>
          </cell>
          <cell r="E29">
            <v>347</v>
          </cell>
          <cell r="F29">
            <v>129</v>
          </cell>
          <cell r="G29">
            <v>154.89500000000001</v>
          </cell>
          <cell r="H29">
            <v>144.47300000000001</v>
          </cell>
          <cell r="I29">
            <v>154.89500000000001</v>
          </cell>
          <cell r="J29">
            <v>86.415199999999999</v>
          </cell>
          <cell r="K29">
            <v>111.363</v>
          </cell>
        </row>
        <row r="30">
          <cell r="A30" t="str">
            <v>169B</v>
          </cell>
          <cell r="B30" t="str">
            <v>The Cavalry</v>
          </cell>
          <cell r="C30" t="str">
            <v>Haverford School Robotics</v>
          </cell>
          <cell r="D30" t="str">
            <v>Haverford, Pennsylvania, United States</v>
          </cell>
          <cell r="E30">
            <v>300</v>
          </cell>
          <cell r="F30">
            <v>306</v>
          </cell>
          <cell r="G30">
            <v>70.460599999999999</v>
          </cell>
          <cell r="H30">
            <v>61.6098</v>
          </cell>
          <cell r="I30">
            <v>70.460599999999999</v>
          </cell>
          <cell r="J30">
            <v>50.3825</v>
          </cell>
        </row>
        <row r="31">
          <cell r="A31" t="str">
            <v>169E</v>
          </cell>
          <cell r="B31" t="str">
            <v>The Cavalry</v>
          </cell>
          <cell r="C31" t="str">
            <v>Haverford School Robotics</v>
          </cell>
          <cell r="D31" t="str">
            <v>Haverford, Pennsylvania, United States</v>
          </cell>
          <cell r="E31">
            <v>240</v>
          </cell>
          <cell r="F31">
            <v>126</v>
          </cell>
          <cell r="G31">
            <v>108.229</v>
          </cell>
          <cell r="H31">
            <v>108.229</v>
          </cell>
          <cell r="I31">
            <v>86.408100000000005</v>
          </cell>
          <cell r="J31">
            <v>57.667000000000002</v>
          </cell>
          <cell r="K31">
            <v>31.0595</v>
          </cell>
          <cell r="L31">
            <v>-2.6130499999999999</v>
          </cell>
          <cell r="M31">
            <v>16.224</v>
          </cell>
        </row>
        <row r="32">
          <cell r="A32" t="str">
            <v>169Y</v>
          </cell>
          <cell r="B32" t="str">
            <v>The Cavalry</v>
          </cell>
          <cell r="C32" t="str">
            <v>Haverford School Robotics</v>
          </cell>
          <cell r="D32" t="str">
            <v>Haverford, Pennsylvania, United States</v>
          </cell>
          <cell r="E32">
            <v>262</v>
          </cell>
          <cell r="F32">
            <v>305</v>
          </cell>
          <cell r="G32">
            <v>104.93</v>
          </cell>
          <cell r="H32">
            <v>104.93</v>
          </cell>
          <cell r="I32">
            <v>77.441900000000004</v>
          </cell>
          <cell r="J32">
            <v>96.641199999999998</v>
          </cell>
          <cell r="K32">
            <v>78.876900000000006</v>
          </cell>
          <cell r="L32">
            <v>89.7012</v>
          </cell>
        </row>
        <row r="33">
          <cell r="A33" t="str">
            <v>177X</v>
          </cell>
          <cell r="B33" t="str">
            <v>Twisted Botz</v>
          </cell>
          <cell r="C33" t="str">
            <v>Hanover Homeschoolers</v>
          </cell>
          <cell r="D33" t="str">
            <v>Ashland, Virginia, United States</v>
          </cell>
          <cell r="E33">
            <v>311</v>
          </cell>
          <cell r="F33">
            <v>217</v>
          </cell>
          <cell r="G33">
            <v>111.157</v>
          </cell>
          <cell r="H33">
            <v>111.157</v>
          </cell>
          <cell r="I33">
            <v>110.562</v>
          </cell>
          <cell r="J33">
            <v>68.711200000000005</v>
          </cell>
          <cell r="K33">
            <v>74.629499999999993</v>
          </cell>
          <cell r="L33">
            <v>93.874499999999998</v>
          </cell>
        </row>
        <row r="34">
          <cell r="A34" t="str">
            <v>180</v>
          </cell>
          <cell r="B34" t="str">
            <v>Born to Bot</v>
          </cell>
          <cell r="C34" t="str">
            <v>O.G. Robotics</v>
          </cell>
          <cell r="D34" t="str">
            <v>Haymarket, Virginia, United States</v>
          </cell>
          <cell r="E34">
            <v>295</v>
          </cell>
          <cell r="F34">
            <v>261</v>
          </cell>
          <cell r="G34">
            <v>143.226</v>
          </cell>
          <cell r="H34">
            <v>143.226</v>
          </cell>
          <cell r="I34">
            <v>94.762299999999996</v>
          </cell>
          <cell r="J34">
            <v>104.351</v>
          </cell>
          <cell r="K34">
            <v>88.797700000000006</v>
          </cell>
          <cell r="L34">
            <v>24.397600000000001</v>
          </cell>
          <cell r="M34">
            <v>69.854100000000003</v>
          </cell>
          <cell r="N34">
            <v>58.885100000000001</v>
          </cell>
          <cell r="O34">
            <v>62.192900000000002</v>
          </cell>
        </row>
        <row r="35">
          <cell r="A35" t="str">
            <v>183Z</v>
          </cell>
          <cell r="B35" t="str">
            <v>Synobotz</v>
          </cell>
          <cell r="C35" t="str">
            <v>Team Synobotz</v>
          </cell>
          <cell r="D35" t="str">
            <v>Westminster, Maryland, United States</v>
          </cell>
          <cell r="E35">
            <v>151</v>
          </cell>
          <cell r="F35">
            <v>218</v>
          </cell>
          <cell r="G35">
            <v>86.099500000000006</v>
          </cell>
          <cell r="H35">
            <v>70.310100000000006</v>
          </cell>
          <cell r="I35">
            <v>48.178800000000003</v>
          </cell>
          <cell r="J35">
            <v>86.099500000000006</v>
          </cell>
          <cell r="K35">
            <v>60.555</v>
          </cell>
        </row>
        <row r="36">
          <cell r="A36" t="str">
            <v>185A</v>
          </cell>
          <cell r="B36" t="str">
            <v>Skunkworks ALPHA</v>
          </cell>
          <cell r="C36" t="str">
            <v>BATC // Skunkworks Robotics</v>
          </cell>
          <cell r="D36" t="str">
            <v>Logan, Utah, United States</v>
          </cell>
          <cell r="E36">
            <v>371</v>
          </cell>
          <cell r="F36">
            <v>0</v>
          </cell>
          <cell r="G36">
            <v>177.465</v>
          </cell>
          <cell r="H36">
            <v>114.13800000000001</v>
          </cell>
          <cell r="I36">
            <v>114.145</v>
          </cell>
          <cell r="J36">
            <v>170.87799999999999</v>
          </cell>
          <cell r="K36">
            <v>177.465</v>
          </cell>
          <cell r="L36">
            <v>138.221</v>
          </cell>
          <cell r="M36">
            <v>165.87700000000001</v>
          </cell>
          <cell r="N36">
            <v>33.414999999999999</v>
          </cell>
          <cell r="O36">
            <v>110.45099999999999</v>
          </cell>
          <cell r="P36">
            <v>119.209</v>
          </cell>
          <cell r="Q36">
            <v>66.204899999999995</v>
          </cell>
        </row>
        <row r="37">
          <cell r="A37" t="str">
            <v>200A</v>
          </cell>
          <cell r="B37" t="str">
            <v>LanceBotics - 🍁</v>
          </cell>
          <cell r="C37" t="str">
            <v>Leaside High School</v>
          </cell>
          <cell r="D37" t="str">
            <v>Toronto, Ontario, Canada</v>
          </cell>
          <cell r="E37">
            <v>144</v>
          </cell>
          <cell r="F37">
            <v>189</v>
          </cell>
          <cell r="G37">
            <v>104.59099999999999</v>
          </cell>
          <cell r="H37">
            <v>104.59099999999999</v>
          </cell>
          <cell r="I37">
            <v>96.771299999999997</v>
          </cell>
          <cell r="J37">
            <v>101.545</v>
          </cell>
          <cell r="K37">
            <v>71.581100000000006</v>
          </cell>
          <cell r="L37">
            <v>34.747300000000003</v>
          </cell>
        </row>
        <row r="38">
          <cell r="A38" t="str">
            <v>212P</v>
          </cell>
          <cell r="B38" t="str">
            <v>The πΤΗΦηs</v>
          </cell>
          <cell r="C38" t="str">
            <v>Pine View School</v>
          </cell>
          <cell r="D38" t="str">
            <v>Osprey, Florida, United States</v>
          </cell>
          <cell r="E38">
            <v>175</v>
          </cell>
          <cell r="F38">
            <v>132</v>
          </cell>
          <cell r="G38">
            <v>77.949100000000001</v>
          </cell>
          <cell r="H38">
            <v>0</v>
          </cell>
          <cell r="I38">
            <v>57.874000000000002</v>
          </cell>
          <cell r="J38">
            <v>77.949100000000001</v>
          </cell>
          <cell r="K38">
            <v>65.598399999999998</v>
          </cell>
        </row>
        <row r="39">
          <cell r="A39" t="str">
            <v>217D</v>
          </cell>
          <cell r="B39" t="str">
            <v>ThunderChickens</v>
          </cell>
          <cell r="C39" t="str">
            <v>Utica Community Schools</v>
          </cell>
          <cell r="D39" t="str">
            <v>Macomb, Michigan, United States</v>
          </cell>
          <cell r="E39">
            <v>135</v>
          </cell>
          <cell r="F39">
            <v>135</v>
          </cell>
          <cell r="G39">
            <v>94.864800000000002</v>
          </cell>
          <cell r="H39">
            <v>94.864800000000002</v>
          </cell>
          <cell r="I39">
            <v>79.559700000000007</v>
          </cell>
          <cell r="J39">
            <v>52.672899999999998</v>
          </cell>
          <cell r="K39">
            <v>24.758900000000001</v>
          </cell>
          <cell r="L39">
            <v>1.06107</v>
          </cell>
          <cell r="M39">
            <v>60.176200000000001</v>
          </cell>
          <cell r="N39">
            <v>44.522799999999997</v>
          </cell>
        </row>
        <row r="40">
          <cell r="A40" t="str">
            <v>224</v>
          </cell>
          <cell r="B40" t="str">
            <v>Crew 224 Sharks</v>
          </cell>
          <cell r="C40" t="str">
            <v>Crew 224</v>
          </cell>
          <cell r="D40" t="str">
            <v>Malibu, California, United States</v>
          </cell>
          <cell r="E40">
            <v>270</v>
          </cell>
          <cell r="F40">
            <v>91</v>
          </cell>
          <cell r="G40">
            <v>127.974</v>
          </cell>
          <cell r="H40">
            <v>127.974</v>
          </cell>
          <cell r="I40">
            <v>64.587199999999996</v>
          </cell>
          <cell r="J40">
            <v>82.492999999999995</v>
          </cell>
          <cell r="K40">
            <v>20.435199999999998</v>
          </cell>
        </row>
        <row r="41">
          <cell r="A41" t="str">
            <v>231D</v>
          </cell>
          <cell r="B41" t="str">
            <v>PASADENA ISD ROBOTICS</v>
          </cell>
          <cell r="C41" t="str">
            <v>PASADENA ISD ROBOTICS</v>
          </cell>
          <cell r="D41" t="str">
            <v>HOUSTON, Texas, United States</v>
          </cell>
          <cell r="E41">
            <v>272</v>
          </cell>
          <cell r="F41">
            <v>122</v>
          </cell>
          <cell r="G41">
            <v>66.249799999999993</v>
          </cell>
          <cell r="H41">
            <v>44.858800000000002</v>
          </cell>
          <cell r="I41">
            <v>60.775500000000001</v>
          </cell>
          <cell r="J41">
            <v>60.488799999999998</v>
          </cell>
          <cell r="K41">
            <v>56.035600000000002</v>
          </cell>
          <cell r="L41">
            <v>66.249799999999993</v>
          </cell>
          <cell r="M41">
            <v>36.658700000000003</v>
          </cell>
          <cell r="N41">
            <v>32.572600000000001</v>
          </cell>
        </row>
        <row r="42">
          <cell r="A42" t="str">
            <v>231X</v>
          </cell>
          <cell r="B42" t="str">
            <v>PASADENA ISD ROBOTICS</v>
          </cell>
          <cell r="C42" t="str">
            <v>PASADENA ISD ROBOTICS</v>
          </cell>
          <cell r="D42" t="str">
            <v>HOUSTON, Texas, United States</v>
          </cell>
          <cell r="E42">
            <v>65</v>
          </cell>
          <cell r="F42">
            <v>81</v>
          </cell>
          <cell r="G42">
            <v>45.8598</v>
          </cell>
          <cell r="H42">
            <v>39.342100000000002</v>
          </cell>
          <cell r="I42">
            <v>37.2333</v>
          </cell>
          <cell r="J42">
            <v>39.482999999999997</v>
          </cell>
          <cell r="K42">
            <v>29.7288</v>
          </cell>
          <cell r="L42">
            <v>45.8598</v>
          </cell>
        </row>
        <row r="43">
          <cell r="A43" t="str">
            <v>231Z</v>
          </cell>
          <cell r="B43" t="str">
            <v>PASADENA ISD ROBOTICS</v>
          </cell>
          <cell r="C43" t="str">
            <v>PASADENA ISD ROBOTICS</v>
          </cell>
          <cell r="D43" t="str">
            <v>HOUSTON, Texas, United States</v>
          </cell>
          <cell r="E43">
            <v>163</v>
          </cell>
          <cell r="F43">
            <v>120</v>
          </cell>
          <cell r="G43">
            <v>122.67400000000001</v>
          </cell>
          <cell r="H43">
            <v>120.40600000000001</v>
          </cell>
          <cell r="I43">
            <v>105.80200000000001</v>
          </cell>
          <cell r="J43">
            <v>122.67400000000001</v>
          </cell>
          <cell r="K43">
            <v>115.88800000000001</v>
          </cell>
          <cell r="L43">
            <v>118.33</v>
          </cell>
        </row>
        <row r="44">
          <cell r="A44" t="str">
            <v>241N</v>
          </cell>
          <cell r="B44" t="str">
            <v>241N Nautilus</v>
          </cell>
          <cell r="C44" t="str">
            <v>Pinkerton Academy</v>
          </cell>
          <cell r="D44" t="str">
            <v>Derry, New Hampshire, United States</v>
          </cell>
          <cell r="E44">
            <v>267</v>
          </cell>
          <cell r="F44">
            <v>229</v>
          </cell>
          <cell r="G44">
            <v>89.062100000000001</v>
          </cell>
          <cell r="H44">
            <v>66.001300000000001</v>
          </cell>
          <cell r="I44">
            <v>37.150300000000001</v>
          </cell>
          <cell r="J44">
            <v>48.124699999999997</v>
          </cell>
          <cell r="K44">
            <v>82.692499999999995</v>
          </cell>
          <cell r="L44">
            <v>89.062100000000001</v>
          </cell>
        </row>
        <row r="45">
          <cell r="A45" t="str">
            <v>254C</v>
          </cell>
          <cell r="B45" t="str">
            <v>The Cheesy Poofs</v>
          </cell>
          <cell r="C45" t="str">
            <v>Bellarmine College Prep</v>
          </cell>
          <cell r="D45" t="str">
            <v>San Jose, California, United States</v>
          </cell>
          <cell r="E45">
            <v>259</v>
          </cell>
          <cell r="F45">
            <v>315</v>
          </cell>
          <cell r="G45">
            <v>118.122</v>
          </cell>
          <cell r="H45">
            <v>95.724199999999996</v>
          </cell>
          <cell r="I45">
            <v>113.61199999999999</v>
          </cell>
          <cell r="J45">
            <v>99.792299999999997</v>
          </cell>
          <cell r="K45">
            <v>118.122</v>
          </cell>
          <cell r="L45">
            <v>48.502200000000002</v>
          </cell>
        </row>
        <row r="46">
          <cell r="A46" t="str">
            <v>255B</v>
          </cell>
          <cell r="B46" t="str">
            <v>VEXtreme Team B</v>
          </cell>
          <cell r="C46" t="str">
            <v>Norristown Area School District</v>
          </cell>
          <cell r="D46" t="str">
            <v>Norristown, Pennsylvania, United States</v>
          </cell>
          <cell r="E46">
            <v>81</v>
          </cell>
          <cell r="F46">
            <v>0</v>
          </cell>
          <cell r="G46">
            <v>72.439700000000002</v>
          </cell>
          <cell r="H46">
            <v>45.700400000000002</v>
          </cell>
          <cell r="I46">
            <v>72.439700000000002</v>
          </cell>
          <cell r="J46">
            <v>5.8385699999999998</v>
          </cell>
          <cell r="K46">
            <v>23.230499999999999</v>
          </cell>
          <cell r="L46">
            <v>20.273900000000001</v>
          </cell>
          <cell r="M46">
            <v>0</v>
          </cell>
          <cell r="N46">
            <v>14.2349</v>
          </cell>
        </row>
        <row r="47">
          <cell r="A47" t="str">
            <v>266</v>
          </cell>
          <cell r="B47" t="str">
            <v>Meow Meow</v>
          </cell>
          <cell r="C47" t="str">
            <v>Meow Meow</v>
          </cell>
          <cell r="D47" t="str">
            <v>Austin, Texas, United States</v>
          </cell>
          <cell r="E47">
            <v>76</v>
          </cell>
          <cell r="F47">
            <v>0</v>
          </cell>
          <cell r="G47">
            <v>94.887600000000006</v>
          </cell>
          <cell r="H47">
            <v>94.887600000000006</v>
          </cell>
          <cell r="I47">
            <v>83.922499999999999</v>
          </cell>
          <cell r="J47">
            <v>88.667699999999996</v>
          </cell>
          <cell r="K47">
            <v>53.319499999999998</v>
          </cell>
          <cell r="L47">
            <v>21.374300000000002</v>
          </cell>
        </row>
        <row r="48">
          <cell r="A48" t="str">
            <v>288A</v>
          </cell>
          <cell r="B48" t="str">
            <v>Robotic Legion</v>
          </cell>
          <cell r="C48" t="str">
            <v>Grandville High School</v>
          </cell>
          <cell r="D48" t="str">
            <v>Grandville, Michigan, United States</v>
          </cell>
          <cell r="E48">
            <v>38</v>
          </cell>
          <cell r="F48">
            <v>12</v>
          </cell>
          <cell r="G48">
            <v>61.6402</v>
          </cell>
          <cell r="H48">
            <v>61.6402</v>
          </cell>
          <cell r="I48">
            <v>19.649999999999999</v>
          </cell>
          <cell r="J48">
            <v>45.9343</v>
          </cell>
          <cell r="K48">
            <v>41.956899999999997</v>
          </cell>
          <cell r="L48">
            <v>17.892900000000001</v>
          </cell>
        </row>
        <row r="49">
          <cell r="A49" t="str">
            <v>321A</v>
          </cell>
          <cell r="B49" t="str">
            <v>Wolves A</v>
          </cell>
          <cell r="C49" t="str">
            <v>Niles West High School</v>
          </cell>
          <cell r="D49" t="str">
            <v>Skokie, Illinois, United States</v>
          </cell>
          <cell r="E49">
            <v>257</v>
          </cell>
          <cell r="F49">
            <v>160</v>
          </cell>
          <cell r="G49">
            <v>97.822000000000003</v>
          </cell>
          <cell r="H49">
            <v>82.062299999999993</v>
          </cell>
          <cell r="I49">
            <v>97.822000000000003</v>
          </cell>
          <cell r="J49">
            <v>71.445599999999999</v>
          </cell>
          <cell r="K49">
            <v>37.102600000000002</v>
          </cell>
        </row>
        <row r="50">
          <cell r="A50" t="str">
            <v>323Y</v>
          </cell>
          <cell r="B50" t="str">
            <v>Flux Capacitors</v>
          </cell>
          <cell r="C50" t="str">
            <v>Cornerstone Robotics</v>
          </cell>
          <cell r="D50" t="str">
            <v>Greenwood, Indiana, United States</v>
          </cell>
          <cell r="E50">
            <v>320</v>
          </cell>
          <cell r="F50">
            <v>202</v>
          </cell>
          <cell r="G50">
            <v>201.00399999999999</v>
          </cell>
          <cell r="H50">
            <v>103.869</v>
          </cell>
          <cell r="I50">
            <v>152.72300000000001</v>
          </cell>
          <cell r="J50">
            <v>201.00399999999999</v>
          </cell>
          <cell r="K50">
            <v>179.69800000000001</v>
          </cell>
          <cell r="L50">
            <v>161.75299999999999</v>
          </cell>
          <cell r="M50">
            <v>124.83499999999999</v>
          </cell>
          <cell r="N50">
            <v>97.009399999999999</v>
          </cell>
          <cell r="O50">
            <v>104.965</v>
          </cell>
        </row>
        <row r="51">
          <cell r="A51" t="str">
            <v>323Z</v>
          </cell>
          <cell r="B51" t="str">
            <v>Aftershock - ☣</v>
          </cell>
          <cell r="C51" t="str">
            <v>Cornerstone Robotics North</v>
          </cell>
          <cell r="D51" t="str">
            <v>Indianapolis, Indiana, United States</v>
          </cell>
          <cell r="E51">
            <v>345</v>
          </cell>
          <cell r="F51">
            <v>286</v>
          </cell>
          <cell r="G51">
            <v>122.547</v>
          </cell>
          <cell r="H51">
            <v>122.547</v>
          </cell>
          <cell r="I51">
            <v>116.14100000000001</v>
          </cell>
          <cell r="J51">
            <v>112.631</v>
          </cell>
          <cell r="K51">
            <v>121.12</v>
          </cell>
          <cell r="L51">
            <v>85.282499999999999</v>
          </cell>
          <cell r="M51">
            <v>100.07599999999999</v>
          </cell>
          <cell r="N51">
            <v>66.046499999999995</v>
          </cell>
        </row>
        <row r="52">
          <cell r="A52" t="str">
            <v>333R</v>
          </cell>
          <cell r="B52" t="str">
            <v>Los Robos</v>
          </cell>
          <cell r="C52" t="str">
            <v>Niles North Robotics</v>
          </cell>
          <cell r="D52" t="str">
            <v>Skokie, Illinois, United States</v>
          </cell>
          <cell r="E52">
            <v>266</v>
          </cell>
          <cell r="F52">
            <v>160</v>
          </cell>
          <cell r="G52">
            <v>110.294</v>
          </cell>
          <cell r="H52">
            <v>62.239899999999999</v>
          </cell>
          <cell r="I52">
            <v>110.294</v>
          </cell>
          <cell r="J52">
            <v>99.864699999999999</v>
          </cell>
          <cell r="K52">
            <v>95.008200000000002</v>
          </cell>
          <cell r="L52">
            <v>63.525599999999997</v>
          </cell>
        </row>
        <row r="53">
          <cell r="A53" t="str">
            <v>333T</v>
          </cell>
          <cell r="B53" t="str">
            <v xml:space="preserve">Inconvenient&amp;Impractical </v>
          </cell>
          <cell r="C53" t="str">
            <v>Niles North Robotics</v>
          </cell>
          <cell r="D53" t="str">
            <v>Skokie, Illinois, United States</v>
          </cell>
          <cell r="E53">
            <v>114</v>
          </cell>
          <cell r="F53">
            <v>0</v>
          </cell>
          <cell r="G53">
            <v>76.807500000000005</v>
          </cell>
          <cell r="H53">
            <v>76.807500000000005</v>
          </cell>
          <cell r="I53">
            <v>32.882100000000001</v>
          </cell>
          <cell r="J53">
            <v>4.8130600000000001</v>
          </cell>
          <cell r="K53">
            <v>9.3081499999999995</v>
          </cell>
        </row>
        <row r="54">
          <cell r="A54" t="str">
            <v>333X</v>
          </cell>
          <cell r="B54" t="str">
            <v>Mokito</v>
          </cell>
          <cell r="C54" t="str">
            <v>Niles North Robotics</v>
          </cell>
          <cell r="D54" t="str">
            <v>Skokie, Illinois, United States</v>
          </cell>
          <cell r="E54">
            <v>313</v>
          </cell>
          <cell r="F54">
            <v>256</v>
          </cell>
          <cell r="G54">
            <v>145.50200000000001</v>
          </cell>
          <cell r="H54">
            <v>129.76400000000001</v>
          </cell>
          <cell r="I54">
            <v>145.50200000000001</v>
          </cell>
          <cell r="J54">
            <v>107.155</v>
          </cell>
          <cell r="K54">
            <v>92.940799999999996</v>
          </cell>
          <cell r="L54">
            <v>95.076700000000002</v>
          </cell>
        </row>
        <row r="55">
          <cell r="A55" t="str">
            <v>355B</v>
          </cell>
          <cell r="B55" t="str">
            <v>Steel Pythons</v>
          </cell>
          <cell r="C55" t="str">
            <v>Fox Valley Robotics</v>
          </cell>
          <cell r="D55" t="str">
            <v>Batavia, Illinois, United States</v>
          </cell>
          <cell r="E55">
            <v>290</v>
          </cell>
          <cell r="F55">
            <v>310</v>
          </cell>
          <cell r="G55">
            <v>159.673</v>
          </cell>
          <cell r="H55">
            <v>159.673</v>
          </cell>
          <cell r="I55">
            <v>113.943</v>
          </cell>
          <cell r="J55">
            <v>135.017</v>
          </cell>
          <cell r="K55">
            <v>118.334</v>
          </cell>
          <cell r="L55">
            <v>69.414400000000001</v>
          </cell>
          <cell r="M55">
            <v>83.448300000000003</v>
          </cell>
        </row>
        <row r="56">
          <cell r="A56" t="str">
            <v>355S</v>
          </cell>
          <cell r="B56" t="str">
            <v>Sparrow</v>
          </cell>
          <cell r="C56" t="str">
            <v>Fox Valley Robotics</v>
          </cell>
          <cell r="D56" t="str">
            <v>Batavia, Illinois, United States</v>
          </cell>
          <cell r="E56">
            <v>291</v>
          </cell>
          <cell r="F56">
            <v>197</v>
          </cell>
          <cell r="G56">
            <v>146.744</v>
          </cell>
          <cell r="H56">
            <v>146.744</v>
          </cell>
          <cell r="I56">
            <v>138.68700000000001</v>
          </cell>
          <cell r="J56">
            <v>125.48099999999999</v>
          </cell>
          <cell r="K56">
            <v>127.893</v>
          </cell>
          <cell r="L56">
            <v>118.16500000000001</v>
          </cell>
          <cell r="M56">
            <v>109.914</v>
          </cell>
          <cell r="N56">
            <v>74.501300000000001</v>
          </cell>
          <cell r="O56">
            <v>79.769800000000004</v>
          </cell>
          <cell r="P56">
            <v>20.664300000000001</v>
          </cell>
        </row>
        <row r="57">
          <cell r="A57" t="str">
            <v>356B</v>
          </cell>
          <cell r="B57" t="str">
            <v>THE DRAGONS</v>
          </cell>
          <cell r="C57" t="str">
            <v>THE DRAGONS</v>
          </cell>
          <cell r="D57" t="str">
            <v>Brampton, Ontario, Canada</v>
          </cell>
          <cell r="E57">
            <v>2</v>
          </cell>
          <cell r="F57">
            <v>292</v>
          </cell>
          <cell r="G57">
            <v>61.520499999999998</v>
          </cell>
          <cell r="H57">
            <v>61.520499999999998</v>
          </cell>
          <cell r="I57">
            <v>31.004000000000001</v>
          </cell>
          <cell r="J57">
            <v>10.8574</v>
          </cell>
          <cell r="K57">
            <v>-5.9510800000000001</v>
          </cell>
          <cell r="L57">
            <v>46.4619</v>
          </cell>
          <cell r="M57">
            <v>10.047000000000001</v>
          </cell>
        </row>
        <row r="58">
          <cell r="A58" t="str">
            <v>359A</v>
          </cell>
          <cell r="B58" t="str">
            <v>Hawaiian Kids</v>
          </cell>
          <cell r="C58" t="str">
            <v>Waialua High * Intermediate School</v>
          </cell>
          <cell r="D58" t="str">
            <v>Waialua, Hawaii, United States</v>
          </cell>
          <cell r="E58">
            <v>248</v>
          </cell>
          <cell r="F58">
            <v>109</v>
          </cell>
          <cell r="G58">
            <v>117.15300000000001</v>
          </cell>
          <cell r="H58">
            <v>86.387200000000007</v>
          </cell>
          <cell r="I58">
            <v>117.15300000000001</v>
          </cell>
          <cell r="J58">
            <v>114.411</v>
          </cell>
          <cell r="K58">
            <v>103.30800000000001</v>
          </cell>
        </row>
        <row r="59">
          <cell r="A59" t="str">
            <v>360</v>
          </cell>
          <cell r="B59" t="str">
            <v>Enderphase - ★</v>
          </cell>
          <cell r="C59" t="str">
            <v>Evan's Garage</v>
          </cell>
          <cell r="D59" t="str">
            <v>Rowlett, Texas, United States</v>
          </cell>
          <cell r="E59">
            <v>397</v>
          </cell>
          <cell r="F59">
            <v>100</v>
          </cell>
          <cell r="G59">
            <v>203.97499999999999</v>
          </cell>
          <cell r="H59">
            <v>144.75200000000001</v>
          </cell>
          <cell r="I59">
            <v>203.97499999999999</v>
          </cell>
          <cell r="J59">
            <v>162.16999999999999</v>
          </cell>
          <cell r="K59">
            <v>120.804</v>
          </cell>
          <cell r="L59">
            <v>119.206</v>
          </cell>
        </row>
        <row r="60">
          <cell r="A60" t="str">
            <v>383V</v>
          </cell>
          <cell r="B60" t="str">
            <v>Semulator</v>
          </cell>
          <cell r="C60" t="str">
            <v>Lowndes High School</v>
          </cell>
          <cell r="D60" t="str">
            <v>Valdosta, Georgia, United States</v>
          </cell>
          <cell r="E60">
            <v>281</v>
          </cell>
          <cell r="F60">
            <v>136</v>
          </cell>
          <cell r="G60">
            <v>109.351</v>
          </cell>
          <cell r="H60">
            <v>109.351</v>
          </cell>
          <cell r="I60">
            <v>68.342399999999998</v>
          </cell>
          <cell r="J60">
            <v>79.1785</v>
          </cell>
          <cell r="K60">
            <v>64.866399999999999</v>
          </cell>
          <cell r="L60">
            <v>72.831599999999995</v>
          </cell>
        </row>
        <row r="61">
          <cell r="A61" t="str">
            <v>400R</v>
          </cell>
          <cell r="B61" t="str">
            <v>Galveston I.S.D. Robotics</v>
          </cell>
          <cell r="C61" t="str">
            <v>Galveston I.S.D. Robotics</v>
          </cell>
          <cell r="D61" t="str">
            <v>Galveston, Texas, United States</v>
          </cell>
          <cell r="E61">
            <v>0</v>
          </cell>
          <cell r="F61">
            <v>0</v>
          </cell>
          <cell r="G61">
            <v>72.279899999999998</v>
          </cell>
          <cell r="H61">
            <v>56.136400000000002</v>
          </cell>
          <cell r="I61">
            <v>72.279899999999998</v>
          </cell>
        </row>
        <row r="62">
          <cell r="A62" t="str">
            <v>400S</v>
          </cell>
          <cell r="B62" t="str">
            <v>Galveston I.S.D. Robotics</v>
          </cell>
          <cell r="C62" t="str">
            <v>Galveston I.S.D. Robotics</v>
          </cell>
          <cell r="D62" t="str">
            <v>Galveston, Texas, United States</v>
          </cell>
          <cell r="E62">
            <v>240</v>
          </cell>
          <cell r="F62">
            <v>256</v>
          </cell>
          <cell r="G62">
            <v>100.82</v>
          </cell>
          <cell r="H62">
            <v>87.411299999999997</v>
          </cell>
          <cell r="I62">
            <v>74.314300000000003</v>
          </cell>
          <cell r="J62">
            <v>100.82</v>
          </cell>
          <cell r="K62">
            <v>88.004800000000003</v>
          </cell>
          <cell r="L62">
            <v>50.397300000000001</v>
          </cell>
        </row>
        <row r="63">
          <cell r="A63" t="str">
            <v>400X</v>
          </cell>
          <cell r="B63" t="str">
            <v>Floyd IV - Vesuvius</v>
          </cell>
          <cell r="C63" t="str">
            <v>Galveston I.S.D. Robotics</v>
          </cell>
          <cell r="D63" t="str">
            <v>Galveston, Texas, United States</v>
          </cell>
          <cell r="E63">
            <v>418</v>
          </cell>
          <cell r="F63">
            <v>106</v>
          </cell>
          <cell r="G63">
            <v>187.78299999999999</v>
          </cell>
          <cell r="H63">
            <v>174.571</v>
          </cell>
          <cell r="I63">
            <v>170.553</v>
          </cell>
          <cell r="J63">
            <v>187.78299999999999</v>
          </cell>
          <cell r="K63">
            <v>172.44200000000001</v>
          </cell>
          <cell r="L63">
            <v>156.32</v>
          </cell>
          <cell r="M63">
            <v>127.54600000000001</v>
          </cell>
          <cell r="N63">
            <v>139.81</v>
          </cell>
          <cell r="O63">
            <v>107.895</v>
          </cell>
        </row>
        <row r="64">
          <cell r="A64" t="str">
            <v>464F</v>
          </cell>
          <cell r="B64" t="str">
            <v>Bad Mama Jama</v>
          </cell>
          <cell r="C64" t="str">
            <v>Forest Hills High School</v>
          </cell>
          <cell r="D64" t="str">
            <v>Sidman, Pennsylvania, United States</v>
          </cell>
          <cell r="E64">
            <v>0</v>
          </cell>
          <cell r="F64">
            <v>0</v>
          </cell>
          <cell r="G64">
            <v>73.130700000000004</v>
          </cell>
          <cell r="H64">
            <v>73.130700000000004</v>
          </cell>
        </row>
        <row r="65">
          <cell r="A65" t="str">
            <v>464H</v>
          </cell>
          <cell r="B65" t="str">
            <v>Phobos</v>
          </cell>
          <cell r="C65" t="str">
            <v>Forest Hills High School</v>
          </cell>
          <cell r="D65" t="str">
            <v>Sidman, Pennsylvania, United States</v>
          </cell>
          <cell r="E65">
            <v>103</v>
          </cell>
          <cell r="F65">
            <v>146</v>
          </cell>
          <cell r="G65">
            <v>144.14599999999999</v>
          </cell>
          <cell r="H65">
            <v>144.14599999999999</v>
          </cell>
          <cell r="I65">
            <v>93.637299999999996</v>
          </cell>
        </row>
        <row r="66">
          <cell r="A66" t="str">
            <v>507B</v>
          </cell>
          <cell r="B66" t="str">
            <v>Mustang Robotics</v>
          </cell>
          <cell r="C66" t="str">
            <v>Otay Ranch High School</v>
          </cell>
          <cell r="D66" t="str">
            <v>Chula Vista, California, United States</v>
          </cell>
          <cell r="E66">
            <v>84</v>
          </cell>
          <cell r="F66">
            <v>0</v>
          </cell>
          <cell r="G66">
            <v>72.224299999999999</v>
          </cell>
          <cell r="H66">
            <v>43.481699999999996</v>
          </cell>
          <cell r="I66">
            <v>72.224299999999999</v>
          </cell>
          <cell r="J66">
            <v>52.571800000000003</v>
          </cell>
          <cell r="K66">
            <v>45.7898</v>
          </cell>
          <cell r="L66">
            <v>22.748200000000001</v>
          </cell>
          <cell r="M66">
            <v>0</v>
          </cell>
        </row>
        <row r="67">
          <cell r="A67" t="str">
            <v>536C</v>
          </cell>
          <cell r="B67" t="str">
            <v>Life</v>
          </cell>
          <cell r="C67" t="str">
            <v>Xavier High School</v>
          </cell>
          <cell r="D67" t="str">
            <v>Appleton, Wisconsin, United States</v>
          </cell>
          <cell r="E67">
            <v>293</v>
          </cell>
          <cell r="F67">
            <v>311</v>
          </cell>
          <cell r="G67">
            <v>148.916</v>
          </cell>
          <cell r="H67">
            <v>148.916</v>
          </cell>
          <cell r="I67">
            <v>83.472099999999998</v>
          </cell>
          <cell r="J67">
            <v>84.5578</v>
          </cell>
          <cell r="K67">
            <v>50.0867</v>
          </cell>
          <cell r="L67">
            <v>82.779600000000002</v>
          </cell>
          <cell r="M67">
            <v>27.037500000000001</v>
          </cell>
          <cell r="N67">
            <v>0</v>
          </cell>
        </row>
        <row r="68">
          <cell r="A68" t="str">
            <v>563</v>
          </cell>
          <cell r="B68" t="str">
            <v>Titan Robotics</v>
          </cell>
          <cell r="C68" t="str">
            <v>Nipomo High School</v>
          </cell>
          <cell r="D68" t="str">
            <v>Nipomo, California, United States</v>
          </cell>
          <cell r="E68">
            <v>126</v>
          </cell>
          <cell r="F68">
            <v>65</v>
          </cell>
          <cell r="G68">
            <v>116.889</v>
          </cell>
          <cell r="H68">
            <v>97.425600000000003</v>
          </cell>
          <cell r="I68">
            <v>84.377399999999994</v>
          </cell>
          <cell r="J68">
            <v>98.027699999999996</v>
          </cell>
          <cell r="K68">
            <v>116.889</v>
          </cell>
          <cell r="L68">
            <v>94.840900000000005</v>
          </cell>
          <cell r="M68">
            <v>109.651</v>
          </cell>
        </row>
        <row r="69">
          <cell r="A69" t="str">
            <v>569B</v>
          </cell>
          <cell r="B69" t="str">
            <v>NightHawk Robotics Club</v>
          </cell>
          <cell r="C69" t="str">
            <v>Murrieta Valley High School</v>
          </cell>
          <cell r="D69" t="str">
            <v>Murrieta, California, United States</v>
          </cell>
          <cell r="E69">
            <v>71</v>
          </cell>
          <cell r="F69">
            <v>20</v>
          </cell>
          <cell r="G69">
            <v>84.920299999999997</v>
          </cell>
          <cell r="H69">
            <v>52.005800000000001</v>
          </cell>
          <cell r="I69">
            <v>84.920299999999997</v>
          </cell>
          <cell r="J69">
            <v>63.797899999999998</v>
          </cell>
          <cell r="K69">
            <v>66.973500000000001</v>
          </cell>
          <cell r="L69">
            <v>49.2</v>
          </cell>
        </row>
        <row r="70">
          <cell r="A70" t="str">
            <v>569C</v>
          </cell>
          <cell r="B70" t="str">
            <v>NightHawk Robotics Club</v>
          </cell>
          <cell r="C70" t="str">
            <v>Murrieta Valley High School</v>
          </cell>
          <cell r="D70" t="str">
            <v>Murrieta, California, United States</v>
          </cell>
          <cell r="E70">
            <v>69</v>
          </cell>
          <cell r="F70">
            <v>77</v>
          </cell>
          <cell r="G70">
            <v>68.920500000000004</v>
          </cell>
          <cell r="H70">
            <v>58.436900000000001</v>
          </cell>
          <cell r="I70">
            <v>48.630299999999998</v>
          </cell>
          <cell r="J70">
            <v>38.502200000000002</v>
          </cell>
          <cell r="K70">
            <v>68.920500000000004</v>
          </cell>
          <cell r="L70">
            <v>45.476799999999997</v>
          </cell>
        </row>
        <row r="71">
          <cell r="A71" t="str">
            <v>585A</v>
          </cell>
          <cell r="B71" t="str">
            <v>Central Robo Dawgs</v>
          </cell>
          <cell r="C71" t="str">
            <v>Forsyth Central High School</v>
          </cell>
          <cell r="D71" t="str">
            <v>Cumming, Georgia, United States</v>
          </cell>
          <cell r="E71">
            <v>233</v>
          </cell>
          <cell r="F71">
            <v>112</v>
          </cell>
          <cell r="G71">
            <v>128.53399999999999</v>
          </cell>
          <cell r="H71">
            <v>79.373000000000005</v>
          </cell>
          <cell r="I71">
            <v>73.420100000000005</v>
          </cell>
          <cell r="J71">
            <v>112.77</v>
          </cell>
          <cell r="K71">
            <v>19.854900000000001</v>
          </cell>
          <cell r="L71">
            <v>128.53399999999999</v>
          </cell>
          <cell r="M71">
            <v>48.115600000000001</v>
          </cell>
        </row>
        <row r="72">
          <cell r="A72" t="str">
            <v>586A</v>
          </cell>
          <cell r="B72" t="str">
            <v>PHS A-Team</v>
          </cell>
          <cell r="C72" t="str">
            <v>Plymouth High School</v>
          </cell>
          <cell r="D72" t="str">
            <v>Plymouth, Indiana, United States</v>
          </cell>
          <cell r="E72">
            <v>107</v>
          </cell>
          <cell r="F72">
            <v>253</v>
          </cell>
          <cell r="G72">
            <v>132.64699999999999</v>
          </cell>
          <cell r="H72">
            <v>90.963499999999996</v>
          </cell>
          <cell r="I72">
            <v>123.232</v>
          </cell>
          <cell r="J72">
            <v>112.82299999999999</v>
          </cell>
          <cell r="K72">
            <v>132.64699999999999</v>
          </cell>
          <cell r="L72">
            <v>125.59099999999999</v>
          </cell>
          <cell r="M72">
            <v>112.34099999999999</v>
          </cell>
          <cell r="N72">
            <v>104.749</v>
          </cell>
          <cell r="O72">
            <v>46.073799999999999</v>
          </cell>
        </row>
        <row r="73">
          <cell r="A73" t="str">
            <v>590</v>
          </cell>
          <cell r="B73" t="str">
            <v xml:space="preserve">Texas City ✭ Robotics </v>
          </cell>
          <cell r="C73" t="str">
            <v>Texas City High School</v>
          </cell>
          <cell r="D73" t="str">
            <v>Texas City, Texas, United States</v>
          </cell>
          <cell r="E73">
            <v>187</v>
          </cell>
          <cell r="F73">
            <v>131</v>
          </cell>
          <cell r="G73">
            <v>85.793999999999997</v>
          </cell>
          <cell r="H73">
            <v>66.753100000000003</v>
          </cell>
          <cell r="I73">
            <v>46.641599999999997</v>
          </cell>
          <cell r="J73">
            <v>85.793999999999997</v>
          </cell>
          <cell r="K73">
            <v>49.989699999999999</v>
          </cell>
          <cell r="L73">
            <v>33.604500000000002</v>
          </cell>
        </row>
        <row r="74">
          <cell r="A74" t="str">
            <v>598A</v>
          </cell>
          <cell r="B74" t="str">
            <v>Loudonville High School A</v>
          </cell>
          <cell r="C74" t="str">
            <v>Loudonville High School</v>
          </cell>
          <cell r="D74" t="str">
            <v>Loudonville, Ohio, United States</v>
          </cell>
          <cell r="E74">
            <v>195</v>
          </cell>
          <cell r="F74">
            <v>130</v>
          </cell>
          <cell r="G74">
            <v>152.39699999999999</v>
          </cell>
          <cell r="H74">
            <v>152.39699999999999</v>
          </cell>
          <cell r="I74">
            <v>47.497300000000003</v>
          </cell>
          <cell r="J74">
            <v>93.283500000000004</v>
          </cell>
          <cell r="K74">
            <v>63.713200000000001</v>
          </cell>
          <cell r="L74">
            <v>97.198700000000002</v>
          </cell>
          <cell r="M74">
            <v>75.5809</v>
          </cell>
          <cell r="N74">
            <v>0</v>
          </cell>
          <cell r="O74">
            <v>47.491999999999997</v>
          </cell>
          <cell r="P74">
            <v>12.593</v>
          </cell>
        </row>
        <row r="75">
          <cell r="A75" t="str">
            <v>605F</v>
          </cell>
          <cell r="B75" t="str">
            <v>CECyTEH San Luis 6</v>
          </cell>
          <cell r="C75" t="str">
            <v>CECyTEH San Luis</v>
          </cell>
          <cell r="D75" t="str">
            <v>San Luis Potosí, San Luis Potosí, Mexico</v>
          </cell>
          <cell r="E75">
            <v>0</v>
          </cell>
          <cell r="F75">
            <v>0</v>
          </cell>
          <cell r="G75">
            <v>74.343599999999995</v>
          </cell>
          <cell r="H75">
            <v>37.9833</v>
          </cell>
          <cell r="I75">
            <v>34.363799999999998</v>
          </cell>
          <cell r="J75">
            <v>74.343599999999995</v>
          </cell>
        </row>
        <row r="76">
          <cell r="A76" t="str">
            <v>628A</v>
          </cell>
          <cell r="B76" t="str">
            <v>Monroe Engineering</v>
          </cell>
          <cell r="C76" t="str">
            <v>James Monroe High School //////////////// Engineering and Design</v>
          </cell>
          <cell r="D76" t="str">
            <v>North Hills, California, United States</v>
          </cell>
          <cell r="E76">
            <v>147</v>
          </cell>
          <cell r="F76">
            <v>147</v>
          </cell>
          <cell r="G76">
            <v>97.646900000000002</v>
          </cell>
          <cell r="H76">
            <v>97.646900000000002</v>
          </cell>
          <cell r="I76">
            <v>19.026199999999999</v>
          </cell>
          <cell r="J76">
            <v>48.345100000000002</v>
          </cell>
        </row>
        <row r="77">
          <cell r="A77" t="str">
            <v>675B</v>
          </cell>
          <cell r="B77" t="str">
            <v>RoboDragons B</v>
          </cell>
          <cell r="C77" t="str">
            <v>Gwinnett School of Mathem, Science, and Technology</v>
          </cell>
          <cell r="D77" t="str">
            <v>Lawrenceville, Georgia, United States</v>
          </cell>
          <cell r="E77">
            <v>153</v>
          </cell>
          <cell r="F77">
            <v>0</v>
          </cell>
          <cell r="G77">
            <v>140.12700000000001</v>
          </cell>
          <cell r="H77">
            <v>97.966999999999999</v>
          </cell>
          <cell r="I77">
            <v>88.053600000000003</v>
          </cell>
          <cell r="J77">
            <v>140.12700000000001</v>
          </cell>
          <cell r="K77">
            <v>104.89</v>
          </cell>
          <cell r="L77">
            <v>92.1892</v>
          </cell>
          <cell r="M77">
            <v>70.372500000000002</v>
          </cell>
          <cell r="N77">
            <v>104.559</v>
          </cell>
        </row>
        <row r="78">
          <cell r="A78" t="str">
            <v>675C</v>
          </cell>
          <cell r="B78" t="str">
            <v>RoboDragons C</v>
          </cell>
          <cell r="C78" t="str">
            <v>Gwinnett School of Mathem, Science, and Technology</v>
          </cell>
          <cell r="D78" t="str">
            <v>Lawrenceville, Georgia, United States</v>
          </cell>
          <cell r="E78">
            <v>78</v>
          </cell>
          <cell r="F78">
            <v>20</v>
          </cell>
          <cell r="G78">
            <v>112.68600000000001</v>
          </cell>
          <cell r="H78">
            <v>109.571</v>
          </cell>
          <cell r="I78">
            <v>98.698300000000003</v>
          </cell>
          <cell r="J78">
            <v>75.9392</v>
          </cell>
          <cell r="K78">
            <v>87.627600000000001</v>
          </cell>
          <cell r="L78">
            <v>112.68600000000001</v>
          </cell>
          <cell r="M78">
            <v>95.554900000000004</v>
          </cell>
          <cell r="N78">
            <v>68.699200000000005</v>
          </cell>
        </row>
        <row r="79">
          <cell r="A79" t="str">
            <v>675D</v>
          </cell>
          <cell r="B79" t="str">
            <v>RoboDragons D</v>
          </cell>
          <cell r="C79" t="str">
            <v>Gwinnett School of Mathem, Science, and Technology</v>
          </cell>
          <cell r="D79" t="str">
            <v>Lawrenceville, Georgia, United States</v>
          </cell>
          <cell r="E79">
            <v>0</v>
          </cell>
          <cell r="F79">
            <v>0</v>
          </cell>
          <cell r="G79">
            <v>94.185000000000002</v>
          </cell>
          <cell r="H79">
            <v>94.185000000000002</v>
          </cell>
          <cell r="I79">
            <v>62.691899999999997</v>
          </cell>
          <cell r="J79">
            <v>50.228099999999998</v>
          </cell>
          <cell r="K79">
            <v>20.548300000000001</v>
          </cell>
        </row>
        <row r="80">
          <cell r="A80" t="str">
            <v>675E</v>
          </cell>
          <cell r="B80" t="str">
            <v>RoboDragons E</v>
          </cell>
          <cell r="C80" t="str">
            <v>Gwinnett School of Mathem, Science, and Technology</v>
          </cell>
          <cell r="D80" t="str">
            <v>Lawrenceville, Georgia, United States</v>
          </cell>
          <cell r="E80">
            <v>286</v>
          </cell>
          <cell r="F80">
            <v>186</v>
          </cell>
          <cell r="G80">
            <v>135.05600000000001</v>
          </cell>
          <cell r="H80">
            <v>132.839</v>
          </cell>
          <cell r="I80">
            <v>58.1783</v>
          </cell>
          <cell r="J80">
            <v>135.05600000000001</v>
          </cell>
          <cell r="K80">
            <v>123.102</v>
          </cell>
          <cell r="L80">
            <v>121.997</v>
          </cell>
          <cell r="M80">
            <v>95.193299999999994</v>
          </cell>
        </row>
        <row r="81">
          <cell r="A81" t="str">
            <v>699Z</v>
          </cell>
          <cell r="B81" t="str">
            <v>Zaptors</v>
          </cell>
          <cell r="C81" t="str">
            <v>Thomas A. Edison CTE High School</v>
          </cell>
          <cell r="D81" t="str">
            <v>Jamaica, New York, United States</v>
          </cell>
          <cell r="E81">
            <v>120</v>
          </cell>
          <cell r="F81">
            <v>155</v>
          </cell>
          <cell r="G81">
            <v>40.259700000000002</v>
          </cell>
          <cell r="H81">
            <v>40.259700000000002</v>
          </cell>
          <cell r="I81">
            <v>8.9104700000000001</v>
          </cell>
          <cell r="J81">
            <v>18.790600000000001</v>
          </cell>
          <cell r="K81">
            <v>6.6982299999999997</v>
          </cell>
          <cell r="L81">
            <v>0.28383999999999998</v>
          </cell>
        </row>
        <row r="82">
          <cell r="A82" t="str">
            <v>750C</v>
          </cell>
          <cell r="B82" t="str">
            <v>4Chainz</v>
          </cell>
          <cell r="C82" t="str">
            <v>South Brunswick High School</v>
          </cell>
          <cell r="D82" t="str">
            <v>Monmouth Junction, New Jersey, United States</v>
          </cell>
          <cell r="E82">
            <v>255</v>
          </cell>
          <cell r="F82">
            <v>236</v>
          </cell>
          <cell r="G82">
            <v>142.685</v>
          </cell>
          <cell r="H82">
            <v>92.327399999999997</v>
          </cell>
          <cell r="I82">
            <v>142.685</v>
          </cell>
          <cell r="J82">
            <v>108.23699999999999</v>
          </cell>
          <cell r="K82">
            <v>128.423</v>
          </cell>
          <cell r="L82">
            <v>80.612200000000001</v>
          </cell>
          <cell r="M82">
            <v>67.147499999999994</v>
          </cell>
          <cell r="N82">
            <v>14.663</v>
          </cell>
        </row>
        <row r="83">
          <cell r="A83" t="str">
            <v>750W</v>
          </cell>
          <cell r="B83" t="str">
            <v>Wolves</v>
          </cell>
          <cell r="C83" t="str">
            <v>South Brunswick High School</v>
          </cell>
          <cell r="D83" t="str">
            <v>Monmouth Junction, New Jersey, United States</v>
          </cell>
          <cell r="E83">
            <v>90</v>
          </cell>
          <cell r="F83">
            <v>84</v>
          </cell>
          <cell r="G83">
            <v>62.814700000000002</v>
          </cell>
          <cell r="H83">
            <v>62.814700000000002</v>
          </cell>
          <cell r="I83">
            <v>21.888999999999999</v>
          </cell>
          <cell r="J83">
            <v>35.762599999999999</v>
          </cell>
          <cell r="K83">
            <v>35.156300000000002</v>
          </cell>
          <cell r="L83">
            <v>4.2846000000000002</v>
          </cell>
        </row>
        <row r="84">
          <cell r="A84" t="str">
            <v>765A</v>
          </cell>
          <cell r="B84" t="str">
            <v>HTHS - Fury</v>
          </cell>
          <cell r="C84" t="str">
            <v>High Technology High School</v>
          </cell>
          <cell r="D84" t="str">
            <v>Lincroft, New Jersey, United States</v>
          </cell>
          <cell r="E84">
            <v>311</v>
          </cell>
          <cell r="F84">
            <v>130</v>
          </cell>
          <cell r="G84">
            <v>103.339</v>
          </cell>
          <cell r="H84">
            <v>76.120999999999995</v>
          </cell>
          <cell r="I84">
            <v>103.339</v>
          </cell>
          <cell r="J84">
            <v>45.863199999999999</v>
          </cell>
        </row>
        <row r="85">
          <cell r="A85" t="str">
            <v>778</v>
          </cell>
          <cell r="B85" t="str">
            <v>Atomic Fireballs</v>
          </cell>
          <cell r="C85" t="str">
            <v>Veritas Homeschoolers</v>
          </cell>
          <cell r="D85" t="str">
            <v>Tempe, Arizona, United States</v>
          </cell>
          <cell r="E85">
            <v>135</v>
          </cell>
          <cell r="F85">
            <v>156</v>
          </cell>
          <cell r="G85">
            <v>92.848600000000005</v>
          </cell>
          <cell r="H85">
            <v>83.456500000000005</v>
          </cell>
          <cell r="I85">
            <v>38.647500000000001</v>
          </cell>
          <cell r="J85">
            <v>92.848600000000005</v>
          </cell>
          <cell r="K85">
            <v>34.358699999999999</v>
          </cell>
          <cell r="L85">
            <v>24.564599999999999</v>
          </cell>
        </row>
        <row r="86">
          <cell r="A86" t="str">
            <v>817C</v>
          </cell>
          <cell r="B86" t="str">
            <v>Sparticles: JOHN C TEAM!!</v>
          </cell>
          <cell r="C86" t="str">
            <v>East Longmeadow High School</v>
          </cell>
          <cell r="D86" t="str">
            <v>East Longmeadow, Massachusetts, United States</v>
          </cell>
          <cell r="E86">
            <v>238</v>
          </cell>
          <cell r="F86">
            <v>180</v>
          </cell>
          <cell r="G86">
            <v>81.350099999999998</v>
          </cell>
          <cell r="H86">
            <v>81.350099999999998</v>
          </cell>
          <cell r="I86">
            <v>57.065800000000003</v>
          </cell>
          <cell r="J86">
            <v>63.778500000000001</v>
          </cell>
          <cell r="K86">
            <v>63.881999999999998</v>
          </cell>
        </row>
        <row r="87">
          <cell r="A87" t="str">
            <v>824B</v>
          </cell>
          <cell r="B87" t="str">
            <v>AHS Robotics</v>
          </cell>
          <cell r="C87" t="str">
            <v>Armijo High School</v>
          </cell>
          <cell r="D87" t="str">
            <v>Fairfield, California, United States</v>
          </cell>
          <cell r="E87">
            <v>188</v>
          </cell>
          <cell r="F87">
            <v>180</v>
          </cell>
          <cell r="G87">
            <v>87.253200000000007</v>
          </cell>
          <cell r="H87">
            <v>87.253200000000007</v>
          </cell>
          <cell r="I87">
            <v>73.114599999999996</v>
          </cell>
          <cell r="J87">
            <v>56.740900000000003</v>
          </cell>
          <cell r="K87">
            <v>72.458100000000002</v>
          </cell>
          <cell r="L87">
            <v>33.3414</v>
          </cell>
        </row>
        <row r="88">
          <cell r="A88" t="str">
            <v>889E</v>
          </cell>
          <cell r="B88" t="str">
            <v>Sarah Heinz House</v>
          </cell>
          <cell r="C88" t="str">
            <v>Sarah Heinz House</v>
          </cell>
          <cell r="D88" t="str">
            <v>Pittsburgh, Pennsylvania, United States</v>
          </cell>
          <cell r="E88">
            <v>0</v>
          </cell>
          <cell r="F88">
            <v>0</v>
          </cell>
          <cell r="G88">
            <v>34.009700000000002</v>
          </cell>
          <cell r="H88">
            <v>34.009700000000002</v>
          </cell>
          <cell r="I88">
            <v>32.383499999999998</v>
          </cell>
        </row>
        <row r="89">
          <cell r="A89" t="str">
            <v>901Y</v>
          </cell>
          <cell r="B89" t="str">
            <v>Ninjabotics</v>
          </cell>
          <cell r="C89" t="str">
            <v>The American School in Japan</v>
          </cell>
          <cell r="D89" t="str">
            <v>Tokyo, N/A, Japan</v>
          </cell>
          <cell r="E89">
            <v>0</v>
          </cell>
          <cell r="F89">
            <v>37</v>
          </cell>
          <cell r="G89">
            <v>34.162199999999999</v>
          </cell>
          <cell r="H89">
            <v>34.162199999999999</v>
          </cell>
        </row>
        <row r="90">
          <cell r="A90" t="str">
            <v>917M</v>
          </cell>
          <cell r="B90" t="str">
            <v>Quantum Morty</v>
          </cell>
          <cell r="C90" t="str">
            <v>QUANTUM ROBOTICS</v>
          </cell>
          <cell r="D90" t="str">
            <v>Kirkland, Washington, United States</v>
          </cell>
          <cell r="E90">
            <v>251</v>
          </cell>
          <cell r="F90">
            <v>44</v>
          </cell>
          <cell r="G90">
            <v>113.51900000000001</v>
          </cell>
          <cell r="H90">
            <v>56.280500000000004</v>
          </cell>
          <cell r="I90">
            <v>113.51900000000001</v>
          </cell>
          <cell r="J90">
            <v>47.6629</v>
          </cell>
          <cell r="K90">
            <v>35.795499999999997</v>
          </cell>
          <cell r="L90">
            <v>29.661000000000001</v>
          </cell>
        </row>
        <row r="91">
          <cell r="A91" t="str">
            <v>917S</v>
          </cell>
          <cell r="B91" t="str">
            <v>Quantum Senpai</v>
          </cell>
          <cell r="C91" t="str">
            <v>QUANTUM ROBOTICS</v>
          </cell>
          <cell r="D91" t="str">
            <v>Kirkland, Washington, United States</v>
          </cell>
          <cell r="E91">
            <v>281</v>
          </cell>
          <cell r="F91">
            <v>281</v>
          </cell>
          <cell r="G91">
            <v>149.321</v>
          </cell>
          <cell r="H91">
            <v>149.321</v>
          </cell>
          <cell r="I91">
            <v>97.296599999999998</v>
          </cell>
          <cell r="J91">
            <v>69.528199999999998</v>
          </cell>
          <cell r="K91">
            <v>102.242</v>
          </cell>
          <cell r="L91">
            <v>100.11199999999999</v>
          </cell>
        </row>
        <row r="92">
          <cell r="A92" t="str">
            <v>929W</v>
          </cell>
          <cell r="B92" t="str">
            <v>Hereford Zone Robotics</v>
          </cell>
          <cell r="C92" t="str">
            <v>Hereford High School</v>
          </cell>
          <cell r="D92" t="str">
            <v>Parkton, Maryland, United States</v>
          </cell>
          <cell r="E92">
            <v>294</v>
          </cell>
          <cell r="F92">
            <v>287</v>
          </cell>
          <cell r="G92">
            <v>126.083</v>
          </cell>
          <cell r="H92">
            <v>90.029300000000006</v>
          </cell>
          <cell r="I92">
            <v>126.083</v>
          </cell>
          <cell r="J92">
            <v>94.180599999999998</v>
          </cell>
          <cell r="K92">
            <v>94.916799999999995</v>
          </cell>
          <cell r="L92">
            <v>77.675600000000003</v>
          </cell>
          <cell r="M92">
            <v>72.485500000000002</v>
          </cell>
          <cell r="N92">
            <v>42.474499999999999</v>
          </cell>
          <cell r="O92">
            <v>72.3767</v>
          </cell>
        </row>
        <row r="93">
          <cell r="A93" t="str">
            <v>929Y</v>
          </cell>
          <cell r="B93" t="str">
            <v>Hereford Zone Robotics</v>
          </cell>
          <cell r="C93" t="str">
            <v>Hereford High School</v>
          </cell>
          <cell r="D93" t="str">
            <v>Parkton, Maryland, United States</v>
          </cell>
          <cell r="E93">
            <v>81</v>
          </cell>
          <cell r="F93">
            <v>246</v>
          </cell>
          <cell r="G93">
            <v>57.278300000000002</v>
          </cell>
          <cell r="H93">
            <v>56.841099999999997</v>
          </cell>
          <cell r="I93">
            <v>46.202100000000002</v>
          </cell>
          <cell r="J93">
            <v>57.278300000000002</v>
          </cell>
          <cell r="K93">
            <v>30.563700000000001</v>
          </cell>
          <cell r="L93">
            <v>50.9739</v>
          </cell>
          <cell r="M93">
            <v>21.792100000000001</v>
          </cell>
          <cell r="N93">
            <v>16.838799999999999</v>
          </cell>
        </row>
        <row r="94">
          <cell r="A94" t="str">
            <v>973G</v>
          </cell>
          <cell r="B94" t="str">
            <v>GreyDoges</v>
          </cell>
          <cell r="C94" t="str">
            <v>Atascadero Robotics</v>
          </cell>
          <cell r="D94" t="str">
            <v>Atascadero, California, United States</v>
          </cell>
          <cell r="E94">
            <v>0</v>
          </cell>
          <cell r="F94">
            <v>0</v>
          </cell>
          <cell r="G94">
            <v>105.39400000000001</v>
          </cell>
          <cell r="H94">
            <v>105.39400000000001</v>
          </cell>
          <cell r="I94">
            <v>5.7781900000000004</v>
          </cell>
          <cell r="J94">
            <v>66.602000000000004</v>
          </cell>
          <cell r="K94">
            <v>68.020200000000003</v>
          </cell>
          <cell r="L94">
            <v>30.698699999999999</v>
          </cell>
          <cell r="M94">
            <v>27.466200000000001</v>
          </cell>
        </row>
        <row r="95">
          <cell r="A95" t="str">
            <v>974X</v>
          </cell>
          <cell r="B95" t="str">
            <v>Cyberbrains</v>
          </cell>
          <cell r="C95" t="str">
            <v>Loveland, CO Community Team</v>
          </cell>
          <cell r="D95" t="str">
            <v>Loveland, Colorado, United States</v>
          </cell>
          <cell r="E95">
            <v>308</v>
          </cell>
          <cell r="F95">
            <v>316</v>
          </cell>
          <cell r="G95">
            <v>149.577</v>
          </cell>
          <cell r="H95">
            <v>100.19199999999999</v>
          </cell>
          <cell r="I95">
            <v>86.113</v>
          </cell>
          <cell r="J95">
            <v>149.577</v>
          </cell>
          <cell r="K95">
            <v>96.572699999999998</v>
          </cell>
          <cell r="L95">
            <v>145.715</v>
          </cell>
          <cell r="M95">
            <v>97.711200000000005</v>
          </cell>
          <cell r="N95">
            <v>122.446</v>
          </cell>
          <cell r="O95">
            <v>66.379800000000003</v>
          </cell>
        </row>
        <row r="96">
          <cell r="A96" t="str">
            <v>986A</v>
          </cell>
          <cell r="B96" t="str">
            <v>Lancers A</v>
          </cell>
          <cell r="C96" t="str">
            <v>Grace Brethren JH/High School</v>
          </cell>
          <cell r="D96" t="str">
            <v>Simi Valley, California, United States</v>
          </cell>
          <cell r="E96">
            <v>261</v>
          </cell>
          <cell r="F96">
            <v>161</v>
          </cell>
          <cell r="G96">
            <v>147.101</v>
          </cell>
          <cell r="H96">
            <v>121.045</v>
          </cell>
          <cell r="I96">
            <v>147.101</v>
          </cell>
          <cell r="J96">
            <v>141.51900000000001</v>
          </cell>
          <cell r="K96">
            <v>97.788399999999996</v>
          </cell>
          <cell r="L96">
            <v>108.117</v>
          </cell>
        </row>
        <row r="97">
          <cell r="A97" t="str">
            <v>986B</v>
          </cell>
          <cell r="B97" t="str">
            <v>Lancers B</v>
          </cell>
          <cell r="C97" t="str">
            <v>Grace Brethren JH/High School</v>
          </cell>
          <cell r="D97" t="str">
            <v>Simi Valley, California, United States</v>
          </cell>
          <cell r="E97">
            <v>320</v>
          </cell>
          <cell r="F97">
            <v>302</v>
          </cell>
          <cell r="G97">
            <v>161.22200000000001</v>
          </cell>
          <cell r="H97">
            <v>145.33500000000001</v>
          </cell>
          <cell r="I97">
            <v>161.22200000000001</v>
          </cell>
          <cell r="J97">
            <v>160.44900000000001</v>
          </cell>
          <cell r="K97">
            <v>132.45699999999999</v>
          </cell>
          <cell r="L97">
            <v>105.256</v>
          </cell>
        </row>
        <row r="98">
          <cell r="A98" t="str">
            <v>1007H</v>
          </cell>
          <cell r="B98" t="str">
            <v>VARC High School</v>
          </cell>
          <cell r="C98" t="str">
            <v>Vermillion Area Robotics Club</v>
          </cell>
          <cell r="D98" t="str">
            <v>Vermillion, South Dakota, United States</v>
          </cell>
          <cell r="E98">
            <v>0</v>
          </cell>
          <cell r="F98">
            <v>0</v>
          </cell>
          <cell r="G98">
            <v>136.34299999999999</v>
          </cell>
          <cell r="H98">
            <v>97.197699999999998</v>
          </cell>
          <cell r="I98">
            <v>136.34299999999999</v>
          </cell>
        </row>
        <row r="99">
          <cell r="A99" t="str">
            <v>1028A</v>
          </cell>
          <cell r="B99" t="str">
            <v xml:space="preserve">C:\DOS\RUN </v>
          </cell>
          <cell r="C99" t="str">
            <v>Brownell-Talbot</v>
          </cell>
          <cell r="D99" t="str">
            <v>Omaha, Nebraska, United States</v>
          </cell>
          <cell r="E99">
            <v>307</v>
          </cell>
          <cell r="F99">
            <v>197</v>
          </cell>
          <cell r="G99">
            <v>129.333</v>
          </cell>
          <cell r="H99">
            <v>62.459400000000002</v>
          </cell>
          <cell r="I99">
            <v>103.405</v>
          </cell>
          <cell r="J99">
            <v>113.84</v>
          </cell>
          <cell r="K99">
            <v>78.4268</v>
          </cell>
          <cell r="L99">
            <v>112.033</v>
          </cell>
          <cell r="M99">
            <v>129.333</v>
          </cell>
          <cell r="N99">
            <v>92.391300000000001</v>
          </cell>
          <cell r="O99">
            <v>93.462500000000006</v>
          </cell>
          <cell r="P99">
            <v>41.063699999999997</v>
          </cell>
        </row>
        <row r="100">
          <cell r="A100" t="str">
            <v>1034A</v>
          </cell>
          <cell r="B100" t="str">
            <v>Roboregents</v>
          </cell>
          <cell r="C100" t="str">
            <v>La Reina High School</v>
          </cell>
          <cell r="D100" t="str">
            <v>Thousand Oaks, California, United States</v>
          </cell>
          <cell r="E100">
            <v>280</v>
          </cell>
          <cell r="F100">
            <v>151</v>
          </cell>
          <cell r="G100">
            <v>141.01900000000001</v>
          </cell>
          <cell r="H100">
            <v>141.01900000000001</v>
          </cell>
          <cell r="I100">
            <v>74.136200000000002</v>
          </cell>
          <cell r="J100">
            <v>110.08199999999999</v>
          </cell>
          <cell r="K100">
            <v>128.727</v>
          </cell>
          <cell r="L100">
            <v>62.23</v>
          </cell>
          <cell r="M100">
            <v>106.355</v>
          </cell>
          <cell r="N100">
            <v>113.197</v>
          </cell>
          <cell r="O100">
            <v>90.599299999999999</v>
          </cell>
          <cell r="P100">
            <v>32.915500000000002</v>
          </cell>
          <cell r="Q100">
            <v>53.7911</v>
          </cell>
          <cell r="R100">
            <v>7.3877100000000002</v>
          </cell>
        </row>
        <row r="101">
          <cell r="A101" t="str">
            <v>1039A</v>
          </cell>
          <cell r="B101" t="str">
            <v>Robo-Raiders</v>
          </cell>
          <cell r="C101" t="str">
            <v>Highland Secondary School</v>
          </cell>
          <cell r="D101" t="str">
            <v>Comox, British Columbia, Canada</v>
          </cell>
          <cell r="E101">
            <v>292</v>
          </cell>
          <cell r="F101">
            <v>247</v>
          </cell>
          <cell r="G101">
            <v>133.50299999999999</v>
          </cell>
          <cell r="H101">
            <v>115.08499999999999</v>
          </cell>
          <cell r="I101">
            <v>133.50299999999999</v>
          </cell>
          <cell r="J101">
            <v>73.310699999999997</v>
          </cell>
          <cell r="K101">
            <v>57.020200000000003</v>
          </cell>
        </row>
        <row r="102">
          <cell r="A102" t="str">
            <v>1045D</v>
          </cell>
          <cell r="B102" t="str">
            <v>OPS - The Bunny Overload</v>
          </cell>
          <cell r="C102" t="str">
            <v>Benson High Magnet  School</v>
          </cell>
          <cell r="D102" t="str">
            <v>Omaha, Nebraska, United States</v>
          </cell>
          <cell r="E102">
            <v>265</v>
          </cell>
          <cell r="F102">
            <v>131</v>
          </cell>
          <cell r="G102">
            <v>157.55199999999999</v>
          </cell>
          <cell r="H102">
            <v>157.55199999999999</v>
          </cell>
          <cell r="I102">
            <v>139.41399999999999</v>
          </cell>
          <cell r="J102">
            <v>129.596</v>
          </cell>
          <cell r="K102">
            <v>86.732100000000003</v>
          </cell>
          <cell r="L102">
            <v>102.85899999999999</v>
          </cell>
        </row>
        <row r="103">
          <cell r="A103" t="str">
            <v>1064A</v>
          </cell>
          <cell r="B103" t="str">
            <v>OPS - Nebraska Nerd Herd</v>
          </cell>
          <cell r="C103" t="str">
            <v>Omaha North Magnet High School</v>
          </cell>
          <cell r="D103" t="str">
            <v>Omaha, Nebraska, United States</v>
          </cell>
          <cell r="E103">
            <v>295</v>
          </cell>
          <cell r="F103">
            <v>160</v>
          </cell>
          <cell r="G103">
            <v>150.851</v>
          </cell>
          <cell r="H103">
            <v>145.79499999999999</v>
          </cell>
          <cell r="I103">
            <v>134.976</v>
          </cell>
          <cell r="J103">
            <v>132.99199999999999</v>
          </cell>
          <cell r="K103">
            <v>150.851</v>
          </cell>
          <cell r="L103">
            <v>108.76900000000001</v>
          </cell>
          <cell r="M103">
            <v>63.1111</v>
          </cell>
          <cell r="N103">
            <v>47.601999999999997</v>
          </cell>
        </row>
        <row r="104">
          <cell r="A104" t="str">
            <v>1064P</v>
          </cell>
          <cell r="B104" t="str">
            <v>OPS - Almost HD</v>
          </cell>
          <cell r="C104" t="str">
            <v>Omaha North Magnet High School</v>
          </cell>
          <cell r="D104" t="str">
            <v>Omaha, Nebraska, United States</v>
          </cell>
          <cell r="E104">
            <v>190</v>
          </cell>
          <cell r="F104">
            <v>60</v>
          </cell>
          <cell r="G104">
            <v>106.61</v>
          </cell>
          <cell r="H104">
            <v>80.028700000000001</v>
          </cell>
          <cell r="I104">
            <v>100.932</v>
          </cell>
          <cell r="J104">
            <v>106.61</v>
          </cell>
          <cell r="K104">
            <v>72.363600000000005</v>
          </cell>
          <cell r="L104">
            <v>35.6676</v>
          </cell>
          <cell r="M104">
            <v>64.250500000000002</v>
          </cell>
        </row>
        <row r="105">
          <cell r="A105" t="str">
            <v>1082B</v>
          </cell>
          <cell r="B105" t="str">
            <v>Extreme Engineering II</v>
          </cell>
          <cell r="C105" t="str">
            <v>Extreme Engineering Club-Lovejoy High School</v>
          </cell>
          <cell r="D105" t="str">
            <v>Lucas, Texas, United States</v>
          </cell>
          <cell r="E105">
            <v>266</v>
          </cell>
          <cell r="F105">
            <v>0</v>
          </cell>
          <cell r="G105">
            <v>103.571</v>
          </cell>
          <cell r="H105">
            <v>31.670999999999999</v>
          </cell>
          <cell r="I105">
            <v>71.91</v>
          </cell>
          <cell r="J105">
            <v>103.571</v>
          </cell>
          <cell r="K105">
            <v>7.40768</v>
          </cell>
          <cell r="L105">
            <v>8.8236299999999996</v>
          </cell>
          <cell r="M105">
            <v>16.5761</v>
          </cell>
        </row>
        <row r="106">
          <cell r="A106" t="str">
            <v>1104G</v>
          </cell>
          <cell r="B106" t="str">
            <v>Discobots G - 🍁 #PrayForThomas2k16</v>
          </cell>
          <cell r="C106" t="str">
            <v>Brampton Robotics Education</v>
          </cell>
          <cell r="D106" t="str">
            <v>Brampton, Ontario, Canada</v>
          </cell>
          <cell r="E106">
            <v>430</v>
          </cell>
          <cell r="F106">
            <v>16</v>
          </cell>
          <cell r="G106">
            <v>175.33199999999999</v>
          </cell>
          <cell r="H106">
            <v>48.806600000000003</v>
          </cell>
          <cell r="I106">
            <v>156.07</v>
          </cell>
          <cell r="J106">
            <v>175.33199999999999</v>
          </cell>
          <cell r="K106">
            <v>98.255399999999995</v>
          </cell>
          <cell r="L106">
            <v>110.226</v>
          </cell>
          <cell r="M106">
            <v>163.63399999999999</v>
          </cell>
          <cell r="N106">
            <v>81.8108</v>
          </cell>
        </row>
        <row r="107">
          <cell r="A107" t="str">
            <v>1104H</v>
          </cell>
          <cell r="B107" t="str">
            <v>Discobots ჩ - 🍁 #Pray4Harri2k16</v>
          </cell>
          <cell r="C107" t="str">
            <v>Brampton Robotics Education</v>
          </cell>
          <cell r="D107" t="str">
            <v>Brampton, Ontario, Canada</v>
          </cell>
          <cell r="E107">
            <v>356</v>
          </cell>
          <cell r="F107">
            <v>0</v>
          </cell>
        </row>
        <row r="108">
          <cell r="A108" t="str">
            <v>1104M</v>
          </cell>
          <cell r="B108" t="str">
            <v>Discobots Ⓜ - 🍁 #PrayForThomas2k16</v>
          </cell>
          <cell r="C108" t="str">
            <v>Brampton Robotics Education</v>
          </cell>
          <cell r="D108" t="str">
            <v>Brampton, Ontario, Canada</v>
          </cell>
          <cell r="E108">
            <v>439</v>
          </cell>
          <cell r="F108">
            <v>0</v>
          </cell>
          <cell r="G108">
            <v>155.43299999999999</v>
          </cell>
          <cell r="H108">
            <v>155.43299999999999</v>
          </cell>
          <cell r="I108">
            <v>119.089</v>
          </cell>
        </row>
        <row r="109">
          <cell r="A109" t="str">
            <v>1104V</v>
          </cell>
          <cell r="B109" t="str">
            <v>Discobots ℣ - 🍁 #PrayForThomas2k16</v>
          </cell>
          <cell r="C109" t="str">
            <v>Brampton Robotics Education</v>
          </cell>
          <cell r="D109" t="str">
            <v>Brampton, Ontario, Canada</v>
          </cell>
          <cell r="E109">
            <v>400</v>
          </cell>
          <cell r="F109">
            <v>0</v>
          </cell>
          <cell r="G109">
            <v>155.88999999999999</v>
          </cell>
          <cell r="H109">
            <v>97.639300000000006</v>
          </cell>
          <cell r="I109">
            <v>155.88999999999999</v>
          </cell>
          <cell r="J109">
            <v>96.428299999999993</v>
          </cell>
          <cell r="K109">
            <v>74.928899999999999</v>
          </cell>
          <cell r="L109">
            <v>80.825999999999993</v>
          </cell>
          <cell r="M109">
            <v>80.305000000000007</v>
          </cell>
          <cell r="N109">
            <v>74.325599999999994</v>
          </cell>
        </row>
        <row r="110">
          <cell r="A110" t="str">
            <v>1104X</v>
          </cell>
          <cell r="B110" t="str">
            <v>Discobots Xeon - 🍁 #ImThomas</v>
          </cell>
          <cell r="C110" t="str">
            <v>Brampton Robotics Education</v>
          </cell>
          <cell r="D110" t="str">
            <v>Brampton, Ontario, Canada</v>
          </cell>
          <cell r="E110">
            <v>394</v>
          </cell>
          <cell r="F110">
            <v>58</v>
          </cell>
          <cell r="G110">
            <v>166.09700000000001</v>
          </cell>
          <cell r="H110">
            <v>128.649</v>
          </cell>
          <cell r="I110">
            <v>64.183899999999994</v>
          </cell>
          <cell r="J110">
            <v>166.09700000000001</v>
          </cell>
          <cell r="K110">
            <v>42.141399999999997</v>
          </cell>
          <cell r="L110">
            <v>56.100700000000003</v>
          </cell>
          <cell r="M110">
            <v>113.13800000000001</v>
          </cell>
          <cell r="N110">
            <v>108.831</v>
          </cell>
        </row>
        <row r="111">
          <cell r="A111" t="str">
            <v>1104Z</v>
          </cell>
          <cell r="B111" t="str">
            <v>Discobots ζ - 🍁 #PrayForThomas2k16</v>
          </cell>
          <cell r="C111" t="str">
            <v>Brampton Robotics Education</v>
          </cell>
          <cell r="D111" t="str">
            <v>Brampton, Ontario, Canada</v>
          </cell>
          <cell r="E111">
            <v>425</v>
          </cell>
          <cell r="F111">
            <v>280</v>
          </cell>
          <cell r="G111">
            <v>168.84700000000001</v>
          </cell>
          <cell r="H111">
            <v>136.28100000000001</v>
          </cell>
          <cell r="I111">
            <v>168.84700000000001</v>
          </cell>
          <cell r="J111">
            <v>130.80600000000001</v>
          </cell>
          <cell r="K111">
            <v>144.53</v>
          </cell>
          <cell r="L111">
            <v>149.482</v>
          </cell>
          <cell r="M111">
            <v>114.66200000000001</v>
          </cell>
          <cell r="N111">
            <v>81.417500000000004</v>
          </cell>
        </row>
        <row r="112">
          <cell r="A112" t="str">
            <v>1114M</v>
          </cell>
          <cell r="B112" t="str">
            <v>Simbotics</v>
          </cell>
          <cell r="C112" t="str">
            <v>Governor Simcoe Secondary School</v>
          </cell>
          <cell r="D112" t="str">
            <v>St Catharines, Ontario, Canada</v>
          </cell>
          <cell r="E112">
            <v>320</v>
          </cell>
          <cell r="F112">
            <v>291</v>
          </cell>
          <cell r="G112">
            <v>132.738</v>
          </cell>
          <cell r="H112">
            <v>123.08199999999999</v>
          </cell>
          <cell r="I112">
            <v>31.989899999999999</v>
          </cell>
          <cell r="J112">
            <v>132.738</v>
          </cell>
        </row>
        <row r="113">
          <cell r="A113" t="str">
            <v>1114Z</v>
          </cell>
          <cell r="B113" t="str">
            <v>Simbotics</v>
          </cell>
          <cell r="C113" t="str">
            <v>Governor Simcoe Secondary School</v>
          </cell>
          <cell r="D113" t="str">
            <v>St Catharines, Ontario, Canada</v>
          </cell>
          <cell r="E113">
            <v>224</v>
          </cell>
          <cell r="F113">
            <v>115</v>
          </cell>
          <cell r="G113">
            <v>121.893</v>
          </cell>
          <cell r="H113">
            <v>121.893</v>
          </cell>
          <cell r="I113">
            <v>94.248199999999997</v>
          </cell>
          <cell r="J113">
            <v>113.78400000000001</v>
          </cell>
        </row>
        <row r="114">
          <cell r="A114" t="str">
            <v>1138</v>
          </cell>
          <cell r="B114" t="str">
            <v>Eagle Engineering</v>
          </cell>
          <cell r="C114" t="str">
            <v>Chaminade College Preparatory</v>
          </cell>
          <cell r="D114" t="str">
            <v>West Hills, California, United States</v>
          </cell>
          <cell r="E114">
            <v>140</v>
          </cell>
          <cell r="F114">
            <v>88</v>
          </cell>
          <cell r="G114">
            <v>78.505300000000005</v>
          </cell>
          <cell r="H114">
            <v>58.832500000000003</v>
          </cell>
          <cell r="I114">
            <v>55.856200000000001</v>
          </cell>
          <cell r="J114">
            <v>61.929699999999997</v>
          </cell>
          <cell r="K114">
            <v>78.505300000000005</v>
          </cell>
          <cell r="L114">
            <v>27.729500000000002</v>
          </cell>
          <cell r="M114">
            <v>26.423100000000002</v>
          </cell>
        </row>
        <row r="115">
          <cell r="A115" t="str">
            <v>1138B</v>
          </cell>
          <cell r="B115" t="str">
            <v>Eagle Engineering</v>
          </cell>
          <cell r="C115" t="str">
            <v>Chaminade College Preparatory</v>
          </cell>
          <cell r="D115" t="str">
            <v>West Hills, California, United States</v>
          </cell>
          <cell r="E115">
            <v>311</v>
          </cell>
          <cell r="F115">
            <v>151</v>
          </cell>
          <cell r="G115">
            <v>138.36699999999999</v>
          </cell>
          <cell r="H115">
            <v>138.36699999999999</v>
          </cell>
          <cell r="I115">
            <v>55.503399999999999</v>
          </cell>
          <cell r="J115">
            <v>114.462</v>
          </cell>
          <cell r="K115">
            <v>76.767399999999995</v>
          </cell>
          <cell r="L115">
            <v>85.537400000000005</v>
          </cell>
        </row>
        <row r="116">
          <cell r="A116" t="str">
            <v>1138G</v>
          </cell>
          <cell r="B116" t="str">
            <v>Eagle Engineering</v>
          </cell>
          <cell r="C116" t="str">
            <v>Chaminade College Preparatory</v>
          </cell>
          <cell r="D116" t="str">
            <v>West Hills, California, United States</v>
          </cell>
          <cell r="E116">
            <v>96</v>
          </cell>
          <cell r="F116">
            <v>70</v>
          </cell>
          <cell r="G116">
            <v>56.688899999999997</v>
          </cell>
          <cell r="H116">
            <v>42.701900000000002</v>
          </cell>
          <cell r="I116">
            <v>46.104999999999997</v>
          </cell>
          <cell r="J116">
            <v>54.456600000000002</v>
          </cell>
          <cell r="K116">
            <v>56.688899999999997</v>
          </cell>
          <cell r="L116">
            <v>19.660799999999998</v>
          </cell>
          <cell r="M116">
            <v>11.702</v>
          </cell>
        </row>
        <row r="117">
          <cell r="A117" t="str">
            <v>1200F</v>
          </cell>
          <cell r="B117" t="str">
            <v>1200F Z-Ballers</v>
          </cell>
          <cell r="C117" t="str">
            <v>St. Mary Catholic High School</v>
          </cell>
          <cell r="D117" t="str">
            <v>Neenah, Wisconsin, United States</v>
          </cell>
          <cell r="E117">
            <v>318</v>
          </cell>
          <cell r="F117">
            <v>155</v>
          </cell>
          <cell r="G117">
            <v>87.565399999999997</v>
          </cell>
          <cell r="H117">
            <v>86.377499999999998</v>
          </cell>
          <cell r="I117">
            <v>71.084500000000006</v>
          </cell>
          <cell r="J117">
            <v>83.334100000000007</v>
          </cell>
          <cell r="K117">
            <v>64.665000000000006</v>
          </cell>
          <cell r="L117">
            <v>87.565399999999997</v>
          </cell>
          <cell r="M117">
            <v>54.281500000000001</v>
          </cell>
          <cell r="N117">
            <v>79.992599999999996</v>
          </cell>
          <cell r="O117">
            <v>47.991399999999999</v>
          </cell>
          <cell r="P117">
            <v>86.453500000000005</v>
          </cell>
          <cell r="Q117">
            <v>49.219900000000003</v>
          </cell>
          <cell r="R117">
            <v>0</v>
          </cell>
        </row>
        <row r="118">
          <cell r="A118" t="str">
            <v>1233A</v>
          </cell>
          <cell r="B118" t="str">
            <v>UnderDogs</v>
          </cell>
          <cell r="C118" t="str">
            <v>Crown Point High School</v>
          </cell>
          <cell r="D118" t="str">
            <v>Crown Point, Indiana, United States</v>
          </cell>
          <cell r="E118">
            <v>236</v>
          </cell>
          <cell r="F118">
            <v>141</v>
          </cell>
          <cell r="G118">
            <v>109.902</v>
          </cell>
          <cell r="H118">
            <v>92.043300000000002</v>
          </cell>
          <cell r="I118">
            <v>63.863900000000001</v>
          </cell>
          <cell r="J118">
            <v>109.902</v>
          </cell>
          <cell r="K118">
            <v>89.919499999999999</v>
          </cell>
          <cell r="L118">
            <v>53.512300000000003</v>
          </cell>
          <cell r="M118">
            <v>84.398300000000006</v>
          </cell>
          <cell r="N118">
            <v>54.042400000000001</v>
          </cell>
          <cell r="O118">
            <v>68.332800000000006</v>
          </cell>
          <cell r="P118">
            <v>54.723300000000002</v>
          </cell>
          <cell r="Q118">
            <v>51.338700000000003</v>
          </cell>
        </row>
        <row r="119">
          <cell r="A119" t="str">
            <v>1233C</v>
          </cell>
          <cell r="B119" t="str">
            <v>UnderDogs</v>
          </cell>
          <cell r="C119" t="str">
            <v>Crown Point High School</v>
          </cell>
          <cell r="D119" t="str">
            <v>Crown Point, Indiana, United States</v>
          </cell>
          <cell r="E119">
            <v>109</v>
          </cell>
          <cell r="F119">
            <v>61</v>
          </cell>
          <cell r="G119">
            <v>95.705500000000001</v>
          </cell>
          <cell r="H119">
            <v>86.209500000000006</v>
          </cell>
          <cell r="I119">
            <v>95.705500000000001</v>
          </cell>
          <cell r="J119">
            <v>65.963999999999999</v>
          </cell>
          <cell r="K119">
            <v>18.799900000000001</v>
          </cell>
          <cell r="L119">
            <v>72.849400000000003</v>
          </cell>
          <cell r="M119">
            <v>61.650500000000001</v>
          </cell>
          <cell r="N119">
            <v>15.347899999999999</v>
          </cell>
          <cell r="O119">
            <v>39.049399999999999</v>
          </cell>
          <cell r="P119">
            <v>13.045500000000001</v>
          </cell>
          <cell r="Q119">
            <v>-3.6117400000000002</v>
          </cell>
          <cell r="R119">
            <v>2.1463899999999998</v>
          </cell>
        </row>
        <row r="120">
          <cell r="A120" t="str">
            <v>1267C</v>
          </cell>
          <cell r="B120" t="str">
            <v>Knights</v>
          </cell>
          <cell r="C120" t="str">
            <v>Delaware County Christian School</v>
          </cell>
          <cell r="D120" t="str">
            <v>Newtown Square, Pennsylvania, United States</v>
          </cell>
          <cell r="E120">
            <v>53</v>
          </cell>
          <cell r="F120">
            <v>164</v>
          </cell>
          <cell r="G120">
            <v>87.575199999999995</v>
          </cell>
          <cell r="H120">
            <v>51.844099999999997</v>
          </cell>
          <cell r="I120">
            <v>54.921500000000002</v>
          </cell>
          <cell r="J120">
            <v>28.636199999999999</v>
          </cell>
          <cell r="K120">
            <v>87.575199999999995</v>
          </cell>
          <cell r="L120">
            <v>44.664400000000001</v>
          </cell>
          <cell r="M120">
            <v>0</v>
          </cell>
          <cell r="N120">
            <v>-13.464499999999999</v>
          </cell>
          <cell r="O120">
            <v>-8.0230300000000004E-2</v>
          </cell>
        </row>
        <row r="121">
          <cell r="A121" t="str">
            <v>1320A</v>
          </cell>
          <cell r="B121" t="str">
            <v>Tucker High Robotigers</v>
          </cell>
          <cell r="C121" t="str">
            <v>Tucker High School - DeKalb County School Sytem</v>
          </cell>
          <cell r="D121" t="str">
            <v>Tucker, Georgia, United States</v>
          </cell>
          <cell r="E121">
            <v>220</v>
          </cell>
          <cell r="F121">
            <v>155</v>
          </cell>
          <cell r="G121">
            <v>119.845</v>
          </cell>
          <cell r="H121">
            <v>106.782</v>
          </cell>
          <cell r="I121">
            <v>119.845</v>
          </cell>
          <cell r="J121">
            <v>103.333</v>
          </cell>
          <cell r="K121">
            <v>49.465200000000003</v>
          </cell>
          <cell r="L121">
            <v>69.134799999999998</v>
          </cell>
          <cell r="M121">
            <v>47.433399999999999</v>
          </cell>
        </row>
        <row r="122">
          <cell r="A122" t="str">
            <v>1320C</v>
          </cell>
          <cell r="B122" t="str">
            <v>Tucker High Robotigers</v>
          </cell>
          <cell r="C122" t="str">
            <v>Tucker High School - DeKalb County School Sytem</v>
          </cell>
          <cell r="D122" t="str">
            <v>Tucker, Georgia, United States</v>
          </cell>
          <cell r="E122">
            <v>266</v>
          </cell>
          <cell r="F122">
            <v>173</v>
          </cell>
          <cell r="G122">
            <v>95.037099999999995</v>
          </cell>
          <cell r="H122">
            <v>64.242500000000007</v>
          </cell>
          <cell r="I122">
            <v>61.619700000000002</v>
          </cell>
          <cell r="J122">
            <v>72.203000000000003</v>
          </cell>
          <cell r="K122">
            <v>95.037099999999995</v>
          </cell>
          <cell r="L122">
            <v>80.783900000000003</v>
          </cell>
          <cell r="M122">
            <v>38.0137</v>
          </cell>
        </row>
        <row r="123">
          <cell r="A123" t="str">
            <v>1320D</v>
          </cell>
          <cell r="B123" t="str">
            <v>Tucker High Robotigers</v>
          </cell>
          <cell r="C123" t="str">
            <v>Tucker High School - DeKalb County School Sytem</v>
          </cell>
          <cell r="D123" t="str">
            <v>Tucker, Georgia, United States</v>
          </cell>
          <cell r="E123">
            <v>234</v>
          </cell>
          <cell r="F123">
            <v>57</v>
          </cell>
          <cell r="G123">
            <v>47.071399999999997</v>
          </cell>
          <cell r="H123">
            <v>45.526299999999999</v>
          </cell>
          <cell r="I123">
            <v>47.071399999999997</v>
          </cell>
          <cell r="J123">
            <v>15.896100000000001</v>
          </cell>
          <cell r="K123">
            <v>16.486899999999999</v>
          </cell>
          <cell r="L123">
            <v>13.768700000000001</v>
          </cell>
        </row>
        <row r="124">
          <cell r="A124" t="str">
            <v>1344</v>
          </cell>
          <cell r="B124" t="str">
            <v>James Ford Rhodes</v>
          </cell>
          <cell r="C124" t="str">
            <v>James Ford Rhodes</v>
          </cell>
          <cell r="D124" t="str">
            <v>Cleveland, Ohio, United States</v>
          </cell>
          <cell r="E124">
            <v>216</v>
          </cell>
          <cell r="F124">
            <v>89</v>
          </cell>
          <cell r="G124">
            <v>119.217</v>
          </cell>
          <cell r="H124">
            <v>85.357799999999997</v>
          </cell>
          <cell r="I124">
            <v>119.217</v>
          </cell>
          <cell r="J124">
            <v>78.787300000000002</v>
          </cell>
          <cell r="K124">
            <v>70.790800000000004</v>
          </cell>
          <cell r="L124">
            <v>53.155900000000003</v>
          </cell>
          <cell r="M124">
            <v>12.987299999999999</v>
          </cell>
        </row>
        <row r="125">
          <cell r="A125" t="str">
            <v>1344B</v>
          </cell>
          <cell r="B125" t="str">
            <v>James Ford Rhodes</v>
          </cell>
          <cell r="C125" t="str">
            <v>James Ford Rhodes</v>
          </cell>
          <cell r="D125" t="str">
            <v>Cleveland, Ohio, United States</v>
          </cell>
          <cell r="E125">
            <v>285</v>
          </cell>
          <cell r="F125">
            <v>161</v>
          </cell>
          <cell r="G125">
            <v>138.44200000000001</v>
          </cell>
          <cell r="H125">
            <v>138.44200000000001</v>
          </cell>
          <cell r="I125">
            <v>50.540300000000002</v>
          </cell>
          <cell r="J125">
            <v>23.257999999999999</v>
          </cell>
        </row>
        <row r="126">
          <cell r="A126" t="str">
            <v>1353A</v>
          </cell>
          <cell r="B126" t="str">
            <v>Robodalers</v>
          </cell>
          <cell r="C126" t="str">
            <v>Farmingdale High School</v>
          </cell>
          <cell r="D126" t="str">
            <v>Farmingdale, New York, United States</v>
          </cell>
          <cell r="E126">
            <v>243</v>
          </cell>
          <cell r="F126">
            <v>136</v>
          </cell>
          <cell r="G126">
            <v>103.46299999999999</v>
          </cell>
          <cell r="H126">
            <v>103.46299999999999</v>
          </cell>
          <cell r="I126">
            <v>80.349999999999994</v>
          </cell>
          <cell r="J126">
            <v>91.954700000000003</v>
          </cell>
          <cell r="K126">
            <v>83.2119</v>
          </cell>
          <cell r="L126">
            <v>6.4713700000000003</v>
          </cell>
          <cell r="M126">
            <v>15.527200000000001</v>
          </cell>
        </row>
        <row r="127">
          <cell r="A127" t="str">
            <v>1356B</v>
          </cell>
          <cell r="B127" t="str">
            <v>Parkview Panthers Team B</v>
          </cell>
          <cell r="C127" t="str">
            <v>Parkview High School - Gwinnett</v>
          </cell>
          <cell r="D127" t="str">
            <v>Lilburn, Georgia, United States</v>
          </cell>
          <cell r="E127">
            <v>303</v>
          </cell>
          <cell r="F127">
            <v>10</v>
          </cell>
          <cell r="G127">
            <v>94.680400000000006</v>
          </cell>
          <cell r="H127">
            <v>94.680400000000006</v>
          </cell>
          <cell r="I127">
            <v>38.5809</v>
          </cell>
          <cell r="J127">
            <v>37.7209</v>
          </cell>
          <cell r="K127">
            <v>46.5047</v>
          </cell>
          <cell r="L127">
            <v>58.5548</v>
          </cell>
          <cell r="M127">
            <v>19.010200000000001</v>
          </cell>
          <cell r="N127">
            <v>9.5456699999999994</v>
          </cell>
        </row>
        <row r="128">
          <cell r="A128" t="str">
            <v>1356C</v>
          </cell>
          <cell r="B128" t="str">
            <v>Parkview Panthers Team C</v>
          </cell>
          <cell r="C128" t="str">
            <v>Parkview High School - Gwinnett</v>
          </cell>
          <cell r="D128" t="str">
            <v>Lilburn, Georgia, United States</v>
          </cell>
          <cell r="E128">
            <v>298</v>
          </cell>
          <cell r="F128">
            <v>150</v>
          </cell>
          <cell r="G128">
            <v>124.67100000000001</v>
          </cell>
          <cell r="H128">
            <v>112.67</v>
          </cell>
          <cell r="I128">
            <v>124.67100000000001</v>
          </cell>
          <cell r="J128">
            <v>96.465599999999995</v>
          </cell>
          <cell r="K128">
            <v>54.965600000000002</v>
          </cell>
          <cell r="L128">
            <v>25.523800000000001</v>
          </cell>
          <cell r="M128">
            <v>54.368499999999997</v>
          </cell>
          <cell r="N128">
            <v>44.743699999999997</v>
          </cell>
        </row>
        <row r="129">
          <cell r="A129" t="str">
            <v>1366</v>
          </cell>
          <cell r="B129" t="str">
            <v>Berkner Fearless Robotics</v>
          </cell>
          <cell r="C129" t="str">
            <v>Berkner STEM Academy</v>
          </cell>
          <cell r="D129" t="str">
            <v>Richardson, Texas, United States</v>
          </cell>
          <cell r="E129">
            <v>330</v>
          </cell>
          <cell r="F129">
            <v>129</v>
          </cell>
          <cell r="G129">
            <v>181.03700000000001</v>
          </cell>
          <cell r="H129">
            <v>158.482</v>
          </cell>
          <cell r="I129">
            <v>181.03700000000001</v>
          </cell>
          <cell r="J129">
            <v>108.468</v>
          </cell>
          <cell r="K129">
            <v>80.251000000000005</v>
          </cell>
        </row>
        <row r="130">
          <cell r="A130" t="str">
            <v>1390</v>
          </cell>
          <cell r="B130" t="str">
            <v>Omicron Theta</v>
          </cell>
          <cell r="C130" t="str">
            <v>Galactic LTD Robotics</v>
          </cell>
          <cell r="D130" t="str">
            <v>El Segundo, California, United States</v>
          </cell>
          <cell r="E130">
            <v>305</v>
          </cell>
          <cell r="F130">
            <v>115</v>
          </cell>
          <cell r="G130">
            <v>127.878</v>
          </cell>
          <cell r="H130">
            <v>127.878</v>
          </cell>
          <cell r="I130">
            <v>101.205</v>
          </cell>
          <cell r="J130">
            <v>63.671399999999998</v>
          </cell>
          <cell r="K130">
            <v>77.600700000000003</v>
          </cell>
          <cell r="L130">
            <v>69.152199999999993</v>
          </cell>
          <cell r="M130">
            <v>106.81100000000001</v>
          </cell>
          <cell r="N130">
            <v>121.56399999999999</v>
          </cell>
          <cell r="O130">
            <v>67.6995</v>
          </cell>
          <cell r="P130">
            <v>59.13</v>
          </cell>
          <cell r="Q130">
            <v>88.253799999999998</v>
          </cell>
          <cell r="R130">
            <v>115.622</v>
          </cell>
        </row>
        <row r="131">
          <cell r="A131" t="str">
            <v>1404B</v>
          </cell>
          <cell r="B131" t="str">
            <v>Shocks - 🍁 #OMG #DiscoGotShocked</v>
          </cell>
          <cell r="C131" t="str">
            <v>Dr. Norman Bethune C.I.</v>
          </cell>
          <cell r="D131" t="str">
            <v>Toronto, Ontario, Canada</v>
          </cell>
          <cell r="E131">
            <v>435</v>
          </cell>
          <cell r="F131">
            <v>307</v>
          </cell>
          <cell r="G131">
            <v>182.745</v>
          </cell>
          <cell r="H131">
            <v>156.59800000000001</v>
          </cell>
          <cell r="I131">
            <v>182.745</v>
          </cell>
          <cell r="J131">
            <v>175.72</v>
          </cell>
          <cell r="K131">
            <v>141.48099999999999</v>
          </cell>
          <cell r="L131">
            <v>99.986800000000002</v>
          </cell>
          <cell r="M131">
            <v>142.46899999999999</v>
          </cell>
        </row>
        <row r="132">
          <cell r="A132" t="str">
            <v>1410L</v>
          </cell>
          <cell r="B132" t="str">
            <v>Utopic Unicorns</v>
          </cell>
          <cell r="C132" t="str">
            <v>Newport and Interlake HS</v>
          </cell>
          <cell r="D132" t="str">
            <v>Bellevue, Washington, United States</v>
          </cell>
          <cell r="E132">
            <v>280</v>
          </cell>
          <cell r="F132">
            <v>295</v>
          </cell>
          <cell r="G132">
            <v>119.976</v>
          </cell>
          <cell r="H132">
            <v>114.49</v>
          </cell>
          <cell r="I132">
            <v>96.1798</v>
          </cell>
          <cell r="J132">
            <v>108.34099999999999</v>
          </cell>
          <cell r="K132">
            <v>119.976</v>
          </cell>
          <cell r="L132">
            <v>36.528100000000002</v>
          </cell>
          <cell r="M132">
            <v>52.006999999999998</v>
          </cell>
        </row>
        <row r="133">
          <cell r="A133" t="str">
            <v>1429P</v>
          </cell>
          <cell r="B133" t="str">
            <v>KAOS   ►ö</v>
          </cell>
          <cell r="C133" t="str">
            <v>Galena Park High School</v>
          </cell>
          <cell r="D133" t="str">
            <v>Galena Park, Texas, United States</v>
          </cell>
          <cell r="E133">
            <v>4</v>
          </cell>
          <cell r="F133">
            <v>0</v>
          </cell>
          <cell r="G133">
            <v>116.209</v>
          </cell>
          <cell r="H133">
            <v>116.209</v>
          </cell>
          <cell r="I133">
            <v>39.122500000000002</v>
          </cell>
          <cell r="J133">
            <v>38.046700000000001</v>
          </cell>
          <cell r="K133">
            <v>11.446</v>
          </cell>
        </row>
        <row r="134">
          <cell r="A134" t="str">
            <v>1460A</v>
          </cell>
          <cell r="B134" t="str">
            <v>THE LIBERATORRRR</v>
          </cell>
          <cell r="C134" t="str">
            <v>Sandy Robotics Club</v>
          </cell>
          <cell r="D134" t="str">
            <v>Sandy, Oregon, United States</v>
          </cell>
          <cell r="E134">
            <v>0</v>
          </cell>
          <cell r="F134">
            <v>0</v>
          </cell>
          <cell r="G134">
            <v>24.678100000000001</v>
          </cell>
          <cell r="H134">
            <v>12.748900000000001</v>
          </cell>
          <cell r="I134">
            <v>24.678100000000001</v>
          </cell>
          <cell r="J134">
            <v>17.5943</v>
          </cell>
          <cell r="K134">
            <v>9.1215799999999998</v>
          </cell>
        </row>
        <row r="135">
          <cell r="A135" t="str">
            <v>1460B</v>
          </cell>
          <cell r="B135" t="str">
            <v>Helix</v>
          </cell>
          <cell r="C135" t="str">
            <v>Sandy Robotics Club</v>
          </cell>
          <cell r="D135" t="str">
            <v>Sandy, Oregon, United States</v>
          </cell>
          <cell r="E135">
            <v>182</v>
          </cell>
          <cell r="F135">
            <v>71</v>
          </cell>
          <cell r="G135">
            <v>111.279</v>
          </cell>
          <cell r="H135">
            <v>81.947999999999993</v>
          </cell>
          <cell r="I135">
            <v>93.352000000000004</v>
          </cell>
          <cell r="J135">
            <v>93.457499999999996</v>
          </cell>
          <cell r="K135">
            <v>88.900999999999996</v>
          </cell>
          <cell r="L135">
            <v>111.279</v>
          </cell>
          <cell r="M135">
            <v>92.245000000000005</v>
          </cell>
        </row>
        <row r="136">
          <cell r="A136" t="str">
            <v>1460J</v>
          </cell>
          <cell r="B136" t="str">
            <v>Zeus</v>
          </cell>
          <cell r="C136" t="str">
            <v>Sandy Robotics Club</v>
          </cell>
          <cell r="D136" t="str">
            <v>Sandy, Oregon, United States</v>
          </cell>
          <cell r="E136">
            <v>131</v>
          </cell>
          <cell r="F136">
            <v>223</v>
          </cell>
          <cell r="G136">
            <v>34.622</v>
          </cell>
          <cell r="H136">
            <v>17.127800000000001</v>
          </cell>
          <cell r="I136">
            <v>29.273800000000001</v>
          </cell>
          <cell r="J136">
            <v>34.622</v>
          </cell>
          <cell r="K136">
            <v>29.892800000000001</v>
          </cell>
          <cell r="L136">
            <v>19.0318</v>
          </cell>
        </row>
        <row r="137">
          <cell r="A137" t="str">
            <v>1492X</v>
          </cell>
          <cell r="B137" t="str">
            <v>W.A.S.A.B.I.</v>
          </cell>
          <cell r="C137" t="str">
            <v>Big Brains Education</v>
          </cell>
          <cell r="D137" t="str">
            <v>Bellevue, Washington, United States</v>
          </cell>
          <cell r="E137">
            <v>274</v>
          </cell>
          <cell r="F137">
            <v>111</v>
          </cell>
          <cell r="G137">
            <v>81.234700000000004</v>
          </cell>
          <cell r="H137">
            <v>35.572200000000002</v>
          </cell>
          <cell r="I137">
            <v>81.234700000000004</v>
          </cell>
          <cell r="J137">
            <v>62.0122</v>
          </cell>
          <cell r="K137">
            <v>55.885599999999997</v>
          </cell>
          <cell r="L137">
            <v>19.780799999999999</v>
          </cell>
          <cell r="M137">
            <v>35.318399999999997</v>
          </cell>
          <cell r="N137">
            <v>15.5799</v>
          </cell>
        </row>
        <row r="138">
          <cell r="A138" t="str">
            <v>1492Y</v>
          </cell>
          <cell r="B138" t="str">
            <v>W.A.S.A.B.I.</v>
          </cell>
          <cell r="C138" t="str">
            <v>Big Brains Education</v>
          </cell>
          <cell r="D138" t="str">
            <v>Bellevue, Washington, United States</v>
          </cell>
          <cell r="E138">
            <v>219</v>
          </cell>
          <cell r="F138">
            <v>240</v>
          </cell>
          <cell r="G138">
            <v>102.09699999999999</v>
          </cell>
          <cell r="H138">
            <v>70.155600000000007</v>
          </cell>
          <cell r="I138">
            <v>53.765999999999998</v>
          </cell>
          <cell r="J138">
            <v>60.601999999999997</v>
          </cell>
          <cell r="K138">
            <v>62.368899999999996</v>
          </cell>
          <cell r="L138">
            <v>102.09699999999999</v>
          </cell>
          <cell r="M138">
            <v>67.354699999999994</v>
          </cell>
          <cell r="N138">
            <v>83.266800000000003</v>
          </cell>
        </row>
        <row r="139">
          <cell r="A139" t="str">
            <v>1497K</v>
          </cell>
          <cell r="B139" t="str">
            <v>Design Academy</v>
          </cell>
          <cell r="C139" t="str">
            <v>Utah State University//Design Academy</v>
          </cell>
          <cell r="D139" t="str">
            <v>Logan, Utah, United States</v>
          </cell>
          <cell r="E139">
            <v>229</v>
          </cell>
          <cell r="F139">
            <v>326</v>
          </cell>
          <cell r="G139">
            <v>157.73699999999999</v>
          </cell>
          <cell r="H139">
            <v>109.684</v>
          </cell>
          <cell r="I139">
            <v>60.592399999999998</v>
          </cell>
          <cell r="J139">
            <v>157.73699999999999</v>
          </cell>
          <cell r="K139">
            <v>138.79900000000001</v>
          </cell>
          <cell r="L139">
            <v>80.434299999999993</v>
          </cell>
          <cell r="M139">
            <v>104.747</v>
          </cell>
          <cell r="N139">
            <v>49.601700000000001</v>
          </cell>
          <cell r="O139">
            <v>37.124400000000001</v>
          </cell>
          <cell r="P139">
            <v>26.6127</v>
          </cell>
        </row>
        <row r="140">
          <cell r="A140" t="str">
            <v>1497W</v>
          </cell>
          <cell r="B140" t="str">
            <v>Design Academy</v>
          </cell>
          <cell r="C140" t="str">
            <v>Utah State University//Design Academy</v>
          </cell>
          <cell r="D140" t="str">
            <v>Logan, Utah, United States</v>
          </cell>
          <cell r="E140">
            <v>0</v>
          </cell>
          <cell r="F140">
            <v>0</v>
          </cell>
          <cell r="G140">
            <v>108.61199999999999</v>
          </cell>
          <cell r="H140">
            <v>59.892600000000002</v>
          </cell>
          <cell r="I140">
            <v>105.264</v>
          </cell>
          <cell r="J140">
            <v>89.701800000000006</v>
          </cell>
          <cell r="K140">
            <v>64.759299999999996</v>
          </cell>
          <cell r="L140">
            <v>82.325100000000006</v>
          </cell>
          <cell r="M140">
            <v>108.61199999999999</v>
          </cell>
          <cell r="N140">
            <v>44.564900000000002</v>
          </cell>
        </row>
        <row r="141">
          <cell r="A141" t="str">
            <v>1526B</v>
          </cell>
          <cell r="B141" t="str">
            <v>DuPage-Kane STEM-VEX Robo</v>
          </cell>
          <cell r="C141" t="str">
            <v>Bartlett High School</v>
          </cell>
          <cell r="D141" t="str">
            <v>Bartlett, Illinois, United States</v>
          </cell>
          <cell r="E141">
            <v>316</v>
          </cell>
          <cell r="F141">
            <v>231</v>
          </cell>
          <cell r="G141">
            <v>113.633</v>
          </cell>
          <cell r="H141">
            <v>113.633</v>
          </cell>
          <cell r="I141">
            <v>66.328900000000004</v>
          </cell>
          <cell r="J141">
            <v>22.671099999999999</v>
          </cell>
        </row>
        <row r="142">
          <cell r="A142" t="str">
            <v>1575A</v>
          </cell>
          <cell r="B142" t="str">
            <v>Athena</v>
          </cell>
          <cell r="C142" t="str">
            <v>Woodbridge Senior High School</v>
          </cell>
          <cell r="D142" t="str">
            <v>Woodbridge, Virginia, United States</v>
          </cell>
          <cell r="E142">
            <v>271</v>
          </cell>
          <cell r="F142">
            <v>250</v>
          </cell>
          <cell r="G142">
            <v>149.38300000000001</v>
          </cell>
          <cell r="H142">
            <v>102.536</v>
          </cell>
          <cell r="I142">
            <v>113.19199999999999</v>
          </cell>
          <cell r="J142">
            <v>149.38300000000001</v>
          </cell>
          <cell r="K142">
            <v>90.935000000000002</v>
          </cell>
          <cell r="L142">
            <v>41.176499999999997</v>
          </cell>
          <cell r="M142">
            <v>65.584900000000005</v>
          </cell>
          <cell r="N142">
            <v>49.987400000000001</v>
          </cell>
        </row>
        <row r="143">
          <cell r="A143" t="str">
            <v>1575B</v>
          </cell>
          <cell r="B143" t="str">
            <v>Bifrost</v>
          </cell>
          <cell r="C143" t="str">
            <v>Woodbridge Senior High School</v>
          </cell>
          <cell r="D143" t="str">
            <v>Woodbridge, Virginia, United States</v>
          </cell>
          <cell r="E143">
            <v>251</v>
          </cell>
          <cell r="F143">
            <v>153</v>
          </cell>
          <cell r="G143">
            <v>102.548</v>
          </cell>
          <cell r="H143">
            <v>90.414100000000005</v>
          </cell>
          <cell r="I143">
            <v>75.868399999999994</v>
          </cell>
          <cell r="J143">
            <v>47.656100000000002</v>
          </cell>
          <cell r="K143">
            <v>102.548</v>
          </cell>
          <cell r="L143">
            <v>52.654699999999998</v>
          </cell>
          <cell r="M143">
            <v>25.3125</v>
          </cell>
          <cell r="N143">
            <v>21.375599999999999</v>
          </cell>
        </row>
        <row r="144">
          <cell r="A144" t="str">
            <v>1575C</v>
          </cell>
          <cell r="B144" t="str">
            <v>Carnage</v>
          </cell>
          <cell r="C144" t="str">
            <v>Woodbridge Senior High School</v>
          </cell>
          <cell r="D144" t="str">
            <v>Woodbridge, Virginia, United States</v>
          </cell>
          <cell r="E144">
            <v>107</v>
          </cell>
          <cell r="F144">
            <v>0</v>
          </cell>
          <cell r="G144">
            <v>54.712000000000003</v>
          </cell>
          <cell r="H144">
            <v>54.712000000000003</v>
          </cell>
          <cell r="I144">
            <v>20.7425</v>
          </cell>
          <cell r="J144">
            <v>42.848300000000002</v>
          </cell>
          <cell r="K144">
            <v>34.240900000000003</v>
          </cell>
          <cell r="L144">
            <v>17.9329</v>
          </cell>
          <cell r="M144">
            <v>44.639200000000002</v>
          </cell>
          <cell r="N144">
            <v>34.584000000000003</v>
          </cell>
        </row>
        <row r="145">
          <cell r="A145" t="str">
            <v>1575X</v>
          </cell>
          <cell r="B145" t="str">
            <v>Xcaliber</v>
          </cell>
          <cell r="C145" t="str">
            <v>Woodbridge Senior High School</v>
          </cell>
          <cell r="D145" t="str">
            <v>Woodbridge, Virginia, United States</v>
          </cell>
          <cell r="E145">
            <v>265</v>
          </cell>
          <cell r="F145">
            <v>194</v>
          </cell>
          <cell r="G145">
            <v>114.31699999999999</v>
          </cell>
          <cell r="H145">
            <v>114.31699999999999</v>
          </cell>
          <cell r="I145">
            <v>79.071700000000007</v>
          </cell>
          <cell r="J145">
            <v>72.951800000000006</v>
          </cell>
          <cell r="K145">
            <v>73.399100000000004</v>
          </cell>
          <cell r="L145">
            <v>62.232399999999998</v>
          </cell>
          <cell r="M145">
            <v>77.787300000000002</v>
          </cell>
          <cell r="N145">
            <v>32.7714</v>
          </cell>
        </row>
        <row r="146">
          <cell r="A146" t="str">
            <v>1588</v>
          </cell>
          <cell r="B146" t="str">
            <v>Sideways Minds</v>
          </cell>
          <cell r="C146" t="str">
            <v>Wood River High School</v>
          </cell>
          <cell r="D146" t="str">
            <v>Hailey, Idaho, United States</v>
          </cell>
          <cell r="E146">
            <v>122</v>
          </cell>
          <cell r="F146">
            <v>0</v>
          </cell>
          <cell r="G146">
            <v>103.292</v>
          </cell>
          <cell r="H146">
            <v>95.759799999999998</v>
          </cell>
          <cell r="I146">
            <v>102.164</v>
          </cell>
          <cell r="J146">
            <v>76.584999999999994</v>
          </cell>
          <cell r="K146">
            <v>103.292</v>
          </cell>
          <cell r="L146">
            <v>47.695599999999999</v>
          </cell>
          <cell r="M146">
            <v>49.120399999999997</v>
          </cell>
        </row>
        <row r="147">
          <cell r="A147" t="str">
            <v>1588B</v>
          </cell>
          <cell r="B147" t="str">
            <v>Wayne Enterprises</v>
          </cell>
          <cell r="C147" t="str">
            <v>Wood River High School</v>
          </cell>
          <cell r="D147" t="str">
            <v>Hailey, Idaho, United States</v>
          </cell>
          <cell r="E147">
            <v>0</v>
          </cell>
          <cell r="F147">
            <v>0</v>
          </cell>
          <cell r="G147">
            <v>118.71899999999999</v>
          </cell>
          <cell r="H147">
            <v>91.709299999999999</v>
          </cell>
          <cell r="I147">
            <v>103.608</v>
          </cell>
          <cell r="J147">
            <v>118.71899999999999</v>
          </cell>
          <cell r="K147">
            <v>76.202699999999993</v>
          </cell>
          <cell r="L147">
            <v>91.826700000000002</v>
          </cell>
          <cell r="M147">
            <v>38.032400000000003</v>
          </cell>
        </row>
        <row r="148">
          <cell r="A148" t="str">
            <v>1623A</v>
          </cell>
          <cell r="B148" t="str">
            <v>William Penn A</v>
          </cell>
          <cell r="C148" t="str">
            <v>William Penn High School</v>
          </cell>
          <cell r="D148" t="str">
            <v>New Castle, Delaware, United States</v>
          </cell>
          <cell r="E148">
            <v>0</v>
          </cell>
          <cell r="F148">
            <v>0</v>
          </cell>
          <cell r="G148">
            <v>4.9701899999999997</v>
          </cell>
          <cell r="H148">
            <v>4.9701899999999997</v>
          </cell>
        </row>
        <row r="149">
          <cell r="A149" t="str">
            <v>1670A</v>
          </cell>
          <cell r="B149" t="str">
            <v>The A-Team</v>
          </cell>
          <cell r="C149" t="str">
            <v>Calvert High School</v>
          </cell>
          <cell r="D149" t="str">
            <v>Prince Frederick, Maryland, United States</v>
          </cell>
          <cell r="E149">
            <v>132</v>
          </cell>
          <cell r="F149">
            <v>116</v>
          </cell>
          <cell r="G149">
            <v>94.677700000000002</v>
          </cell>
          <cell r="H149">
            <v>57.414000000000001</v>
          </cell>
          <cell r="I149">
            <v>73.281800000000004</v>
          </cell>
          <cell r="J149">
            <v>94.677700000000002</v>
          </cell>
        </row>
        <row r="150">
          <cell r="A150" t="str">
            <v>1727F</v>
          </cell>
          <cell r="B150" t="str">
            <v>REX</v>
          </cell>
          <cell r="C150" t="str">
            <v>Dulaney High School</v>
          </cell>
          <cell r="D150" t="str">
            <v>Timonium, Maryland, United States</v>
          </cell>
          <cell r="E150">
            <v>143</v>
          </cell>
          <cell r="F150">
            <v>91</v>
          </cell>
          <cell r="G150">
            <v>58.509599999999999</v>
          </cell>
          <cell r="H150">
            <v>55.409500000000001</v>
          </cell>
          <cell r="I150">
            <v>30.772200000000002</v>
          </cell>
          <cell r="J150">
            <v>58.509599999999999</v>
          </cell>
          <cell r="K150">
            <v>10.2341</v>
          </cell>
          <cell r="L150">
            <v>23.3721</v>
          </cell>
        </row>
        <row r="151">
          <cell r="A151" t="str">
            <v>1750</v>
          </cell>
          <cell r="B151" t="str">
            <v>Thunderstorm Robotics</v>
          </cell>
          <cell r="C151" t="str">
            <v>Thunderstorm Robotics</v>
          </cell>
          <cell r="D151" t="str">
            <v>Stillwater, Oklahoma, United States</v>
          </cell>
          <cell r="E151">
            <v>0</v>
          </cell>
          <cell r="F151">
            <v>0</v>
          </cell>
          <cell r="G151">
            <v>80.271000000000001</v>
          </cell>
          <cell r="H151">
            <v>60.142200000000003</v>
          </cell>
          <cell r="I151">
            <v>80.271000000000001</v>
          </cell>
          <cell r="J151">
            <v>73.493399999999994</v>
          </cell>
          <cell r="K151">
            <v>33.240299999999998</v>
          </cell>
          <cell r="L151">
            <v>18.136399999999998</v>
          </cell>
        </row>
        <row r="152">
          <cell r="A152" t="str">
            <v>1826</v>
          </cell>
          <cell r="B152" t="str">
            <v>The Fuse</v>
          </cell>
          <cell r="C152" t="str">
            <v>Faith Christian Academy</v>
          </cell>
          <cell r="D152" t="str">
            <v>Arvada, Colorado, United States</v>
          </cell>
          <cell r="E152">
            <v>286</v>
          </cell>
          <cell r="F152">
            <v>321</v>
          </cell>
          <cell r="G152">
            <v>117.806</v>
          </cell>
          <cell r="H152">
            <v>104.565</v>
          </cell>
          <cell r="I152">
            <v>113.861</v>
          </cell>
          <cell r="J152">
            <v>105.074</v>
          </cell>
          <cell r="K152">
            <v>117.806</v>
          </cell>
          <cell r="L152">
            <v>78.166799999999995</v>
          </cell>
        </row>
        <row r="153">
          <cell r="A153" t="str">
            <v>1841A</v>
          </cell>
          <cell r="B153" t="str">
            <v>Buff 'n Blue</v>
          </cell>
          <cell r="C153" t="str">
            <v>Punahou School</v>
          </cell>
          <cell r="D153" t="str">
            <v>Honolulu, Hawaii, United States</v>
          </cell>
          <cell r="E153">
            <v>67</v>
          </cell>
          <cell r="F153">
            <v>80</v>
          </cell>
          <cell r="G153">
            <v>83.081199999999995</v>
          </cell>
          <cell r="H153">
            <v>51.180999999999997</v>
          </cell>
          <cell r="I153">
            <v>83.081199999999995</v>
          </cell>
          <cell r="J153">
            <v>42.198700000000002</v>
          </cell>
        </row>
        <row r="154">
          <cell r="A154" t="str">
            <v>1879B</v>
          </cell>
          <cell r="B154" t="str">
            <v>Sultana Autoshop 1</v>
          </cell>
          <cell r="C154" t="str">
            <v>Sultana High School</v>
          </cell>
          <cell r="D154" t="str">
            <v>Hesperia, California, United States</v>
          </cell>
          <cell r="E154">
            <v>282</v>
          </cell>
          <cell r="F154">
            <v>20</v>
          </cell>
          <cell r="G154">
            <v>59.354599999999998</v>
          </cell>
          <cell r="H154">
            <v>49.929699999999997</v>
          </cell>
          <cell r="I154">
            <v>59.354599999999998</v>
          </cell>
          <cell r="J154">
            <v>19.422599999999999</v>
          </cell>
          <cell r="K154">
            <v>0</v>
          </cell>
        </row>
        <row r="155">
          <cell r="A155" t="str">
            <v>1900W</v>
          </cell>
          <cell r="B155" t="str">
            <v>Team GMA</v>
          </cell>
          <cell r="C155" t="str">
            <v>Woodward Academy</v>
          </cell>
          <cell r="D155" t="str">
            <v>College Park, Georgia, United States</v>
          </cell>
          <cell r="E155">
            <v>156</v>
          </cell>
          <cell r="F155">
            <v>118</v>
          </cell>
          <cell r="G155">
            <v>144.792</v>
          </cell>
          <cell r="H155">
            <v>144.792</v>
          </cell>
          <cell r="I155">
            <v>10.5136</v>
          </cell>
          <cell r="J155">
            <v>104.664</v>
          </cell>
        </row>
        <row r="156">
          <cell r="A156" t="str">
            <v>1925E</v>
          </cell>
          <cell r="B156" t="str">
            <v>COBACH</v>
          </cell>
          <cell r="C156" t="str">
            <v>COBACH CHIHUAHUA</v>
          </cell>
          <cell r="D156" t="str">
            <v>chihuahua, Chihuahua, Mexico</v>
          </cell>
          <cell r="E156">
            <v>0</v>
          </cell>
          <cell r="F156">
            <v>0</v>
          </cell>
          <cell r="G156">
            <v>84.709100000000007</v>
          </cell>
          <cell r="H156">
            <v>84.709100000000007</v>
          </cell>
          <cell r="I156">
            <v>78.248900000000006</v>
          </cell>
        </row>
        <row r="157">
          <cell r="A157" t="str">
            <v>1970K</v>
          </cell>
          <cell r="B157" t="str">
            <v>Knight Shift</v>
          </cell>
          <cell r="C157" t="str">
            <v>Mount Michael Benedictine High School</v>
          </cell>
          <cell r="D157" t="str">
            <v>Elkhorn, Nebraska, United States</v>
          </cell>
          <cell r="E157">
            <v>297</v>
          </cell>
          <cell r="F157">
            <v>302</v>
          </cell>
          <cell r="G157">
            <v>89.0488</v>
          </cell>
          <cell r="H157">
            <v>88.721800000000002</v>
          </cell>
          <cell r="I157">
            <v>89.0488</v>
          </cell>
          <cell r="J157">
            <v>75.042400000000001</v>
          </cell>
          <cell r="K157">
            <v>47.041699999999999</v>
          </cell>
          <cell r="L157">
            <v>33.590000000000003</v>
          </cell>
          <cell r="M157">
            <v>66.888000000000005</v>
          </cell>
          <cell r="N157">
            <v>51.243099999999998</v>
          </cell>
        </row>
        <row r="158">
          <cell r="A158" t="str">
            <v>1983A</v>
          </cell>
          <cell r="B158" t="str">
            <v>Alpha Skunks</v>
          </cell>
          <cell r="C158" t="str">
            <v>Raisbeck Aviation High School</v>
          </cell>
          <cell r="D158" t="str">
            <v>Seattle, Washington, United States</v>
          </cell>
          <cell r="E158">
            <v>47</v>
          </cell>
          <cell r="F158">
            <v>52</v>
          </cell>
          <cell r="G158">
            <v>71.231800000000007</v>
          </cell>
          <cell r="H158">
            <v>71.231800000000007</v>
          </cell>
          <cell r="I158">
            <v>38.522500000000001</v>
          </cell>
          <cell r="J158">
            <v>26.110800000000001</v>
          </cell>
          <cell r="K158">
            <v>43.106299999999997</v>
          </cell>
          <cell r="L158">
            <v>19.6313</v>
          </cell>
          <cell r="M158">
            <v>10.756500000000001</v>
          </cell>
        </row>
        <row r="159">
          <cell r="A159" t="str">
            <v>2011B</v>
          </cell>
          <cell r="B159" t="str">
            <v>Brecksville Robotics</v>
          </cell>
          <cell r="C159" t="str">
            <v>Brecksville-Broadview Heights</v>
          </cell>
          <cell r="D159" t="str">
            <v>Broadview Heights, Ohio, United States</v>
          </cell>
          <cell r="E159">
            <v>278</v>
          </cell>
          <cell r="F159">
            <v>135</v>
          </cell>
          <cell r="G159">
            <v>133.714</v>
          </cell>
          <cell r="H159">
            <v>133.714</v>
          </cell>
          <cell r="I159">
            <v>93.238</v>
          </cell>
          <cell r="J159">
            <v>116.755</v>
          </cell>
          <cell r="K159">
            <v>132.34899999999999</v>
          </cell>
          <cell r="L159">
            <v>87.656999999999996</v>
          </cell>
          <cell r="M159">
            <v>99.972499999999997</v>
          </cell>
          <cell r="N159">
            <v>57.228299999999997</v>
          </cell>
          <cell r="O159">
            <v>27.655899999999999</v>
          </cell>
        </row>
        <row r="160">
          <cell r="A160" t="str">
            <v>2019A</v>
          </cell>
          <cell r="B160" t="str">
            <v>Singularity</v>
          </cell>
          <cell r="C160" t="str">
            <v>Flower Mound High School</v>
          </cell>
          <cell r="D160" t="str">
            <v>Flower Mound, Texas, United States</v>
          </cell>
          <cell r="E160">
            <v>208</v>
          </cell>
          <cell r="F160">
            <v>0</v>
          </cell>
          <cell r="G160">
            <v>105.946</v>
          </cell>
          <cell r="H160">
            <v>79.954800000000006</v>
          </cell>
          <cell r="I160">
            <v>55.938899999999997</v>
          </cell>
          <cell r="J160">
            <v>22.101299999999998</v>
          </cell>
          <cell r="K160">
            <v>105.946</v>
          </cell>
        </row>
        <row r="161">
          <cell r="A161" t="str">
            <v>2019F</v>
          </cell>
          <cell r="B161" t="str">
            <v>Deus ex Machina</v>
          </cell>
          <cell r="C161" t="str">
            <v>Flower Mound High School</v>
          </cell>
          <cell r="D161" t="str">
            <v>Flower Mound, Texas, United States</v>
          </cell>
          <cell r="E161">
            <v>150</v>
          </cell>
          <cell r="F161">
            <v>141</v>
          </cell>
          <cell r="G161">
            <v>143.298</v>
          </cell>
          <cell r="H161">
            <v>126.788</v>
          </cell>
          <cell r="I161">
            <v>129.95099999999999</v>
          </cell>
          <cell r="J161">
            <v>143.298</v>
          </cell>
          <cell r="K161">
            <v>97.904899999999998</v>
          </cell>
        </row>
        <row r="162">
          <cell r="A162" t="str">
            <v>2059A</v>
          </cell>
          <cell r="B162" t="str">
            <v>Matadors</v>
          </cell>
          <cell r="C162" t="str">
            <v>Mira Loma High School</v>
          </cell>
          <cell r="D162" t="str">
            <v>Sacramento, California, United States</v>
          </cell>
          <cell r="E162">
            <v>248</v>
          </cell>
          <cell r="F162">
            <v>325</v>
          </cell>
          <cell r="G162">
            <v>63.3688</v>
          </cell>
          <cell r="H162">
            <v>30.977799999999998</v>
          </cell>
          <cell r="I162">
            <v>19.994499999999999</v>
          </cell>
          <cell r="J162">
            <v>42.509500000000003</v>
          </cell>
          <cell r="K162">
            <v>63.3688</v>
          </cell>
        </row>
        <row r="163">
          <cell r="A163" t="str">
            <v>2105A</v>
          </cell>
          <cell r="B163" t="str">
            <v>Swampbotics</v>
          </cell>
          <cell r="C163" t="str">
            <v>Ware County High School</v>
          </cell>
          <cell r="D163" t="str">
            <v>Waycross, Georgia, United States</v>
          </cell>
          <cell r="E163">
            <v>314</v>
          </cell>
          <cell r="F163">
            <v>330</v>
          </cell>
          <cell r="G163">
            <v>136.68</v>
          </cell>
          <cell r="H163">
            <v>136.68</v>
          </cell>
          <cell r="I163">
            <v>58.663600000000002</v>
          </cell>
          <cell r="J163">
            <v>58.347099999999998</v>
          </cell>
          <cell r="K163">
            <v>68.696299999999994</v>
          </cell>
          <cell r="L163">
            <v>57.115600000000001</v>
          </cell>
          <cell r="M163">
            <v>75.795500000000004</v>
          </cell>
        </row>
        <row r="164">
          <cell r="A164" t="str">
            <v>2105C</v>
          </cell>
          <cell r="B164" t="str">
            <v>Swampbotics</v>
          </cell>
          <cell r="C164" t="str">
            <v>Ware County High School</v>
          </cell>
          <cell r="D164" t="str">
            <v>Waycross, Georgia, United States</v>
          </cell>
          <cell r="E164">
            <v>279</v>
          </cell>
          <cell r="F164">
            <v>320</v>
          </cell>
          <cell r="G164">
            <v>96.957400000000007</v>
          </cell>
          <cell r="H164">
            <v>61.325899999999997</v>
          </cell>
          <cell r="I164">
            <v>92.936700000000002</v>
          </cell>
          <cell r="J164">
            <v>95.884699999999995</v>
          </cell>
          <cell r="K164">
            <v>96.957400000000007</v>
          </cell>
          <cell r="L164">
            <v>51.7883</v>
          </cell>
        </row>
        <row r="165">
          <cell r="A165" t="str">
            <v>2114Z</v>
          </cell>
          <cell r="B165" t="str">
            <v>Team da Vinci</v>
          </cell>
          <cell r="C165" t="str">
            <v>Team Automata</v>
          </cell>
          <cell r="D165" t="str">
            <v>Cave Creek, Arizona, United States</v>
          </cell>
          <cell r="E165">
            <v>250</v>
          </cell>
          <cell r="F165">
            <v>110</v>
          </cell>
          <cell r="G165">
            <v>148.51599999999999</v>
          </cell>
          <cell r="H165">
            <v>125.492</v>
          </cell>
          <cell r="I165">
            <v>148.51599999999999</v>
          </cell>
          <cell r="J165">
            <v>115.193</v>
          </cell>
          <cell r="K165">
            <v>106.919</v>
          </cell>
          <cell r="L165">
            <v>90.864900000000006</v>
          </cell>
          <cell r="M165">
            <v>104.247</v>
          </cell>
          <cell r="N165">
            <v>70.833200000000005</v>
          </cell>
        </row>
        <row r="166">
          <cell r="A166" t="str">
            <v>2131C</v>
          </cell>
          <cell r="B166" t="str">
            <v>Starfox</v>
          </cell>
          <cell r="C166" t="str">
            <v>Davis High School</v>
          </cell>
          <cell r="D166" t="str">
            <v>Kaysville, Utah, United States</v>
          </cell>
          <cell r="E166">
            <v>0</v>
          </cell>
          <cell r="F166">
            <v>0</v>
          </cell>
        </row>
        <row r="167">
          <cell r="A167" t="str">
            <v>2131E</v>
          </cell>
          <cell r="B167" t="str">
            <v>How do you turn this on?</v>
          </cell>
          <cell r="C167" t="str">
            <v>Davis High School</v>
          </cell>
          <cell r="D167" t="str">
            <v>Kaysville, Utah, United States</v>
          </cell>
          <cell r="E167">
            <v>325</v>
          </cell>
          <cell r="F167">
            <v>296</v>
          </cell>
          <cell r="G167">
            <v>146.57400000000001</v>
          </cell>
          <cell r="H167">
            <v>0</v>
          </cell>
          <cell r="I167">
            <v>71.516499999999994</v>
          </cell>
          <cell r="J167">
            <v>93.179000000000002</v>
          </cell>
          <cell r="K167">
            <v>89.042100000000005</v>
          </cell>
          <cell r="L167">
            <v>113.093</v>
          </cell>
          <cell r="M167">
            <v>126.337</v>
          </cell>
          <cell r="N167">
            <v>123.038</v>
          </cell>
          <cell r="O167">
            <v>111.53700000000001</v>
          </cell>
          <cell r="P167">
            <v>129.94800000000001</v>
          </cell>
          <cell r="Q167">
            <v>146.57400000000001</v>
          </cell>
          <cell r="R167">
            <v>123.547</v>
          </cell>
        </row>
        <row r="168">
          <cell r="A168" t="str">
            <v>2131G</v>
          </cell>
          <cell r="B168" t="str">
            <v>Golden StallionZ</v>
          </cell>
          <cell r="C168" t="str">
            <v>Davis High School</v>
          </cell>
          <cell r="D168" t="str">
            <v>Kaysville, Utah, United States</v>
          </cell>
          <cell r="E168">
            <v>277</v>
          </cell>
          <cell r="F168">
            <v>280</v>
          </cell>
          <cell r="G168">
            <v>142.321</v>
          </cell>
          <cell r="H168">
            <v>142.321</v>
          </cell>
          <cell r="I168">
            <v>121.52</v>
          </cell>
          <cell r="J168">
            <v>122.584</v>
          </cell>
          <cell r="K168">
            <v>121.661</v>
          </cell>
          <cell r="L168">
            <v>36.493899999999996</v>
          </cell>
          <cell r="M168">
            <v>88.694199999999995</v>
          </cell>
          <cell r="N168">
            <v>134.239</v>
          </cell>
        </row>
        <row r="169">
          <cell r="A169" t="str">
            <v>2131W</v>
          </cell>
          <cell r="B169" t="str">
            <v>Radioactive Bananas</v>
          </cell>
          <cell r="C169" t="str">
            <v>Davis High School</v>
          </cell>
          <cell r="D169" t="str">
            <v>Kaysville, Utah, United States</v>
          </cell>
          <cell r="E169">
            <v>332</v>
          </cell>
          <cell r="F169">
            <v>130</v>
          </cell>
          <cell r="G169">
            <v>146.41</v>
          </cell>
          <cell r="H169">
            <v>96.929900000000004</v>
          </cell>
          <cell r="I169">
            <v>36.279600000000002</v>
          </cell>
          <cell r="J169">
            <v>87.758200000000002</v>
          </cell>
          <cell r="K169">
            <v>109.092</v>
          </cell>
          <cell r="L169">
            <v>146.41</v>
          </cell>
          <cell r="M169">
            <v>48.508299999999998</v>
          </cell>
        </row>
        <row r="170">
          <cell r="A170" t="str">
            <v>2131X</v>
          </cell>
          <cell r="B170" t="str">
            <v>Schmetterlinge &amp; Einhörn</v>
          </cell>
          <cell r="C170" t="str">
            <v>Davis High School</v>
          </cell>
          <cell r="D170" t="str">
            <v>Kaysville, Utah, United States</v>
          </cell>
          <cell r="E170">
            <v>350</v>
          </cell>
          <cell r="F170">
            <v>151</v>
          </cell>
          <cell r="G170">
            <v>159.392</v>
          </cell>
          <cell r="H170">
            <v>137.81</v>
          </cell>
          <cell r="I170">
            <v>159.392</v>
          </cell>
          <cell r="J170">
            <v>140.53</v>
          </cell>
          <cell r="K170">
            <v>87.898899999999998</v>
          </cell>
          <cell r="L170">
            <v>105.25700000000001</v>
          </cell>
          <cell r="M170">
            <v>78.094099999999997</v>
          </cell>
          <cell r="N170">
            <v>92.257300000000001</v>
          </cell>
          <cell r="O170">
            <v>96.862799999999993</v>
          </cell>
          <cell r="P170">
            <v>84.509699999999995</v>
          </cell>
        </row>
        <row r="171">
          <cell r="A171" t="str">
            <v>2188A</v>
          </cell>
          <cell r="B171" t="str">
            <v>Robosource.net</v>
          </cell>
          <cell r="C171" t="str">
            <v>Independent</v>
          </cell>
          <cell r="D171" t="str">
            <v>Oakville, Ontario, Canada</v>
          </cell>
          <cell r="E171">
            <v>167</v>
          </cell>
          <cell r="F171">
            <v>310</v>
          </cell>
          <cell r="G171">
            <v>118.85599999999999</v>
          </cell>
          <cell r="H171">
            <v>118.85599999999999</v>
          </cell>
          <cell r="I171">
            <v>57.242199999999997</v>
          </cell>
          <cell r="J171">
            <v>109.774</v>
          </cell>
        </row>
        <row r="172">
          <cell r="A172" t="str">
            <v>2223A</v>
          </cell>
          <cell r="B172" t="str">
            <v>U.H.S. - ADV HS A</v>
          </cell>
          <cell r="C172" t="str">
            <v>U.H.S.</v>
          </cell>
          <cell r="D172" t="str">
            <v>San Juan, Not Applicable or Not Listed, Puerto Rico</v>
          </cell>
          <cell r="E172">
            <v>144</v>
          </cell>
          <cell r="F172">
            <v>86</v>
          </cell>
          <cell r="G172">
            <v>111.355</v>
          </cell>
          <cell r="H172">
            <v>72.239599999999996</v>
          </cell>
          <cell r="I172">
            <v>111.355</v>
          </cell>
          <cell r="J172">
            <v>83.601699999999994</v>
          </cell>
        </row>
        <row r="173">
          <cell r="A173" t="str">
            <v>2250F</v>
          </cell>
          <cell r="B173" t="str">
            <v>Brigida Alvarez-HS ADV</v>
          </cell>
          <cell r="C173" t="str">
            <v>Brigida Alvarez Rodriguez</v>
          </cell>
          <cell r="D173" t="str">
            <v>Vega Baja, Not Applicable or Not Listed, Puerto Rico</v>
          </cell>
          <cell r="E173">
            <v>211</v>
          </cell>
          <cell r="F173">
            <v>123</v>
          </cell>
          <cell r="G173">
            <v>103.84099999999999</v>
          </cell>
          <cell r="H173">
            <v>93.130700000000004</v>
          </cell>
          <cell r="I173">
            <v>103.84099999999999</v>
          </cell>
          <cell r="J173">
            <v>22.650300000000001</v>
          </cell>
        </row>
        <row r="174">
          <cell r="A174" t="str">
            <v>2335</v>
          </cell>
          <cell r="B174" t="str">
            <v>Redhead Robotics</v>
          </cell>
          <cell r="C174" t="str">
            <v>Clear Creek ISD</v>
          </cell>
          <cell r="D174" t="str">
            <v>League City, Texas, United States</v>
          </cell>
          <cell r="E174">
            <v>272</v>
          </cell>
          <cell r="F174">
            <v>108</v>
          </cell>
          <cell r="G174">
            <v>118.932</v>
          </cell>
          <cell r="H174">
            <v>82.659899999999993</v>
          </cell>
          <cell r="I174">
            <v>118.932</v>
          </cell>
          <cell r="J174">
            <v>94.398600000000002</v>
          </cell>
          <cell r="K174">
            <v>88.313000000000002</v>
          </cell>
        </row>
        <row r="175">
          <cell r="A175" t="str">
            <v>2353A</v>
          </cell>
          <cell r="B175" t="str">
            <v>Esc. Bellas Artes HS ADV</v>
          </cell>
          <cell r="C175" t="str">
            <v>Bellas Artes</v>
          </cell>
          <cell r="D175" t="str">
            <v>Humacao, Not Applicable or Not Listed, Puerto Rico</v>
          </cell>
          <cell r="E175">
            <v>106</v>
          </cell>
          <cell r="F175">
            <v>145</v>
          </cell>
          <cell r="G175">
            <v>124.336</v>
          </cell>
          <cell r="H175">
            <v>112.276</v>
          </cell>
          <cell r="I175">
            <v>124.336</v>
          </cell>
          <cell r="J175">
            <v>67.242199999999997</v>
          </cell>
          <cell r="K175">
            <v>59.172199999999997</v>
          </cell>
        </row>
        <row r="176">
          <cell r="A176" t="str">
            <v>2382A</v>
          </cell>
          <cell r="B176" t="str">
            <v>Redemption Robotics</v>
          </cell>
          <cell r="C176" t="str">
            <v>Friends</v>
          </cell>
          <cell r="D176" t="str">
            <v>Dorado, Not Applicable or Not Listed, Puerto Rico</v>
          </cell>
          <cell r="E176">
            <v>150</v>
          </cell>
          <cell r="F176">
            <v>121</v>
          </cell>
          <cell r="G176">
            <v>99.6524</v>
          </cell>
          <cell r="H176">
            <v>99.6524</v>
          </cell>
          <cell r="I176">
            <v>77.943299999999994</v>
          </cell>
          <cell r="J176">
            <v>43.973500000000001</v>
          </cell>
        </row>
        <row r="177">
          <cell r="A177" t="str">
            <v>2398D</v>
          </cell>
          <cell r="B177" t="str">
            <v>AI's - Delta</v>
          </cell>
          <cell r="C177" t="str">
            <v>Sequoyah Schools</v>
          </cell>
          <cell r="D177" t="str">
            <v>Tahlequah, Oklahoma, United States</v>
          </cell>
          <cell r="E177">
            <v>80</v>
          </cell>
          <cell r="F177">
            <v>85</v>
          </cell>
          <cell r="G177">
            <v>102.578</v>
          </cell>
          <cell r="H177">
            <v>58.474299999999999</v>
          </cell>
          <cell r="I177">
            <v>60.206000000000003</v>
          </cell>
          <cell r="J177">
            <v>102.578</v>
          </cell>
          <cell r="K177">
            <v>32.4193</v>
          </cell>
        </row>
        <row r="178">
          <cell r="A178" t="str">
            <v>2442B</v>
          </cell>
          <cell r="B178" t="str">
            <v>Bancroft Robodogs B</v>
          </cell>
          <cell r="C178" t="str">
            <v>Bancroft School</v>
          </cell>
          <cell r="D178" t="str">
            <v>Worcester, Massachusetts, United States</v>
          </cell>
          <cell r="E178">
            <v>160</v>
          </cell>
          <cell r="F178">
            <v>116</v>
          </cell>
          <cell r="G178">
            <v>79.793999999999997</v>
          </cell>
          <cell r="H178">
            <v>79.793999999999997</v>
          </cell>
          <cell r="I178">
            <v>76.956500000000005</v>
          </cell>
          <cell r="J178">
            <v>17.279299999999999</v>
          </cell>
          <cell r="K178">
            <v>16.935199999999998</v>
          </cell>
          <cell r="L178">
            <v>39.614100000000001</v>
          </cell>
        </row>
        <row r="179">
          <cell r="A179" t="str">
            <v>2442C</v>
          </cell>
          <cell r="B179" t="str">
            <v>Bancroft Robodogs C</v>
          </cell>
          <cell r="C179" t="str">
            <v>Bancroft School</v>
          </cell>
          <cell r="D179" t="str">
            <v>Worcester, Massachusetts, United States</v>
          </cell>
          <cell r="E179">
            <v>225</v>
          </cell>
          <cell r="F179">
            <v>163</v>
          </cell>
          <cell r="G179">
            <v>91.221199999999996</v>
          </cell>
          <cell r="H179">
            <v>81.444800000000001</v>
          </cell>
          <cell r="I179">
            <v>91.221199999999996</v>
          </cell>
          <cell r="J179">
            <v>76.431299999999993</v>
          </cell>
          <cell r="K179">
            <v>81.802800000000005</v>
          </cell>
          <cell r="L179">
            <v>74.227900000000005</v>
          </cell>
        </row>
        <row r="180">
          <cell r="A180" t="str">
            <v>2460</v>
          </cell>
          <cell r="B180" t="str">
            <v>Na Paniolo</v>
          </cell>
          <cell r="C180" t="str">
            <v>Kohala High</v>
          </cell>
          <cell r="D180" t="str">
            <v>Kapaau, Hawaii, United States</v>
          </cell>
          <cell r="E180">
            <v>138</v>
          </cell>
          <cell r="F180">
            <v>158</v>
          </cell>
          <cell r="G180">
            <v>101.79</v>
          </cell>
          <cell r="H180">
            <v>101.79</v>
          </cell>
          <cell r="I180">
            <v>90.394000000000005</v>
          </cell>
          <cell r="J180">
            <v>89.244</v>
          </cell>
          <cell r="K180">
            <v>41.800600000000003</v>
          </cell>
          <cell r="L180">
            <v>36.025700000000001</v>
          </cell>
        </row>
        <row r="181">
          <cell r="A181" t="str">
            <v>2501B</v>
          </cell>
          <cell r="B181" t="str">
            <v>Optimus Dime</v>
          </cell>
          <cell r="C181" t="str">
            <v>Thomas Jefferson High School</v>
          </cell>
          <cell r="D181" t="str">
            <v>Council Bluffs, Iowa, United States</v>
          </cell>
          <cell r="E181">
            <v>320</v>
          </cell>
          <cell r="F181">
            <v>165</v>
          </cell>
          <cell r="G181">
            <v>125.633</v>
          </cell>
          <cell r="H181">
            <v>125.633</v>
          </cell>
          <cell r="I181">
            <v>115.10899999999999</v>
          </cell>
          <cell r="J181">
            <v>124.054</v>
          </cell>
          <cell r="K181">
            <v>96.656000000000006</v>
          </cell>
          <cell r="L181">
            <v>73.591899999999995</v>
          </cell>
          <cell r="M181">
            <v>103.133</v>
          </cell>
          <cell r="N181">
            <v>85.756500000000003</v>
          </cell>
          <cell r="O181">
            <v>60.847000000000001</v>
          </cell>
          <cell r="P181">
            <v>25.008400000000002</v>
          </cell>
          <cell r="Q181">
            <v>62.213200000000001</v>
          </cell>
          <cell r="R181">
            <v>36.749699999999997</v>
          </cell>
        </row>
        <row r="182">
          <cell r="A182" t="str">
            <v>2501J</v>
          </cell>
          <cell r="B182" t="str">
            <v>Full Metal Jackets</v>
          </cell>
          <cell r="C182" t="str">
            <v>Thomas Jefferson High School</v>
          </cell>
          <cell r="D182" t="str">
            <v>Council Bluffs, Iowa, United States</v>
          </cell>
          <cell r="E182">
            <v>320</v>
          </cell>
          <cell r="F182">
            <v>305</v>
          </cell>
          <cell r="G182">
            <v>159.93700000000001</v>
          </cell>
          <cell r="H182">
            <v>96.953900000000004</v>
          </cell>
          <cell r="I182">
            <v>109.473</v>
          </cell>
          <cell r="J182">
            <v>159.93700000000001</v>
          </cell>
          <cell r="K182">
            <v>103.727</v>
          </cell>
          <cell r="L182">
            <v>67.284599999999998</v>
          </cell>
          <cell r="M182">
            <v>129.785</v>
          </cell>
          <cell r="N182">
            <v>105.926</v>
          </cell>
          <cell r="O182">
            <v>102.877</v>
          </cell>
          <cell r="P182">
            <v>82.574200000000005</v>
          </cell>
          <cell r="Q182">
            <v>68.384500000000003</v>
          </cell>
          <cell r="R182">
            <v>85.137</v>
          </cell>
        </row>
        <row r="183">
          <cell r="A183" t="str">
            <v>2567A</v>
          </cell>
          <cell r="B183" t="str">
            <v>Porta-Botz!</v>
          </cell>
          <cell r="C183" t="str">
            <v>Portage High School PLTW</v>
          </cell>
          <cell r="D183" t="str">
            <v>Portage, Indiana, United States</v>
          </cell>
          <cell r="E183">
            <v>217</v>
          </cell>
          <cell r="F183">
            <v>135</v>
          </cell>
          <cell r="G183">
            <v>108.62</v>
          </cell>
          <cell r="H183">
            <v>105.48699999999999</v>
          </cell>
          <cell r="I183">
            <v>100.172</v>
          </cell>
          <cell r="J183">
            <v>108.62</v>
          </cell>
          <cell r="K183">
            <v>96.934399999999997</v>
          </cell>
          <cell r="L183">
            <v>80.688500000000005</v>
          </cell>
          <cell r="M183">
            <v>17.560700000000001</v>
          </cell>
          <cell r="N183">
            <v>6.1615399999999996</v>
          </cell>
          <cell r="O183">
            <v>10.694699999999999</v>
          </cell>
        </row>
        <row r="184">
          <cell r="A184" t="str">
            <v>2576A</v>
          </cell>
          <cell r="B184" t="str">
            <v>Corazón de Chileno</v>
          </cell>
          <cell r="C184" t="str">
            <v>Fundación Corazón de Chileno</v>
          </cell>
          <cell r="D184" t="str">
            <v>Santiago, N/A, Chile</v>
          </cell>
          <cell r="E184">
            <v>16</v>
          </cell>
          <cell r="F184">
            <v>4</v>
          </cell>
          <cell r="G184">
            <v>34.003799999999998</v>
          </cell>
          <cell r="H184">
            <v>34.003799999999998</v>
          </cell>
        </row>
        <row r="185">
          <cell r="A185" t="str">
            <v>2581B</v>
          </cell>
          <cell r="B185" t="str">
            <v>BCAMSC Phoenix Robotics</v>
          </cell>
          <cell r="C185" t="str">
            <v>Michigan State University College of Engineering</v>
          </cell>
          <cell r="D185" t="str">
            <v>East Lansing, Michigan, United States</v>
          </cell>
          <cell r="E185">
            <v>189</v>
          </cell>
          <cell r="F185">
            <v>191</v>
          </cell>
          <cell r="G185">
            <v>119.92100000000001</v>
          </cell>
          <cell r="H185">
            <v>57.108899999999998</v>
          </cell>
          <cell r="I185">
            <v>119.92100000000001</v>
          </cell>
          <cell r="J185">
            <v>72.741699999999994</v>
          </cell>
        </row>
        <row r="186">
          <cell r="A186" t="str">
            <v>2587G</v>
          </cell>
          <cell r="B186" t="str">
            <v>DiscoBots - Gamma</v>
          </cell>
          <cell r="C186" t="str">
            <v>DiscoBots</v>
          </cell>
          <cell r="D186" t="str">
            <v>Houston, Texas, United States</v>
          </cell>
          <cell r="E186">
            <v>355</v>
          </cell>
          <cell r="F186">
            <v>0</v>
          </cell>
          <cell r="G186">
            <v>163.73500000000001</v>
          </cell>
          <cell r="H186">
            <v>72.413200000000003</v>
          </cell>
          <cell r="I186">
            <v>111.968</v>
          </cell>
          <cell r="J186">
            <v>163.73500000000001</v>
          </cell>
          <cell r="K186">
            <v>28.1797</v>
          </cell>
          <cell r="L186">
            <v>9.5584299999999995</v>
          </cell>
          <cell r="M186">
            <v>31.251200000000001</v>
          </cell>
        </row>
        <row r="187">
          <cell r="A187" t="str">
            <v>2587Z</v>
          </cell>
          <cell r="B187" t="str">
            <v>DiscoBots ℤ - 🍁 #pray4tamas</v>
          </cell>
          <cell r="C187" t="str">
            <v>🏀 DiscoBots 🏀</v>
          </cell>
          <cell r="D187" t="str">
            <v>Houston, Texas, United States</v>
          </cell>
          <cell r="E187">
            <v>457</v>
          </cell>
          <cell r="F187">
            <v>160</v>
          </cell>
          <cell r="G187">
            <v>147.64500000000001</v>
          </cell>
          <cell r="H187">
            <v>123.07</v>
          </cell>
          <cell r="I187">
            <v>147.64500000000001</v>
          </cell>
          <cell r="J187">
            <v>85.149299999999997</v>
          </cell>
        </row>
        <row r="188">
          <cell r="A188" t="str">
            <v>2605A</v>
          </cell>
          <cell r="B188" t="str">
            <v>Sehome Sea Monsters A</v>
          </cell>
          <cell r="C188" t="str">
            <v>Sehome High School</v>
          </cell>
          <cell r="D188" t="str">
            <v>Bellingham, Washington, United States</v>
          </cell>
          <cell r="E188">
            <v>242</v>
          </cell>
          <cell r="F188">
            <v>57</v>
          </cell>
          <cell r="G188">
            <v>164.81299999999999</v>
          </cell>
          <cell r="H188">
            <v>164.81299999999999</v>
          </cell>
          <cell r="I188">
            <v>125.831</v>
          </cell>
          <cell r="J188">
            <v>91.517200000000003</v>
          </cell>
          <cell r="K188">
            <v>33.1875</v>
          </cell>
        </row>
        <row r="189">
          <cell r="A189" t="str">
            <v>2616F</v>
          </cell>
          <cell r="B189" t="str">
            <v>Frightning Lightning</v>
          </cell>
          <cell r="C189" t="str">
            <v>Cherry Hill High School East</v>
          </cell>
          <cell r="D189" t="str">
            <v>Cherry Hill, New Jersey, United States</v>
          </cell>
          <cell r="E189">
            <v>58</v>
          </cell>
          <cell r="F189">
            <v>35</v>
          </cell>
          <cell r="G189">
            <v>74.244600000000005</v>
          </cell>
          <cell r="H189">
            <v>49.890799999999999</v>
          </cell>
          <cell r="I189">
            <v>52.1126</v>
          </cell>
          <cell r="J189">
            <v>65.079700000000003</v>
          </cell>
          <cell r="K189">
            <v>74.244600000000005</v>
          </cell>
          <cell r="L189">
            <v>38.698900000000002</v>
          </cell>
          <cell r="M189">
            <v>73.369299999999996</v>
          </cell>
          <cell r="N189">
            <v>59.762599999999999</v>
          </cell>
        </row>
        <row r="190">
          <cell r="A190" t="str">
            <v>2719A</v>
          </cell>
          <cell r="B190" t="str">
            <v>The Face of Boe</v>
          </cell>
          <cell r="C190" t="str">
            <v>Triton Central High School</v>
          </cell>
          <cell r="D190" t="str">
            <v>Fairland, Indiana, United States</v>
          </cell>
          <cell r="E190">
            <v>271</v>
          </cell>
          <cell r="F190">
            <v>155</v>
          </cell>
          <cell r="G190">
            <v>66.643100000000004</v>
          </cell>
          <cell r="H190">
            <v>1.4150199999999999</v>
          </cell>
          <cell r="I190">
            <v>17.331800000000001</v>
          </cell>
          <cell r="J190">
            <v>43.669699999999999</v>
          </cell>
          <cell r="K190">
            <v>5.5204500000000003</v>
          </cell>
          <cell r="L190">
            <v>4.3399299999999998</v>
          </cell>
          <cell r="M190">
            <v>66.643100000000004</v>
          </cell>
          <cell r="N190">
            <v>55.834299999999999</v>
          </cell>
          <cell r="O190">
            <v>18.005099999999999</v>
          </cell>
        </row>
        <row r="191">
          <cell r="A191" t="str">
            <v>2719B</v>
          </cell>
          <cell r="B191" t="str">
            <v>T.A.R.D.I.S.</v>
          </cell>
          <cell r="C191" t="str">
            <v>Triton Central High School</v>
          </cell>
          <cell r="D191" t="str">
            <v>Fairland, Indiana, United States</v>
          </cell>
          <cell r="E191">
            <v>289</v>
          </cell>
          <cell r="F191">
            <v>310</v>
          </cell>
          <cell r="G191">
            <v>114.21</v>
          </cell>
          <cell r="H191">
            <v>84.832400000000007</v>
          </cell>
          <cell r="I191">
            <v>62.251600000000003</v>
          </cell>
          <cell r="J191">
            <v>114.21</v>
          </cell>
          <cell r="K191">
            <v>42.592599999999997</v>
          </cell>
          <cell r="L191">
            <v>3.79731</v>
          </cell>
          <cell r="M191">
            <v>19.578399999999998</v>
          </cell>
          <cell r="N191">
            <v>25.552</v>
          </cell>
          <cell r="O191">
            <v>15.0596</v>
          </cell>
        </row>
        <row r="192">
          <cell r="A192" t="str">
            <v>2719C</v>
          </cell>
          <cell r="B192" t="str">
            <v>The Mike Wang Experience</v>
          </cell>
          <cell r="C192" t="str">
            <v>Triton Central High School</v>
          </cell>
          <cell r="D192" t="str">
            <v>Fairland, Indiana, United States</v>
          </cell>
          <cell r="E192">
            <v>325</v>
          </cell>
          <cell r="F192">
            <v>315</v>
          </cell>
          <cell r="G192">
            <v>151.34100000000001</v>
          </cell>
          <cell r="H192">
            <v>96.649199999999993</v>
          </cell>
          <cell r="I192">
            <v>134.45599999999999</v>
          </cell>
          <cell r="J192">
            <v>128.71299999999999</v>
          </cell>
          <cell r="K192">
            <v>151.34100000000001</v>
          </cell>
          <cell r="L192">
            <v>120.943</v>
          </cell>
          <cell r="M192">
            <v>81.594700000000003</v>
          </cell>
          <cell r="N192">
            <v>62.901400000000002</v>
          </cell>
          <cell r="O192">
            <v>23.585599999999999</v>
          </cell>
        </row>
        <row r="193">
          <cell r="A193" t="str">
            <v>2777N</v>
          </cell>
          <cell r="B193" t="str">
            <v>2andthree7'sthenaN</v>
          </cell>
          <cell r="C193" t="str">
            <v>McMichael HS</v>
          </cell>
          <cell r="D193" t="str">
            <v>Mayodan, North Carolina, United States</v>
          </cell>
          <cell r="E193">
            <v>43</v>
          </cell>
          <cell r="F193">
            <v>7</v>
          </cell>
          <cell r="G193">
            <v>34.226599999999998</v>
          </cell>
          <cell r="H193">
            <v>27.181000000000001</v>
          </cell>
          <cell r="I193">
            <v>34.226599999999998</v>
          </cell>
          <cell r="J193">
            <v>22.118200000000002</v>
          </cell>
        </row>
        <row r="194">
          <cell r="A194" t="str">
            <v>2886A</v>
          </cell>
          <cell r="B194" t="str">
            <v>Bull Dawgs A</v>
          </cell>
          <cell r="C194" t="str">
            <v>John Hardin High School PLTW</v>
          </cell>
          <cell r="D194" t="str">
            <v>Elizabethtown, Kentucky, United States</v>
          </cell>
          <cell r="E194">
            <v>270</v>
          </cell>
          <cell r="F194">
            <v>267</v>
          </cell>
          <cell r="G194">
            <v>141.874</v>
          </cell>
          <cell r="H194">
            <v>141.874</v>
          </cell>
          <cell r="I194">
            <v>128.85599999999999</v>
          </cell>
          <cell r="J194">
            <v>92.710300000000004</v>
          </cell>
          <cell r="K194">
            <v>99.960700000000003</v>
          </cell>
          <cell r="L194">
            <v>124.953</v>
          </cell>
          <cell r="M194">
            <v>99.876099999999994</v>
          </cell>
          <cell r="N194">
            <v>139.50399999999999</v>
          </cell>
        </row>
        <row r="195">
          <cell r="A195" t="str">
            <v>2915A</v>
          </cell>
          <cell r="B195" t="str">
            <v>Lynfield College Robotics</v>
          </cell>
          <cell r="C195" t="str">
            <v>Lynfield College</v>
          </cell>
          <cell r="D195" t="str">
            <v>Auckland, Not Applicable or Not Listed, New Zealand</v>
          </cell>
          <cell r="E195">
            <v>352</v>
          </cell>
          <cell r="F195">
            <v>160</v>
          </cell>
          <cell r="G195">
            <v>146.11500000000001</v>
          </cell>
          <cell r="H195">
            <v>146.11500000000001</v>
          </cell>
          <cell r="I195">
            <v>129.00299999999999</v>
          </cell>
          <cell r="J195">
            <v>88.495599999999996</v>
          </cell>
        </row>
        <row r="196">
          <cell r="A196" t="str">
            <v>2915C</v>
          </cell>
          <cell r="B196" t="str">
            <v>Lynfield College Robotics</v>
          </cell>
          <cell r="C196" t="str">
            <v>Lynfield College</v>
          </cell>
          <cell r="D196" t="str">
            <v>Auckland, Not Applicable or Not Listed, New Zealand</v>
          </cell>
          <cell r="E196">
            <v>238</v>
          </cell>
          <cell r="F196">
            <v>121</v>
          </cell>
          <cell r="G196">
            <v>142.73500000000001</v>
          </cell>
          <cell r="H196">
            <v>142.73500000000001</v>
          </cell>
          <cell r="I196">
            <v>102.23</v>
          </cell>
          <cell r="J196">
            <v>69.600099999999998</v>
          </cell>
        </row>
        <row r="197">
          <cell r="A197" t="str">
            <v>2918A</v>
          </cell>
          <cell r="B197" t="str">
            <v>GCEC A</v>
          </cell>
          <cell r="C197" t="str">
            <v>Glenfield College</v>
          </cell>
          <cell r="D197" t="str">
            <v>Glenfield, Not Applicable or Not Listed, New Zealand</v>
          </cell>
          <cell r="E197">
            <v>0</v>
          </cell>
          <cell r="F197">
            <v>0</v>
          </cell>
          <cell r="G197">
            <v>107.33199999999999</v>
          </cell>
          <cell r="H197">
            <v>83.511099999999999</v>
          </cell>
          <cell r="I197">
            <v>107.33199999999999</v>
          </cell>
          <cell r="J197">
            <v>74.302800000000005</v>
          </cell>
        </row>
        <row r="198">
          <cell r="A198" t="str">
            <v>2918E</v>
          </cell>
          <cell r="B198" t="str">
            <v>GCEC E</v>
          </cell>
          <cell r="C198" t="str">
            <v>Glenfield College</v>
          </cell>
          <cell r="D198" t="str">
            <v>Glenfield, Not Applicable or Not Listed, New Zealand</v>
          </cell>
          <cell r="E198">
            <v>220</v>
          </cell>
          <cell r="F198">
            <v>0</v>
          </cell>
          <cell r="G198">
            <v>98.222300000000004</v>
          </cell>
          <cell r="H198">
            <v>86.288899999999998</v>
          </cell>
          <cell r="I198">
            <v>98.222300000000004</v>
          </cell>
          <cell r="J198">
            <v>32.287599999999998</v>
          </cell>
        </row>
        <row r="199">
          <cell r="A199" t="str">
            <v>2941A</v>
          </cell>
          <cell r="B199" t="str">
            <v>Oats Robotics</v>
          </cell>
          <cell r="C199" t="str">
            <v>Otumoetai College</v>
          </cell>
          <cell r="D199" t="str">
            <v>Tauranga, Not Applicable or Not Listed, New Zealand</v>
          </cell>
          <cell r="E199">
            <v>0</v>
          </cell>
          <cell r="F199">
            <v>0</v>
          </cell>
          <cell r="G199">
            <v>22.438199999999998</v>
          </cell>
          <cell r="H199">
            <v>22.438199999999998</v>
          </cell>
          <cell r="I199">
            <v>11.0185</v>
          </cell>
        </row>
        <row r="200">
          <cell r="A200" t="str">
            <v>2990A</v>
          </cell>
          <cell r="B200" t="str">
            <v>Titan Team Kronos</v>
          </cell>
          <cell r="C200" t="str">
            <v>West Salem High School</v>
          </cell>
          <cell r="D200" t="str">
            <v>Salem, Oregon, United States</v>
          </cell>
          <cell r="E200">
            <v>295</v>
          </cell>
          <cell r="F200">
            <v>286</v>
          </cell>
          <cell r="G200">
            <v>107.675</v>
          </cell>
          <cell r="H200">
            <v>86.428100000000001</v>
          </cell>
          <cell r="I200">
            <v>79.649199999999993</v>
          </cell>
          <cell r="J200">
            <v>107.675</v>
          </cell>
          <cell r="K200">
            <v>75.2</v>
          </cell>
          <cell r="L200">
            <v>54.109900000000003</v>
          </cell>
        </row>
        <row r="201">
          <cell r="A201" t="str">
            <v>3046</v>
          </cell>
          <cell r="B201" t="str">
            <v>TheRoboAzTechs</v>
          </cell>
          <cell r="C201" t="str">
            <v>El Dorado High School</v>
          </cell>
          <cell r="D201" t="str">
            <v>El Paso, Texas, United States</v>
          </cell>
          <cell r="E201">
            <v>56</v>
          </cell>
          <cell r="F201">
            <v>39</v>
          </cell>
          <cell r="G201">
            <v>51.838000000000001</v>
          </cell>
          <cell r="H201">
            <v>51.838000000000001</v>
          </cell>
          <cell r="I201">
            <v>40.587200000000003</v>
          </cell>
          <cell r="J201">
            <v>41.2226</v>
          </cell>
        </row>
        <row r="202">
          <cell r="A202" t="str">
            <v>3118A</v>
          </cell>
          <cell r="B202" t="str">
            <v>IVEX</v>
          </cell>
          <cell r="C202" t="str">
            <v>Clear Creek ISD</v>
          </cell>
          <cell r="D202" t="str">
            <v>League City, Texas, United States</v>
          </cell>
          <cell r="E202">
            <v>346</v>
          </cell>
          <cell r="F202">
            <v>145</v>
          </cell>
          <cell r="G202">
            <v>179.071</v>
          </cell>
          <cell r="H202">
            <v>179.071</v>
          </cell>
          <cell r="I202">
            <v>131.09299999999999</v>
          </cell>
          <cell r="J202">
            <v>100.76</v>
          </cell>
          <cell r="K202">
            <v>33.687600000000003</v>
          </cell>
          <cell r="L202">
            <v>36.582999999999998</v>
          </cell>
        </row>
        <row r="203">
          <cell r="A203" t="str">
            <v>3211H</v>
          </cell>
          <cell r="B203" t="str">
            <v>BeatBotz</v>
          </cell>
          <cell r="C203" t="str">
            <v>Boy Scouts   Troop 211</v>
          </cell>
          <cell r="D203" t="str">
            <v>Sartell, Minnesota, United States</v>
          </cell>
          <cell r="E203">
            <v>280</v>
          </cell>
          <cell r="F203">
            <v>126</v>
          </cell>
          <cell r="G203">
            <v>85.185900000000004</v>
          </cell>
          <cell r="H203">
            <v>85.185900000000004</v>
          </cell>
          <cell r="I203">
            <v>49.811100000000003</v>
          </cell>
          <cell r="J203">
            <v>59.941400000000002</v>
          </cell>
          <cell r="K203">
            <v>67.316599999999994</v>
          </cell>
          <cell r="L203">
            <v>23.5138</v>
          </cell>
        </row>
        <row r="204">
          <cell r="A204" t="str">
            <v>3273B</v>
          </cell>
          <cell r="B204" t="str">
            <v>One Kelvin</v>
          </cell>
          <cell r="C204" t="str">
            <v>Wayne High School</v>
          </cell>
          <cell r="D204" t="str">
            <v>Wayne, West Virginia, United States</v>
          </cell>
          <cell r="E204">
            <v>60</v>
          </cell>
          <cell r="F204">
            <v>0</v>
          </cell>
          <cell r="G204">
            <v>109.548</v>
          </cell>
          <cell r="H204">
            <v>97.816699999999997</v>
          </cell>
          <cell r="I204">
            <v>61.923099999999998</v>
          </cell>
          <cell r="J204">
            <v>109.548</v>
          </cell>
          <cell r="K204">
            <v>43.940399999999997</v>
          </cell>
          <cell r="L204">
            <v>34.785899999999998</v>
          </cell>
        </row>
        <row r="205">
          <cell r="A205" t="str">
            <v>3285B</v>
          </cell>
          <cell r="B205" t="str">
            <v>Central China Team</v>
          </cell>
          <cell r="C205" t="str">
            <v>Central China Team</v>
          </cell>
          <cell r="D205" t="str">
            <v>Xi'an, N/A, China</v>
          </cell>
          <cell r="E205">
            <v>0</v>
          </cell>
          <cell r="F205">
            <v>386</v>
          </cell>
        </row>
        <row r="206">
          <cell r="A206" t="str">
            <v>3285D</v>
          </cell>
          <cell r="B206" t="str">
            <v>West China Team</v>
          </cell>
          <cell r="C206" t="str">
            <v>West China Team</v>
          </cell>
          <cell r="D206" t="str">
            <v>Xi'an, N/A, China</v>
          </cell>
          <cell r="E206">
            <v>0</v>
          </cell>
          <cell r="F206">
            <v>356</v>
          </cell>
        </row>
        <row r="207">
          <cell r="A207" t="str">
            <v>3288A</v>
          </cell>
          <cell r="B207" t="str">
            <v>China ROBOTC</v>
          </cell>
          <cell r="C207" t="str">
            <v>ChinaRobotC</v>
          </cell>
          <cell r="D207" t="str">
            <v>Xi'an, Not Applicable or Not Listed, China</v>
          </cell>
          <cell r="E207">
            <v>0</v>
          </cell>
          <cell r="F207">
            <v>316</v>
          </cell>
        </row>
        <row r="208">
          <cell r="A208" t="str">
            <v>3288C</v>
          </cell>
          <cell r="B208" t="str">
            <v>China ROBOTC</v>
          </cell>
          <cell r="C208" t="str">
            <v>ChinaRobotC</v>
          </cell>
          <cell r="D208" t="str">
            <v>Xi'an, N/A, China</v>
          </cell>
          <cell r="E208">
            <v>0</v>
          </cell>
          <cell r="F208">
            <v>320</v>
          </cell>
        </row>
        <row r="209">
          <cell r="A209" t="str">
            <v>3309A</v>
          </cell>
          <cell r="B209" t="str">
            <v>Friarbots A</v>
          </cell>
          <cell r="C209" t="str">
            <v>Servite High School</v>
          </cell>
          <cell r="D209" t="str">
            <v>Anaheim, California, United States</v>
          </cell>
          <cell r="E209">
            <v>227</v>
          </cell>
          <cell r="F209">
            <v>160</v>
          </cell>
          <cell r="G209">
            <v>83.291899999999998</v>
          </cell>
          <cell r="H209">
            <v>83.291899999999998</v>
          </cell>
          <cell r="I209">
            <v>52.331600000000002</v>
          </cell>
          <cell r="J209">
            <v>43.8628</v>
          </cell>
          <cell r="K209">
            <v>20.8841</v>
          </cell>
          <cell r="L209">
            <v>36.772500000000001</v>
          </cell>
          <cell r="M209">
            <v>58.417200000000001</v>
          </cell>
          <cell r="N209">
            <v>22.155999999999999</v>
          </cell>
          <cell r="O209">
            <v>38.387599999999999</v>
          </cell>
        </row>
        <row r="210">
          <cell r="A210" t="str">
            <v>3309B</v>
          </cell>
          <cell r="B210" t="str">
            <v>Friarbots B</v>
          </cell>
          <cell r="C210" t="str">
            <v>Servite High School</v>
          </cell>
          <cell r="D210" t="str">
            <v>Anaheim, California, United States</v>
          </cell>
          <cell r="E210">
            <v>198</v>
          </cell>
          <cell r="F210">
            <v>147</v>
          </cell>
          <cell r="G210">
            <v>130.304</v>
          </cell>
          <cell r="H210">
            <v>91.408100000000005</v>
          </cell>
          <cell r="I210">
            <v>130.304</v>
          </cell>
          <cell r="J210">
            <v>87.3232</v>
          </cell>
          <cell r="K210">
            <v>103.559</v>
          </cell>
          <cell r="L210">
            <v>119.42400000000001</v>
          </cell>
          <cell r="M210">
            <v>40.173299999999998</v>
          </cell>
          <cell r="N210">
            <v>52.271799999999999</v>
          </cell>
          <cell r="O210">
            <v>34.406999999999996</v>
          </cell>
        </row>
        <row r="211">
          <cell r="A211" t="str">
            <v>3314E</v>
          </cell>
          <cell r="B211" t="str">
            <v>RoboPi</v>
          </cell>
          <cell r="C211" t="str">
            <v>PACE</v>
          </cell>
          <cell r="D211" t="str">
            <v>Richmond Hill, Ontario, Canada</v>
          </cell>
          <cell r="E211">
            <v>213</v>
          </cell>
          <cell r="F211">
            <v>294</v>
          </cell>
          <cell r="G211">
            <v>75.259200000000007</v>
          </cell>
          <cell r="H211">
            <v>69.329599999999999</v>
          </cell>
          <cell r="I211">
            <v>75.259200000000007</v>
          </cell>
          <cell r="J211">
            <v>65.828800000000001</v>
          </cell>
          <cell r="K211">
            <v>34.058</v>
          </cell>
        </row>
        <row r="212">
          <cell r="A212" t="str">
            <v>3388</v>
          </cell>
          <cell r="B212" t="str">
            <v>Foobar</v>
          </cell>
          <cell r="C212" t="str">
            <v>Sir Winston Churchill High School</v>
          </cell>
          <cell r="D212" t="str">
            <v>Calgary, Alberta, Canada</v>
          </cell>
          <cell r="E212">
            <v>422</v>
          </cell>
          <cell r="F212">
            <v>201</v>
          </cell>
          <cell r="G212">
            <v>150.30000000000001</v>
          </cell>
          <cell r="H212">
            <v>142.435</v>
          </cell>
          <cell r="I212">
            <v>150.30000000000001</v>
          </cell>
          <cell r="J212">
            <v>105.122</v>
          </cell>
          <cell r="K212">
            <v>69.044200000000004</v>
          </cell>
        </row>
        <row r="213">
          <cell r="A213" t="str">
            <v>3388T</v>
          </cell>
          <cell r="B213" t="str">
            <v>TurboTech</v>
          </cell>
          <cell r="C213" t="str">
            <v>Sir Winston Churchill High School</v>
          </cell>
          <cell r="D213" t="str">
            <v>Calgary, Alberta, Canada</v>
          </cell>
          <cell r="E213">
            <v>305</v>
          </cell>
          <cell r="F213">
            <v>145</v>
          </cell>
          <cell r="G213">
            <v>138.31899999999999</v>
          </cell>
          <cell r="H213">
            <v>138.31899999999999</v>
          </cell>
          <cell r="I213">
            <v>95.3</v>
          </cell>
          <cell r="J213">
            <v>124.664</v>
          </cell>
          <cell r="K213">
            <v>73.139600000000002</v>
          </cell>
        </row>
        <row r="214">
          <cell r="A214" t="str">
            <v>3396</v>
          </cell>
          <cell r="B214" t="str">
            <v>The Galaxies</v>
          </cell>
          <cell r="C214" t="str">
            <v>The Harker School</v>
          </cell>
          <cell r="D214" t="str">
            <v>Los Gatos , California, United States</v>
          </cell>
          <cell r="E214">
            <v>191</v>
          </cell>
          <cell r="F214">
            <v>306</v>
          </cell>
          <cell r="G214">
            <v>116.67</v>
          </cell>
          <cell r="H214">
            <v>102.101</v>
          </cell>
          <cell r="I214">
            <v>88.612799999999993</v>
          </cell>
          <cell r="J214">
            <v>104.77500000000001</v>
          </cell>
          <cell r="K214">
            <v>68.983999999999995</v>
          </cell>
          <cell r="L214">
            <v>97.607100000000003</v>
          </cell>
          <cell r="M214">
            <v>116.67</v>
          </cell>
          <cell r="N214">
            <v>78.343400000000003</v>
          </cell>
        </row>
        <row r="215">
          <cell r="A215" t="str">
            <v>3536M</v>
          </cell>
          <cell r="B215" t="str">
            <v>Raider Robotics</v>
          </cell>
          <cell r="C215" t="str">
            <v>North Forsyth High School</v>
          </cell>
          <cell r="D215" t="str">
            <v>Cumming, Georgia, United States</v>
          </cell>
          <cell r="E215">
            <v>118</v>
          </cell>
          <cell r="F215">
            <v>59</v>
          </cell>
          <cell r="G215">
            <v>76.988200000000006</v>
          </cell>
          <cell r="H215">
            <v>60.525399999999998</v>
          </cell>
          <cell r="I215">
            <v>55.127400000000002</v>
          </cell>
          <cell r="J215">
            <v>16.590199999999999</v>
          </cell>
          <cell r="K215">
            <v>49.069600000000001</v>
          </cell>
          <cell r="L215">
            <v>76.988200000000006</v>
          </cell>
          <cell r="M215">
            <v>74.298599999999993</v>
          </cell>
          <cell r="N215">
            <v>58.884799999999998</v>
          </cell>
          <cell r="O215">
            <v>44.544800000000002</v>
          </cell>
        </row>
        <row r="216">
          <cell r="A216" t="str">
            <v>3631A</v>
          </cell>
          <cell r="B216" t="str">
            <v>Collierville Illuminati</v>
          </cell>
          <cell r="C216" t="str">
            <v>Collierville High School</v>
          </cell>
          <cell r="D216" t="str">
            <v>Collierville, Tennessee, United States</v>
          </cell>
          <cell r="E216">
            <v>22</v>
          </cell>
          <cell r="F216">
            <v>2</v>
          </cell>
          <cell r="G216">
            <v>38.447099999999999</v>
          </cell>
          <cell r="H216">
            <v>38.447099999999999</v>
          </cell>
          <cell r="I216">
            <v>35.570599999999999</v>
          </cell>
          <cell r="J216">
            <v>12.9533</v>
          </cell>
        </row>
        <row r="217">
          <cell r="A217" t="str">
            <v>3702G</v>
          </cell>
          <cell r="B217" t="str">
            <v>Robo-ADS</v>
          </cell>
          <cell r="C217" t="str">
            <v>Danville High School</v>
          </cell>
          <cell r="D217" t="str">
            <v>Danville, Kentucky, United States</v>
          </cell>
          <cell r="E217">
            <v>275</v>
          </cell>
          <cell r="F217">
            <v>150</v>
          </cell>
          <cell r="G217">
            <v>121.375</v>
          </cell>
          <cell r="H217">
            <v>121.375</v>
          </cell>
          <cell r="I217">
            <v>106.051</v>
          </cell>
          <cell r="J217">
            <v>74.806700000000006</v>
          </cell>
        </row>
        <row r="218">
          <cell r="A218" t="str">
            <v>3767B</v>
          </cell>
          <cell r="B218" t="str">
            <v>Titan Robotics</v>
          </cell>
          <cell r="C218" t="str">
            <v>West Senior High School</v>
          </cell>
          <cell r="D218" t="str">
            <v>Traverse City, Michigan, United States</v>
          </cell>
          <cell r="E218">
            <v>139</v>
          </cell>
          <cell r="F218">
            <v>137</v>
          </cell>
          <cell r="G218">
            <v>114.527</v>
          </cell>
          <cell r="H218">
            <v>114.527</v>
          </cell>
          <cell r="I218">
            <v>113.779</v>
          </cell>
          <cell r="J218">
            <v>-5.69231</v>
          </cell>
        </row>
        <row r="219">
          <cell r="A219" t="str">
            <v>3815J</v>
          </cell>
          <cell r="B219" t="str">
            <v>Incursio</v>
          </cell>
          <cell r="C219" t="str">
            <v>Ranney</v>
          </cell>
          <cell r="D219" t="str">
            <v>Tinton Falls, New Jersey, United States</v>
          </cell>
          <cell r="E219">
            <v>186</v>
          </cell>
          <cell r="F219">
            <v>126</v>
          </cell>
          <cell r="G219">
            <v>99.9255</v>
          </cell>
          <cell r="H219">
            <v>58.521099999999997</v>
          </cell>
          <cell r="I219">
            <v>97.573300000000003</v>
          </cell>
          <cell r="J219">
            <v>99.9255</v>
          </cell>
          <cell r="K219">
            <v>60.705500000000001</v>
          </cell>
          <cell r="L219">
            <v>60.6633</v>
          </cell>
          <cell r="M219">
            <v>64.836399999999998</v>
          </cell>
        </row>
        <row r="220">
          <cell r="A220" t="str">
            <v>3818A</v>
          </cell>
          <cell r="B220" t="str">
            <v>ISManila</v>
          </cell>
          <cell r="C220" t="str">
            <v>International School Manila</v>
          </cell>
          <cell r="D220" t="str">
            <v>Manila, Not Applicable or Not Listed, Philippines</v>
          </cell>
          <cell r="E220">
            <v>79</v>
          </cell>
          <cell r="F220">
            <v>84</v>
          </cell>
          <cell r="G220">
            <v>46.437199999999997</v>
          </cell>
          <cell r="H220">
            <v>46.437199999999997</v>
          </cell>
        </row>
        <row r="221">
          <cell r="A221" t="str">
            <v>3921B</v>
          </cell>
          <cell r="B221" t="str">
            <v>Martin II</v>
          </cell>
          <cell r="C221" t="str">
            <v>Carroll County College And Career Academy</v>
          </cell>
          <cell r="D221" t="str">
            <v>Carrollton, Georgia, United States</v>
          </cell>
          <cell r="E221">
            <v>179</v>
          </cell>
          <cell r="F221">
            <v>78</v>
          </cell>
          <cell r="G221">
            <v>119.768</v>
          </cell>
          <cell r="H221">
            <v>119.768</v>
          </cell>
          <cell r="I221">
            <v>70.805499999999995</v>
          </cell>
          <cell r="J221">
            <v>84.155799999999999</v>
          </cell>
          <cell r="K221">
            <v>84.516499999999994</v>
          </cell>
          <cell r="L221">
            <v>69.578000000000003</v>
          </cell>
          <cell r="M221">
            <v>75.413399999999996</v>
          </cell>
          <cell r="N221">
            <v>34.061199999999999</v>
          </cell>
          <cell r="O221">
            <v>23.380299999999998</v>
          </cell>
          <cell r="P221">
            <v>24.623000000000001</v>
          </cell>
        </row>
        <row r="222">
          <cell r="A222" t="str">
            <v>3921C</v>
          </cell>
          <cell r="B222" t="str">
            <v>RoboPhoenix</v>
          </cell>
          <cell r="C222" t="str">
            <v>Carroll County College And Career Academy</v>
          </cell>
          <cell r="D222" t="str">
            <v>Carrollton, Georgia, United States</v>
          </cell>
          <cell r="E222">
            <v>92</v>
          </cell>
          <cell r="F222">
            <v>81</v>
          </cell>
          <cell r="G222">
            <v>91.962800000000001</v>
          </cell>
          <cell r="H222">
            <v>91.962800000000001</v>
          </cell>
          <cell r="I222">
            <v>78.346400000000003</v>
          </cell>
          <cell r="J222">
            <v>51.277700000000003</v>
          </cell>
          <cell r="K222">
            <v>71.2774</v>
          </cell>
          <cell r="L222">
            <v>71.292500000000004</v>
          </cell>
          <cell r="M222">
            <v>57.8155</v>
          </cell>
          <cell r="N222">
            <v>29.249099999999999</v>
          </cell>
          <cell r="O222">
            <v>20.755099999999999</v>
          </cell>
          <cell r="P222">
            <v>38.106099999999998</v>
          </cell>
        </row>
        <row r="223">
          <cell r="A223" t="str">
            <v>3946A</v>
          </cell>
          <cell r="B223" t="str">
            <v>Sun Devils</v>
          </cell>
          <cell r="C223" t="str">
            <v>Kent Denver School</v>
          </cell>
          <cell r="D223" t="str">
            <v>Englewood, Colorado, United States</v>
          </cell>
          <cell r="E223">
            <v>359</v>
          </cell>
          <cell r="F223">
            <v>148</v>
          </cell>
          <cell r="G223">
            <v>104.44199999999999</v>
          </cell>
          <cell r="H223">
            <v>96.911000000000001</v>
          </cell>
          <cell r="I223">
            <v>69.733599999999996</v>
          </cell>
          <cell r="J223">
            <v>68.135000000000005</v>
          </cell>
          <cell r="K223">
            <v>104.44199999999999</v>
          </cell>
          <cell r="L223">
            <v>50.923400000000001</v>
          </cell>
          <cell r="M223">
            <v>73.137</v>
          </cell>
        </row>
        <row r="224">
          <cell r="A224" t="str">
            <v>3946E</v>
          </cell>
          <cell r="B224" t="str">
            <v>Sun Devils</v>
          </cell>
          <cell r="C224" t="str">
            <v>Kent Denver School</v>
          </cell>
          <cell r="D224" t="str">
            <v>Englewood, Colorado, United States</v>
          </cell>
          <cell r="E224">
            <v>363</v>
          </cell>
          <cell r="F224">
            <v>315</v>
          </cell>
          <cell r="G224">
            <v>142.22200000000001</v>
          </cell>
          <cell r="H224">
            <v>142.22200000000001</v>
          </cell>
          <cell r="I224">
            <v>103.527</v>
          </cell>
          <cell r="J224">
            <v>95.291700000000006</v>
          </cell>
          <cell r="K224">
            <v>16.667000000000002</v>
          </cell>
          <cell r="L224">
            <v>68.207499999999996</v>
          </cell>
        </row>
        <row r="225">
          <cell r="A225" t="str">
            <v>3946W</v>
          </cell>
          <cell r="B225" t="str">
            <v>Sun Devils</v>
          </cell>
          <cell r="C225" t="str">
            <v>Kent Denver School</v>
          </cell>
          <cell r="D225" t="str">
            <v>Englewood, Colorado, United States</v>
          </cell>
          <cell r="E225">
            <v>194</v>
          </cell>
          <cell r="F225">
            <v>320</v>
          </cell>
          <cell r="G225">
            <v>85.489699999999999</v>
          </cell>
          <cell r="H225">
            <v>67.125799999999998</v>
          </cell>
          <cell r="I225">
            <v>85.489699999999999</v>
          </cell>
          <cell r="J225">
            <v>56.720399999999998</v>
          </cell>
          <cell r="K225">
            <v>72.283900000000003</v>
          </cell>
          <cell r="L225">
            <v>3.5691600000000001</v>
          </cell>
          <cell r="M225">
            <v>21.238800000000001</v>
          </cell>
        </row>
        <row r="226">
          <cell r="A226" t="str">
            <v>4000</v>
          </cell>
          <cell r="B226" t="str">
            <v>Omni Eagles</v>
          </cell>
          <cell r="C226" t="str">
            <v>Heritage Academy</v>
          </cell>
          <cell r="D226" t="str">
            <v>Quinlan, Texas, United States</v>
          </cell>
          <cell r="E226">
            <v>236</v>
          </cell>
          <cell r="F226">
            <v>69</v>
          </cell>
          <cell r="G226">
            <v>130.08699999999999</v>
          </cell>
          <cell r="H226">
            <v>95.747799999999998</v>
          </cell>
          <cell r="I226">
            <v>76.957300000000004</v>
          </cell>
          <cell r="J226">
            <v>80.509500000000003</v>
          </cell>
          <cell r="K226">
            <v>130.08699999999999</v>
          </cell>
          <cell r="L226">
            <v>115.092</v>
          </cell>
          <cell r="M226">
            <v>84.1477</v>
          </cell>
          <cell r="N226">
            <v>92.0381</v>
          </cell>
          <cell r="O226">
            <v>0</v>
          </cell>
        </row>
        <row r="227">
          <cell r="A227" t="str">
            <v>4004A</v>
          </cell>
          <cell r="B227" t="str">
            <v>Warrior Robotics</v>
          </cell>
          <cell r="C227" t="str">
            <v>Boone-Apache TSA</v>
          </cell>
          <cell r="D227" t="str">
            <v>Apache, Oklahoma, United States</v>
          </cell>
          <cell r="E227">
            <v>311</v>
          </cell>
          <cell r="F227">
            <v>155</v>
          </cell>
          <cell r="G227">
            <v>159.11500000000001</v>
          </cell>
          <cell r="H227">
            <v>127.383</v>
          </cell>
          <cell r="I227">
            <v>100.32899999999999</v>
          </cell>
          <cell r="J227">
            <v>123.634</v>
          </cell>
          <cell r="K227">
            <v>159.11500000000001</v>
          </cell>
        </row>
        <row r="228">
          <cell r="A228" t="str">
            <v>4029A</v>
          </cell>
          <cell r="B228" t="str">
            <v>Excalibots</v>
          </cell>
          <cell r="C228" t="str">
            <v xml:space="preserve">Leesburg Robotics Alliance </v>
          </cell>
          <cell r="D228" t="str">
            <v>Leesburg, Florida, United States</v>
          </cell>
          <cell r="E228">
            <v>167</v>
          </cell>
          <cell r="F228">
            <v>231</v>
          </cell>
          <cell r="G228">
            <v>119.961</v>
          </cell>
          <cell r="H228">
            <v>119.961</v>
          </cell>
          <cell r="I228">
            <v>80.898799999999994</v>
          </cell>
          <cell r="J228">
            <v>96.556899999999999</v>
          </cell>
          <cell r="K228">
            <v>14.337300000000001</v>
          </cell>
        </row>
        <row r="229">
          <cell r="A229" t="str">
            <v>4104A</v>
          </cell>
          <cell r="B229" t="str">
            <v>Trojan Pride A</v>
          </cell>
          <cell r="C229" t="str">
            <v>North Hardin High School PLTW</v>
          </cell>
          <cell r="D229" t="str">
            <v>Radcliff, Kentucky, United States</v>
          </cell>
          <cell r="E229">
            <v>320</v>
          </cell>
          <cell r="F229">
            <v>320</v>
          </cell>
          <cell r="G229">
            <v>122.85899999999999</v>
          </cell>
          <cell r="H229">
            <v>122.85899999999999</v>
          </cell>
          <cell r="I229">
            <v>90.794700000000006</v>
          </cell>
          <cell r="J229">
            <v>75.221999999999994</v>
          </cell>
          <cell r="K229">
            <v>109.41200000000001</v>
          </cell>
          <cell r="L229">
            <v>26.7666</v>
          </cell>
        </row>
        <row r="230">
          <cell r="A230" t="str">
            <v>4112A</v>
          </cell>
          <cell r="B230" t="str">
            <v>Blue Devils</v>
          </cell>
          <cell r="C230" t="str">
            <v>Zanesville High School</v>
          </cell>
          <cell r="D230" t="str">
            <v>Zanesville, Ohio, United States</v>
          </cell>
          <cell r="E230">
            <v>230</v>
          </cell>
          <cell r="F230">
            <v>127</v>
          </cell>
          <cell r="G230">
            <v>118.90300000000001</v>
          </cell>
          <cell r="H230">
            <v>46.2498</v>
          </cell>
          <cell r="I230">
            <v>58.603299999999997</v>
          </cell>
          <cell r="J230">
            <v>0</v>
          </cell>
          <cell r="K230">
            <v>118.90300000000001</v>
          </cell>
          <cell r="L230">
            <v>86.547399999999996</v>
          </cell>
        </row>
        <row r="231">
          <cell r="A231" t="str">
            <v>4142A</v>
          </cell>
          <cell r="B231" t="str">
            <v>Pearl City High School</v>
          </cell>
          <cell r="C231" t="str">
            <v>Pearl City High School</v>
          </cell>
          <cell r="D231" t="str">
            <v>Pearl City, Hawaii, United States</v>
          </cell>
          <cell r="E231">
            <v>259</v>
          </cell>
          <cell r="F231">
            <v>244</v>
          </cell>
          <cell r="G231">
            <v>157.41399999999999</v>
          </cell>
          <cell r="H231">
            <v>110.416</v>
          </cell>
          <cell r="I231">
            <v>108.746</v>
          </cell>
          <cell r="J231">
            <v>157.41399999999999</v>
          </cell>
          <cell r="K231">
            <v>65.322900000000004</v>
          </cell>
          <cell r="L231">
            <v>98.789699999999996</v>
          </cell>
        </row>
        <row r="232">
          <cell r="A232" t="str">
            <v>4142B</v>
          </cell>
          <cell r="B232" t="str">
            <v>Pearl City High School</v>
          </cell>
          <cell r="C232" t="str">
            <v>Pearl City High School</v>
          </cell>
          <cell r="D232" t="str">
            <v>Pearl City, Hawaii, United States</v>
          </cell>
          <cell r="E232">
            <v>291</v>
          </cell>
          <cell r="F232">
            <v>142</v>
          </cell>
          <cell r="G232">
            <v>101.355</v>
          </cell>
          <cell r="H232">
            <v>75.552400000000006</v>
          </cell>
          <cell r="I232">
            <v>94.464600000000004</v>
          </cell>
          <cell r="J232">
            <v>101.355</v>
          </cell>
          <cell r="K232">
            <v>55.485599999999998</v>
          </cell>
        </row>
        <row r="233">
          <cell r="A233" t="str">
            <v>4146V</v>
          </cell>
          <cell r="B233" t="str">
            <v>Sabercat Robotics</v>
          </cell>
          <cell r="C233" t="str">
            <v>Scottsdale Unified Schools-- Saguaro High School</v>
          </cell>
          <cell r="D233" t="str">
            <v>Scottsdale, Arizona, United States</v>
          </cell>
          <cell r="E233">
            <v>130</v>
          </cell>
          <cell r="F233">
            <v>77</v>
          </cell>
          <cell r="G233">
            <v>118.139</v>
          </cell>
          <cell r="H233">
            <v>118.139</v>
          </cell>
          <cell r="I233">
            <v>88.537400000000005</v>
          </cell>
          <cell r="J233">
            <v>75.010599999999997</v>
          </cell>
          <cell r="K233">
            <v>70.727900000000005</v>
          </cell>
        </row>
        <row r="234">
          <cell r="A234" t="str">
            <v>4148A</v>
          </cell>
          <cell r="B234" t="str">
            <v>Iron Cowboys</v>
          </cell>
          <cell r="C234" t="str">
            <v>Greenville High School</v>
          </cell>
          <cell r="D234" t="str">
            <v>Greenville, Texas, United States</v>
          </cell>
          <cell r="E234">
            <v>257</v>
          </cell>
          <cell r="F234">
            <v>130</v>
          </cell>
          <cell r="G234">
            <v>107.127</v>
          </cell>
          <cell r="H234">
            <v>91.912400000000005</v>
          </cell>
          <cell r="I234">
            <v>107.127</v>
          </cell>
          <cell r="J234">
            <v>84.268500000000003</v>
          </cell>
          <cell r="K234">
            <v>89.802000000000007</v>
          </cell>
          <cell r="L234">
            <v>69.767399999999995</v>
          </cell>
          <cell r="M234">
            <v>87.231800000000007</v>
          </cell>
          <cell r="N234">
            <v>0</v>
          </cell>
        </row>
        <row r="235">
          <cell r="A235" t="str">
            <v>4149C</v>
          </cell>
          <cell r="B235" t="str">
            <v>Iron Chargers (C Team)</v>
          </cell>
          <cell r="C235" t="str">
            <v>Grygla Public School Robotics</v>
          </cell>
          <cell r="D235" t="str">
            <v>Grygla, Minnesota, United States</v>
          </cell>
          <cell r="E235">
            <v>248</v>
          </cell>
          <cell r="F235">
            <v>223</v>
          </cell>
          <cell r="G235">
            <v>123.238</v>
          </cell>
          <cell r="H235">
            <v>115.146</v>
          </cell>
          <cell r="I235">
            <v>105.25700000000001</v>
          </cell>
          <cell r="J235">
            <v>123.238</v>
          </cell>
          <cell r="K235">
            <v>85.581000000000003</v>
          </cell>
        </row>
        <row r="236">
          <cell r="A236" t="str">
            <v>4154A</v>
          </cell>
          <cell r="B236" t="str">
            <v>U.S.S.R.</v>
          </cell>
          <cell r="C236" t="str">
            <v>University School of Nova Southeastern University</v>
          </cell>
          <cell r="D236" t="str">
            <v>Fort Lauderdale, Florida, United States</v>
          </cell>
          <cell r="E236">
            <v>281</v>
          </cell>
          <cell r="F236">
            <v>150</v>
          </cell>
          <cell r="G236">
            <v>122.53100000000001</v>
          </cell>
          <cell r="H236">
            <v>69.838999999999999</v>
          </cell>
          <cell r="I236">
            <v>114.85899999999999</v>
          </cell>
          <cell r="J236">
            <v>122.53100000000001</v>
          </cell>
          <cell r="K236">
            <v>48.1569</v>
          </cell>
          <cell r="L236">
            <v>74.795500000000004</v>
          </cell>
        </row>
        <row r="237">
          <cell r="A237" t="str">
            <v>4154C</v>
          </cell>
          <cell r="B237" t="str">
            <v>U.S.S.R.</v>
          </cell>
          <cell r="C237" t="str">
            <v>University School of Nova Southeastern University</v>
          </cell>
          <cell r="D237" t="str">
            <v>Fort Lauderdale, Florida, United States</v>
          </cell>
          <cell r="E237">
            <v>16</v>
          </cell>
          <cell r="F237">
            <v>0</v>
          </cell>
          <cell r="G237">
            <v>34.290599999999998</v>
          </cell>
          <cell r="H237">
            <v>31.085799999999999</v>
          </cell>
          <cell r="I237">
            <v>34.290599999999998</v>
          </cell>
          <cell r="J237">
            <v>17.877199999999998</v>
          </cell>
          <cell r="K237">
            <v>5.9264299999999999</v>
          </cell>
        </row>
        <row r="238">
          <cell r="A238" t="str">
            <v>4194E</v>
          </cell>
          <cell r="B238" t="str">
            <v>TAS E</v>
          </cell>
          <cell r="C238" t="str">
            <v>Taipei American School</v>
          </cell>
          <cell r="D238" t="str">
            <v>Taipei, Not Applicable or Not Listed, Taiwan</v>
          </cell>
          <cell r="E238">
            <v>166</v>
          </cell>
          <cell r="F238">
            <v>153</v>
          </cell>
          <cell r="G238">
            <v>66.361900000000006</v>
          </cell>
          <cell r="H238">
            <v>66.361900000000006</v>
          </cell>
        </row>
        <row r="239">
          <cell r="A239" t="str">
            <v>4256B</v>
          </cell>
          <cell r="B239" t="str">
            <v>Gear Monkey Robotics</v>
          </cell>
          <cell r="C239" t="str">
            <v>Madison Career and Technical Center</v>
          </cell>
          <cell r="D239" t="str">
            <v>Madison, Mississippi, United States</v>
          </cell>
          <cell r="E239">
            <v>288</v>
          </cell>
          <cell r="F239">
            <v>184</v>
          </cell>
          <cell r="G239">
            <v>172.536</v>
          </cell>
          <cell r="H239">
            <v>92.507300000000001</v>
          </cell>
          <cell r="I239">
            <v>140.334</v>
          </cell>
          <cell r="J239">
            <v>172.536</v>
          </cell>
          <cell r="K239">
            <v>95.552800000000005</v>
          </cell>
          <cell r="L239">
            <v>71.743399999999994</v>
          </cell>
        </row>
        <row r="240">
          <cell r="A240" t="str">
            <v>4303C</v>
          </cell>
          <cell r="B240" t="str">
            <v>Crossfire</v>
          </cell>
          <cell r="C240" t="str">
            <v>Forest Park High School</v>
          </cell>
          <cell r="D240" t="str">
            <v>Woodbridge, Virginia, United States</v>
          </cell>
          <cell r="E240">
            <v>246</v>
          </cell>
          <cell r="F240">
            <v>238</v>
          </cell>
          <cell r="G240">
            <v>109.54</v>
          </cell>
          <cell r="H240">
            <v>109.54</v>
          </cell>
          <cell r="I240">
            <v>85.138199999999998</v>
          </cell>
          <cell r="J240">
            <v>76.009699999999995</v>
          </cell>
          <cell r="K240">
            <v>90.132999999999996</v>
          </cell>
          <cell r="L240">
            <v>61.124600000000001</v>
          </cell>
          <cell r="M240">
            <v>60.920699999999997</v>
          </cell>
        </row>
        <row r="241">
          <cell r="A241" t="str">
            <v>4306A</v>
          </cell>
          <cell r="B241" t="str">
            <v>Sheikh Abdullah 1</v>
          </cell>
          <cell r="C241" t="str">
            <v>Sheikh Abdullah bin Isa Al Khalifa Secondary Schoo</v>
          </cell>
          <cell r="D241" t="str">
            <v>Isa Town, Not Applicable or Not Listed, Bahrain</v>
          </cell>
          <cell r="E241">
            <v>0</v>
          </cell>
          <cell r="F241">
            <v>0</v>
          </cell>
          <cell r="G241">
            <v>70.214799999999997</v>
          </cell>
          <cell r="H241">
            <v>70.214799999999997</v>
          </cell>
        </row>
        <row r="242">
          <cell r="A242" t="str">
            <v>4334A</v>
          </cell>
          <cell r="B242" t="str">
            <v>YIC 1</v>
          </cell>
          <cell r="C242" t="str">
            <v>Youth Innovation Center</v>
          </cell>
          <cell r="D242" t="str">
            <v>Manama, Not Applicable or Not Listed, Bahrain</v>
          </cell>
          <cell r="E242">
            <v>0</v>
          </cell>
          <cell r="F242">
            <v>0</v>
          </cell>
          <cell r="G242">
            <v>49.713500000000003</v>
          </cell>
          <cell r="H242">
            <v>49.713500000000003</v>
          </cell>
        </row>
        <row r="243">
          <cell r="A243" t="str">
            <v>4393R</v>
          </cell>
          <cell r="B243" t="str">
            <v>Penguins B</v>
          </cell>
          <cell r="C243" t="str">
            <v>Maine School of Science and Mathematics</v>
          </cell>
          <cell r="D243" t="str">
            <v>Limestone, Maine, United States</v>
          </cell>
          <cell r="E243">
            <v>29</v>
          </cell>
          <cell r="F243">
            <v>20</v>
          </cell>
          <cell r="G243">
            <v>29.907499999999999</v>
          </cell>
          <cell r="H243">
            <v>29.907499999999999</v>
          </cell>
          <cell r="I243">
            <v>13.946999999999999</v>
          </cell>
        </row>
        <row r="244">
          <cell r="A244" t="str">
            <v>4410A</v>
          </cell>
          <cell r="B244" t="str">
            <v>Technocracy</v>
          </cell>
          <cell r="C244" t="str">
            <v>South Eden Robotics Club</v>
          </cell>
          <cell r="D244" t="str">
            <v>Fond du Lac, Wisconsin, United States</v>
          </cell>
          <cell r="E244">
            <v>151</v>
          </cell>
          <cell r="F244">
            <v>151</v>
          </cell>
          <cell r="G244">
            <v>113.627</v>
          </cell>
          <cell r="H244">
            <v>71.320400000000006</v>
          </cell>
          <cell r="I244">
            <v>113.627</v>
          </cell>
          <cell r="J244">
            <v>42.824100000000001</v>
          </cell>
          <cell r="K244">
            <v>73.821100000000001</v>
          </cell>
        </row>
        <row r="245">
          <cell r="A245" t="str">
            <v>4423C</v>
          </cell>
          <cell r="B245" t="str">
            <v>Masters</v>
          </cell>
          <cell r="C245" t="str">
            <v>San Pedro Claver</v>
          </cell>
          <cell r="D245" t="str">
            <v>Bucaramanga, Santander, Colombia</v>
          </cell>
          <cell r="E245">
            <v>126</v>
          </cell>
          <cell r="F245">
            <v>10</v>
          </cell>
          <cell r="G245">
            <v>115.127</v>
          </cell>
          <cell r="H245">
            <v>115.127</v>
          </cell>
          <cell r="I245">
            <v>66.681100000000001</v>
          </cell>
        </row>
        <row r="246">
          <cell r="A246" t="str">
            <v>4448A</v>
          </cell>
          <cell r="B246" t="str">
            <v>RLF Eagles</v>
          </cell>
          <cell r="C246" t="str">
            <v>Lafayette High School</v>
          </cell>
          <cell r="D246" t="str">
            <v>Red Lake Falls, Minnesota, United States</v>
          </cell>
          <cell r="E246">
            <v>101</v>
          </cell>
          <cell r="F246">
            <v>130</v>
          </cell>
          <cell r="G246">
            <v>78.748099999999994</v>
          </cell>
          <cell r="H246">
            <v>78.748099999999994</v>
          </cell>
          <cell r="I246">
            <v>47.892499999999998</v>
          </cell>
          <cell r="J246">
            <v>23.707899999999999</v>
          </cell>
        </row>
        <row r="247">
          <cell r="A247" t="str">
            <v>4478C</v>
          </cell>
          <cell r="B247" t="str">
            <v>VEXED</v>
          </cell>
          <cell r="C247" t="str">
            <v>Masuk High School Robotics Team</v>
          </cell>
          <cell r="D247" t="str">
            <v>Monroe, Connecticut, United States</v>
          </cell>
          <cell r="E247">
            <v>101</v>
          </cell>
          <cell r="F247">
            <v>115</v>
          </cell>
          <cell r="G247">
            <v>96.064800000000005</v>
          </cell>
          <cell r="H247">
            <v>70.293499999999995</v>
          </cell>
          <cell r="I247">
            <v>50.641100000000002</v>
          </cell>
          <cell r="J247">
            <v>96.064800000000005</v>
          </cell>
          <cell r="K247">
            <v>45.6646</v>
          </cell>
          <cell r="L247">
            <v>70.819100000000006</v>
          </cell>
          <cell r="M247">
            <v>61.215499999999999</v>
          </cell>
          <cell r="N247">
            <v>21.430599999999998</v>
          </cell>
        </row>
        <row r="248">
          <cell r="A248" t="str">
            <v>4478F</v>
          </cell>
          <cell r="B248" t="str">
            <v>Vex Hunters</v>
          </cell>
          <cell r="C248" t="str">
            <v>Masuk High School Robotics Team</v>
          </cell>
          <cell r="D248" t="str">
            <v>Monroe, Connecticut, United States</v>
          </cell>
          <cell r="E248">
            <v>103</v>
          </cell>
          <cell r="F248">
            <v>81</v>
          </cell>
          <cell r="G248">
            <v>102.669</v>
          </cell>
          <cell r="H248">
            <v>92.849500000000006</v>
          </cell>
          <cell r="I248">
            <v>89.517099999999999</v>
          </cell>
          <cell r="J248">
            <v>54.122500000000002</v>
          </cell>
          <cell r="K248">
            <v>102.669</v>
          </cell>
          <cell r="L248">
            <v>33.683900000000001</v>
          </cell>
          <cell r="M248">
            <v>1.4581999999999999</v>
          </cell>
          <cell r="N248">
            <v>13.5002</v>
          </cell>
        </row>
        <row r="249">
          <cell r="A249" t="str">
            <v>4502G</v>
          </cell>
          <cell r="B249" t="str">
            <v>Masters Gamma</v>
          </cell>
          <cell r="C249" t="str">
            <v>San Pedro Claver</v>
          </cell>
          <cell r="D249" t="str">
            <v>Bucaramanga, Santander, Colombia</v>
          </cell>
          <cell r="E249">
            <v>177</v>
          </cell>
          <cell r="F249">
            <v>0</v>
          </cell>
          <cell r="G249">
            <v>113.483</v>
          </cell>
          <cell r="H249">
            <v>113.483</v>
          </cell>
          <cell r="I249">
            <v>82.038499999999999</v>
          </cell>
        </row>
        <row r="250">
          <cell r="A250" t="str">
            <v>4610Z</v>
          </cell>
          <cell r="B250" t="str">
            <v>And Then There's Jake</v>
          </cell>
          <cell r="C250" t="str">
            <v>Robot Revolution</v>
          </cell>
          <cell r="D250" t="str">
            <v>Summit, New Jersey, United States</v>
          </cell>
          <cell r="E250">
            <v>120</v>
          </cell>
          <cell r="F250">
            <v>55</v>
          </cell>
          <cell r="G250">
            <v>92.872399999999999</v>
          </cell>
          <cell r="H250">
            <v>87.723600000000005</v>
          </cell>
          <cell r="I250">
            <v>85.652100000000004</v>
          </cell>
          <cell r="J250">
            <v>92.872399999999999</v>
          </cell>
          <cell r="K250">
            <v>86.744900000000001</v>
          </cell>
          <cell r="L250">
            <v>86.554000000000002</v>
          </cell>
          <cell r="M250">
            <v>60.108899999999998</v>
          </cell>
        </row>
        <row r="251">
          <cell r="A251" t="str">
            <v>4659A</v>
          </cell>
          <cell r="B251" t="str">
            <v>Warrior Robotix A</v>
          </cell>
          <cell r="C251" t="str">
            <v>Port Credit Secondary School</v>
          </cell>
          <cell r="D251" t="str">
            <v>Mississauga, Ontario, Canada</v>
          </cell>
          <cell r="E251">
            <v>348</v>
          </cell>
          <cell r="F251">
            <v>320</v>
          </cell>
          <cell r="G251">
            <v>139.797</v>
          </cell>
          <cell r="H251">
            <v>139.797</v>
          </cell>
          <cell r="I251">
            <v>96.647499999999994</v>
          </cell>
          <cell r="J251">
            <v>128.68199999999999</v>
          </cell>
          <cell r="K251">
            <v>113.04300000000001</v>
          </cell>
          <cell r="L251">
            <v>68.163600000000002</v>
          </cell>
        </row>
        <row r="252">
          <cell r="A252" t="str">
            <v>4659D</v>
          </cell>
          <cell r="B252" t="str">
            <v>Warrior Robotix D</v>
          </cell>
          <cell r="C252" t="str">
            <v>Port Credit Secondary School</v>
          </cell>
          <cell r="D252" t="str">
            <v>Mississauga, Ontario, Canada</v>
          </cell>
          <cell r="E252">
            <v>356</v>
          </cell>
          <cell r="F252">
            <v>0</v>
          </cell>
          <cell r="G252">
            <v>140.72200000000001</v>
          </cell>
          <cell r="H252">
            <v>140.72200000000001</v>
          </cell>
          <cell r="I252">
            <v>100.599</v>
          </cell>
          <cell r="J252">
            <v>84.398300000000006</v>
          </cell>
          <cell r="K252">
            <v>24.293399999999998</v>
          </cell>
        </row>
        <row r="253">
          <cell r="A253" t="str">
            <v>4716D</v>
          </cell>
          <cell r="B253" t="str">
            <v>Pingree Servomatics</v>
          </cell>
          <cell r="C253" t="str">
            <v>Pingree School</v>
          </cell>
          <cell r="D253" t="str">
            <v>S. Hamilton, Massachusetts, United States</v>
          </cell>
          <cell r="E253">
            <v>105</v>
          </cell>
          <cell r="F253">
            <v>150</v>
          </cell>
          <cell r="G253">
            <v>88.680400000000006</v>
          </cell>
          <cell r="H253">
            <v>84.113200000000006</v>
          </cell>
          <cell r="I253">
            <v>88.680400000000006</v>
          </cell>
          <cell r="J253">
            <v>67.422200000000004</v>
          </cell>
          <cell r="K253">
            <v>29.464300000000001</v>
          </cell>
          <cell r="L253">
            <v>15.8947</v>
          </cell>
        </row>
        <row r="254">
          <cell r="A254" t="str">
            <v>4800</v>
          </cell>
          <cell r="B254" t="str">
            <v>Brobot</v>
          </cell>
          <cell r="C254" t="str">
            <v>St. Francis High School</v>
          </cell>
          <cell r="D254" t="str">
            <v>La Canada, California, United States</v>
          </cell>
          <cell r="E254">
            <v>199</v>
          </cell>
          <cell r="F254">
            <v>44</v>
          </cell>
          <cell r="G254">
            <v>58.962299999999999</v>
          </cell>
          <cell r="H254">
            <v>58.962299999999999</v>
          </cell>
          <cell r="I254">
            <v>17.427600000000002</v>
          </cell>
          <cell r="J254">
            <v>21.586200000000002</v>
          </cell>
          <cell r="K254">
            <v>-3.1076000000000001</v>
          </cell>
        </row>
        <row r="255">
          <cell r="A255" t="str">
            <v>4805E</v>
          </cell>
          <cell r="B255" t="str">
            <v>B.O.S.</v>
          </cell>
          <cell r="C255" t="str">
            <v>Marion Harding High School</v>
          </cell>
          <cell r="D255" t="str">
            <v>Marion, Ohio, United States</v>
          </cell>
          <cell r="E255">
            <v>0</v>
          </cell>
          <cell r="F255">
            <v>141</v>
          </cell>
          <cell r="G255">
            <v>51.571100000000001</v>
          </cell>
          <cell r="H255">
            <v>51.571100000000001</v>
          </cell>
          <cell r="I255">
            <v>33.081000000000003</v>
          </cell>
          <cell r="J255">
            <v>44.777000000000001</v>
          </cell>
          <cell r="K255">
            <v>13.762</v>
          </cell>
          <cell r="L255">
            <v>0</v>
          </cell>
          <cell r="M255">
            <v>25.657900000000001</v>
          </cell>
          <cell r="N255">
            <v>18.7318</v>
          </cell>
          <cell r="O255">
            <v>26.637799999999999</v>
          </cell>
          <cell r="P255">
            <v>14.602600000000001</v>
          </cell>
        </row>
        <row r="256">
          <cell r="A256" t="str">
            <v>4805X</v>
          </cell>
          <cell r="B256" t="str">
            <v>A3RC</v>
          </cell>
          <cell r="C256" t="str">
            <v>Marion Harding High School</v>
          </cell>
          <cell r="D256" t="str">
            <v>Marion, Ohio, United States</v>
          </cell>
          <cell r="E256">
            <v>50</v>
          </cell>
          <cell r="F256">
            <v>156</v>
          </cell>
          <cell r="G256">
            <v>95.649799999999999</v>
          </cell>
          <cell r="H256">
            <v>60.1434</v>
          </cell>
          <cell r="I256">
            <v>91.475700000000003</v>
          </cell>
          <cell r="J256">
            <v>76.920199999999994</v>
          </cell>
          <cell r="K256">
            <v>88.535899999999998</v>
          </cell>
          <cell r="L256">
            <v>0</v>
          </cell>
          <cell r="M256">
            <v>95.649799999999999</v>
          </cell>
          <cell r="N256">
            <v>92.502700000000004</v>
          </cell>
          <cell r="O256">
            <v>80.721599999999995</v>
          </cell>
          <cell r="P256">
            <v>70.895200000000003</v>
          </cell>
        </row>
        <row r="257">
          <cell r="A257" t="str">
            <v>4815A</v>
          </cell>
          <cell r="B257" t="str">
            <v>CPC A TEAM</v>
          </cell>
          <cell r="C257" t="str">
            <v>WEO CHANG PUI CHUNG MEMORIAL SCHOOL</v>
          </cell>
          <cell r="D257" t="str">
            <v>TSEUNG KWAN O, Not Applicable or Not Listed, Hong Kong</v>
          </cell>
          <cell r="E257">
            <v>0</v>
          </cell>
          <cell r="F257">
            <v>171</v>
          </cell>
          <cell r="G257">
            <v>53.069400000000002</v>
          </cell>
          <cell r="H257">
            <v>53.069400000000002</v>
          </cell>
        </row>
        <row r="258">
          <cell r="A258" t="str">
            <v>4815B</v>
          </cell>
          <cell r="B258" t="str">
            <v>CPC B Team</v>
          </cell>
          <cell r="C258" t="str">
            <v>WEO CHANG PUI CHUNG MEMORIAL SCHOOL</v>
          </cell>
          <cell r="D258" t="str">
            <v>TSEUNG KWAN O, Not Applicable or Not Listed, Hong Kong</v>
          </cell>
          <cell r="E258">
            <v>295</v>
          </cell>
          <cell r="F258">
            <v>263</v>
          </cell>
          <cell r="G258">
            <v>91.036600000000007</v>
          </cell>
          <cell r="H258">
            <v>91.036600000000007</v>
          </cell>
        </row>
        <row r="259">
          <cell r="A259" t="str">
            <v>4825A</v>
          </cell>
          <cell r="B259" t="str">
            <v>Full Metal Robotics</v>
          </cell>
          <cell r="C259" t="str">
            <v>Royal Live Oaks Academy Charter School</v>
          </cell>
          <cell r="D259" t="str">
            <v>Hardeeville, South Carolina, United States</v>
          </cell>
          <cell r="E259">
            <v>218</v>
          </cell>
          <cell r="F259">
            <v>203</v>
          </cell>
          <cell r="G259">
            <v>78.689899999999994</v>
          </cell>
          <cell r="H259">
            <v>68.914100000000005</v>
          </cell>
          <cell r="I259">
            <v>78.689899999999994</v>
          </cell>
          <cell r="J259">
            <v>47.624899999999997</v>
          </cell>
          <cell r="K259">
            <v>39.673699999999997</v>
          </cell>
        </row>
        <row r="260">
          <cell r="A260" t="str">
            <v>4828B</v>
          </cell>
          <cell r="B260" t="str">
            <v>BrewTech Robotics - B</v>
          </cell>
          <cell r="C260" t="str">
            <v>Brewbaker Technology Magnet High School</v>
          </cell>
          <cell r="D260" t="str">
            <v>Montgomery, Alabama, United States</v>
          </cell>
          <cell r="E260">
            <v>168</v>
          </cell>
          <cell r="F260">
            <v>166</v>
          </cell>
          <cell r="G260">
            <v>66.389200000000002</v>
          </cell>
          <cell r="H260">
            <v>66.389200000000002</v>
          </cell>
          <cell r="I260">
            <v>55.332500000000003</v>
          </cell>
          <cell r="J260">
            <v>25.825099999999999</v>
          </cell>
          <cell r="K260">
            <v>53.729799999999997</v>
          </cell>
        </row>
        <row r="261">
          <cell r="A261" t="str">
            <v>4828F</v>
          </cell>
          <cell r="B261" t="str">
            <v>BrewTech Robotics - F</v>
          </cell>
          <cell r="C261" t="str">
            <v>Brewbaker Technology Magnet High School</v>
          </cell>
          <cell r="D261" t="str">
            <v>Montgomery, Alabama, United States</v>
          </cell>
          <cell r="E261">
            <v>96</v>
          </cell>
          <cell r="F261">
            <v>83</v>
          </cell>
          <cell r="G261">
            <v>71.496600000000001</v>
          </cell>
          <cell r="H261">
            <v>71.496600000000001</v>
          </cell>
          <cell r="I261">
            <v>63.491399999999999</v>
          </cell>
          <cell r="J261">
            <v>48.560699999999997</v>
          </cell>
          <cell r="K261">
            <v>33.567599999999999</v>
          </cell>
        </row>
        <row r="262">
          <cell r="A262" t="str">
            <v>4828S</v>
          </cell>
          <cell r="B262" t="str">
            <v>BrewTech Robotics - S</v>
          </cell>
          <cell r="C262" t="str">
            <v>Brewbaker Technology Magnet High School</v>
          </cell>
          <cell r="D262" t="str">
            <v>Montgomery, Alabama, United States</v>
          </cell>
          <cell r="E262">
            <v>127</v>
          </cell>
          <cell r="F262">
            <v>82</v>
          </cell>
          <cell r="G262">
            <v>85.906199999999998</v>
          </cell>
          <cell r="H262">
            <v>85.906199999999998</v>
          </cell>
          <cell r="I262">
            <v>29.715699999999998</v>
          </cell>
          <cell r="J262">
            <v>36.690199999999997</v>
          </cell>
          <cell r="K262">
            <v>32.0274</v>
          </cell>
        </row>
        <row r="263">
          <cell r="A263" t="str">
            <v>4886A</v>
          </cell>
          <cell r="B263" t="str">
            <v>Black Mesa</v>
          </cell>
          <cell r="C263" t="str">
            <v>Thetford Academy</v>
          </cell>
          <cell r="D263" t="str">
            <v>Thetford, Vermont, United States</v>
          </cell>
          <cell r="E263">
            <v>163</v>
          </cell>
          <cell r="F263">
            <v>146</v>
          </cell>
          <cell r="G263">
            <v>125.179</v>
          </cell>
          <cell r="H263">
            <v>125.179</v>
          </cell>
          <cell r="I263">
            <v>71.413799999999995</v>
          </cell>
          <cell r="J263">
            <v>84.884299999999996</v>
          </cell>
          <cell r="K263">
            <v>43.179400000000001</v>
          </cell>
          <cell r="L263">
            <v>31.5123</v>
          </cell>
        </row>
        <row r="264">
          <cell r="A264" t="str">
            <v>4906A</v>
          </cell>
          <cell r="B264" t="str">
            <v>The Collective</v>
          </cell>
          <cell r="C264" t="str">
            <v>Mid-Maine Technical Center</v>
          </cell>
          <cell r="D264" t="str">
            <v>Waterville, Maine, United States</v>
          </cell>
          <cell r="E264">
            <v>25</v>
          </cell>
          <cell r="F264">
            <v>12</v>
          </cell>
          <cell r="G264">
            <v>65.862499999999997</v>
          </cell>
          <cell r="H264">
            <v>65.862499999999997</v>
          </cell>
          <cell r="I264">
            <v>31.6799</v>
          </cell>
          <cell r="J264">
            <v>35.819800000000001</v>
          </cell>
        </row>
        <row r="265">
          <cell r="A265" t="str">
            <v>4911A</v>
          </cell>
          <cell r="B265" t="str">
            <v>High Voltage</v>
          </cell>
          <cell r="C265" t="str">
            <v>Michiana Youth Robotics and Engineering</v>
          </cell>
          <cell r="D265" t="str">
            <v>Niles, Michigan, United States</v>
          </cell>
          <cell r="E265">
            <v>146</v>
          </cell>
          <cell r="F265">
            <v>125</v>
          </cell>
          <cell r="G265">
            <v>111.986</v>
          </cell>
          <cell r="H265">
            <v>100.72799999999999</v>
          </cell>
          <cell r="I265">
            <v>94.535899999999998</v>
          </cell>
          <cell r="J265">
            <v>111.986</v>
          </cell>
          <cell r="K265">
            <v>97.012200000000007</v>
          </cell>
        </row>
        <row r="266">
          <cell r="A266" t="str">
            <v>4915</v>
          </cell>
          <cell r="B266" t="str">
            <v>Virus Robotics</v>
          </cell>
          <cell r="C266" t="str">
            <v>Virus Robotics</v>
          </cell>
          <cell r="D266" t="str">
            <v>New Barnet, Hertfordshire , United Kingdom</v>
          </cell>
          <cell r="E266">
            <v>284</v>
          </cell>
          <cell r="F266">
            <v>261</v>
          </cell>
          <cell r="G266">
            <v>135.339</v>
          </cell>
          <cell r="H266">
            <v>118.70099999999999</v>
          </cell>
          <cell r="I266">
            <v>135.339</v>
          </cell>
          <cell r="J266">
            <v>100.812</v>
          </cell>
          <cell r="K266">
            <v>108.65</v>
          </cell>
          <cell r="L266">
            <v>99.400199999999998</v>
          </cell>
          <cell r="M266">
            <v>77.237399999999994</v>
          </cell>
          <cell r="N266">
            <v>91.315200000000004</v>
          </cell>
          <cell r="O266">
            <v>72.273399999999995</v>
          </cell>
        </row>
        <row r="267">
          <cell r="A267" t="str">
            <v>5062A</v>
          </cell>
          <cell r="B267" t="str">
            <v>Red Fox</v>
          </cell>
          <cell r="C267" t="str">
            <v>Fox Valley Lutheran High School</v>
          </cell>
          <cell r="D267" t="str">
            <v>Appleton, Wisconsin, United States</v>
          </cell>
          <cell r="E267">
            <v>290</v>
          </cell>
          <cell r="F267">
            <v>280</v>
          </cell>
          <cell r="G267">
            <v>116.646</v>
          </cell>
          <cell r="H267">
            <v>96.074200000000005</v>
          </cell>
          <cell r="I267">
            <v>101.455</v>
          </cell>
          <cell r="J267">
            <v>113.387</v>
          </cell>
          <cell r="K267">
            <v>80.169899999999998</v>
          </cell>
          <cell r="L267">
            <v>96.9328</v>
          </cell>
          <cell r="M267">
            <v>116.646</v>
          </cell>
          <cell r="N267">
            <v>69.486599999999996</v>
          </cell>
          <cell r="O267">
            <v>75.136600000000001</v>
          </cell>
        </row>
        <row r="268">
          <cell r="A268" t="str">
            <v>5062B</v>
          </cell>
          <cell r="B268" t="str">
            <v>Black Fox</v>
          </cell>
          <cell r="C268" t="str">
            <v>Fox Valley Lutheran High School</v>
          </cell>
          <cell r="D268" t="str">
            <v>Appleton, Wisconsin, United States</v>
          </cell>
          <cell r="E268">
            <v>300</v>
          </cell>
          <cell r="F268">
            <v>140</v>
          </cell>
          <cell r="G268">
            <v>81.725999999999999</v>
          </cell>
          <cell r="H268">
            <v>50.772500000000001</v>
          </cell>
          <cell r="I268">
            <v>74.109300000000005</v>
          </cell>
          <cell r="J268">
            <v>81.725999999999999</v>
          </cell>
          <cell r="K268">
            <v>75.759799999999998</v>
          </cell>
          <cell r="L268">
            <v>48.0244</v>
          </cell>
          <cell r="M268">
            <v>0</v>
          </cell>
        </row>
        <row r="269">
          <cell r="A269" t="str">
            <v>5081C</v>
          </cell>
          <cell r="B269" t="str">
            <v>ZABRISKIE</v>
          </cell>
          <cell r="C269" t="str">
            <v>Institución Educativa Roberto Velandia</v>
          </cell>
          <cell r="D269" t="str">
            <v>Mosquera, Cundinamarca, Colombia</v>
          </cell>
          <cell r="E269">
            <v>0</v>
          </cell>
          <cell r="F269">
            <v>0</v>
          </cell>
          <cell r="G269">
            <v>71.8065</v>
          </cell>
          <cell r="H269">
            <v>71.8065</v>
          </cell>
          <cell r="I269">
            <v>0</v>
          </cell>
        </row>
        <row r="270">
          <cell r="A270" t="str">
            <v>5090A</v>
          </cell>
          <cell r="B270" t="str">
            <v>Radio Active</v>
          </cell>
          <cell r="C270" t="str">
            <v>Microchip Technology, Inc</v>
          </cell>
          <cell r="D270" t="str">
            <v>Chandler, Arizona, United States</v>
          </cell>
          <cell r="E270">
            <v>316</v>
          </cell>
          <cell r="F270">
            <v>267</v>
          </cell>
          <cell r="G270">
            <v>152.184</v>
          </cell>
          <cell r="H270">
            <v>91.058099999999996</v>
          </cell>
          <cell r="I270">
            <v>152.184</v>
          </cell>
          <cell r="J270">
            <v>140.84899999999999</v>
          </cell>
          <cell r="K270">
            <v>113.075</v>
          </cell>
          <cell r="L270">
            <v>141.17599999999999</v>
          </cell>
          <cell r="M270">
            <v>90.104600000000005</v>
          </cell>
          <cell r="N270">
            <v>24.1052</v>
          </cell>
        </row>
        <row r="271">
          <cell r="A271" t="str">
            <v>5106E</v>
          </cell>
          <cell r="B271" t="str">
            <v>Kennett Coders</v>
          </cell>
          <cell r="C271" t="str">
            <v>Kennett High School</v>
          </cell>
          <cell r="D271" t="str">
            <v>North Conway, New Hampshire, United States</v>
          </cell>
          <cell r="E271">
            <v>192</v>
          </cell>
          <cell r="F271">
            <v>192</v>
          </cell>
          <cell r="G271">
            <v>143.16200000000001</v>
          </cell>
          <cell r="H271">
            <v>132.82300000000001</v>
          </cell>
          <cell r="I271">
            <v>143.16200000000001</v>
          </cell>
          <cell r="J271">
            <v>78.259900000000002</v>
          </cell>
          <cell r="K271">
            <v>57.730600000000003</v>
          </cell>
          <cell r="L271">
            <v>51.428899999999999</v>
          </cell>
        </row>
        <row r="272">
          <cell r="A272" t="str">
            <v>5107C</v>
          </cell>
          <cell r="B272" t="str">
            <v>Independencia C</v>
          </cell>
          <cell r="C272" t="str">
            <v>CECYTECH PLANTEL 31 La Independencia</v>
          </cell>
          <cell r="D272" t="str">
            <v>La Concordia, Chiapas, Chiapas, Mexico</v>
          </cell>
          <cell r="E272">
            <v>0</v>
          </cell>
          <cell r="F272">
            <v>0</v>
          </cell>
          <cell r="G272">
            <v>95.600300000000004</v>
          </cell>
          <cell r="H272">
            <v>95.600300000000004</v>
          </cell>
          <cell r="I272">
            <v>37.488900000000001</v>
          </cell>
          <cell r="J272">
            <v>-11.188700000000001</v>
          </cell>
        </row>
        <row r="273">
          <cell r="A273" t="str">
            <v>5139A</v>
          </cell>
          <cell r="B273" t="str">
            <v>Robinson Bulldogs</v>
          </cell>
          <cell r="C273" t="str">
            <v>Jay M Robinson High School</v>
          </cell>
          <cell r="D273" t="str">
            <v>Concord, North Carolina, United States</v>
          </cell>
          <cell r="E273">
            <v>70</v>
          </cell>
          <cell r="F273">
            <v>121</v>
          </cell>
          <cell r="G273">
            <v>74.551500000000004</v>
          </cell>
          <cell r="H273">
            <v>74.551500000000004</v>
          </cell>
          <cell r="I273">
            <v>49.181699999999999</v>
          </cell>
          <cell r="J273">
            <v>42.923400000000001</v>
          </cell>
          <cell r="K273">
            <v>22.5715</v>
          </cell>
        </row>
        <row r="274">
          <cell r="A274" t="str">
            <v>5150F</v>
          </cell>
          <cell r="B274" t="str">
            <v>Mad Hatters</v>
          </cell>
          <cell r="C274" t="str">
            <v>Danbury High School</v>
          </cell>
          <cell r="D274" t="str">
            <v>Danbury, Connecticut, United States</v>
          </cell>
          <cell r="E274">
            <v>68</v>
          </cell>
          <cell r="F274">
            <v>155</v>
          </cell>
          <cell r="G274">
            <v>60.353299999999997</v>
          </cell>
          <cell r="H274">
            <v>51.033099999999997</v>
          </cell>
          <cell r="I274">
            <v>56.912999999999997</v>
          </cell>
          <cell r="J274">
            <v>60.159399999999998</v>
          </cell>
          <cell r="K274">
            <v>39.666800000000002</v>
          </cell>
          <cell r="L274">
            <v>42.213099999999997</v>
          </cell>
          <cell r="M274">
            <v>60.353299999999997</v>
          </cell>
        </row>
        <row r="275">
          <cell r="A275" t="str">
            <v>5150J</v>
          </cell>
          <cell r="B275" t="str">
            <v>Mad Hatters</v>
          </cell>
          <cell r="C275" t="str">
            <v>Danbury High School</v>
          </cell>
          <cell r="D275" t="str">
            <v>Danbury, Connecticut, United States</v>
          </cell>
          <cell r="E275">
            <v>99</v>
          </cell>
          <cell r="F275">
            <v>41</v>
          </cell>
          <cell r="G275">
            <v>86.920900000000003</v>
          </cell>
          <cell r="H275">
            <v>73.035300000000007</v>
          </cell>
          <cell r="I275">
            <v>57.543399999999998</v>
          </cell>
          <cell r="J275">
            <v>86.920900000000003</v>
          </cell>
        </row>
        <row r="276">
          <cell r="A276" t="str">
            <v>5194B</v>
          </cell>
          <cell r="B276" t="str">
            <v>Volt Robotics</v>
          </cell>
          <cell r="C276" t="str">
            <v>East Barnet School - UK</v>
          </cell>
          <cell r="D276" t="str">
            <v>Barnet, Not Applicable or Not Listed, United Kingdom</v>
          </cell>
          <cell r="E276">
            <v>0</v>
          </cell>
          <cell r="F276">
            <v>127</v>
          </cell>
          <cell r="G276">
            <v>104.315</v>
          </cell>
          <cell r="H276">
            <v>36.2014</v>
          </cell>
          <cell r="I276">
            <v>69.876400000000004</v>
          </cell>
          <cell r="J276">
            <v>47.991500000000002</v>
          </cell>
          <cell r="K276">
            <v>104.315</v>
          </cell>
          <cell r="L276">
            <v>84.075699999999998</v>
          </cell>
          <cell r="M276">
            <v>78.381399999999999</v>
          </cell>
          <cell r="N276">
            <v>45.699100000000001</v>
          </cell>
          <cell r="O276">
            <v>2.9764300000000001</v>
          </cell>
        </row>
        <row r="277">
          <cell r="A277" t="str">
            <v>5221B</v>
          </cell>
          <cell r="B277" t="str">
            <v>Cougar Robotics</v>
          </cell>
          <cell r="C277" t="str">
            <v>Corcoran High School ~ SCSD</v>
          </cell>
          <cell r="D277" t="str">
            <v>Syracuse, New York, United States</v>
          </cell>
          <cell r="E277">
            <v>86</v>
          </cell>
          <cell r="F277">
            <v>49</v>
          </cell>
          <cell r="G277">
            <v>64.179500000000004</v>
          </cell>
          <cell r="H277">
            <v>64.179500000000004</v>
          </cell>
          <cell r="I277">
            <v>24.742100000000001</v>
          </cell>
          <cell r="J277">
            <v>0</v>
          </cell>
          <cell r="K277">
            <v>31.479800000000001</v>
          </cell>
          <cell r="L277">
            <v>26.404900000000001</v>
          </cell>
          <cell r="M277">
            <v>9.5930499999999999</v>
          </cell>
        </row>
        <row r="278">
          <cell r="A278" t="str">
            <v>5225A</v>
          </cell>
          <cell r="B278" t="str">
            <v>E-Bots Pilons</v>
          </cell>
          <cell r="C278" t="str">
            <v>E-Bots</v>
          </cell>
          <cell r="D278" t="str">
            <v>Oakville, Ontario, Canada</v>
          </cell>
          <cell r="E278">
            <v>227</v>
          </cell>
          <cell r="F278">
            <v>320</v>
          </cell>
          <cell r="G278">
            <v>84.736699999999999</v>
          </cell>
          <cell r="H278">
            <v>61.508400000000002</v>
          </cell>
          <cell r="I278">
            <v>84.736699999999999</v>
          </cell>
          <cell r="J278">
            <v>59.034799999999997</v>
          </cell>
        </row>
        <row r="279">
          <cell r="A279" t="str">
            <v>5233J</v>
          </cell>
          <cell r="B279" t="str">
            <v>Justice League</v>
          </cell>
          <cell r="C279" t="str">
            <v>National Robotics Academy, Inc.</v>
          </cell>
          <cell r="D279" t="str">
            <v>Waterloo, Nebraska, United States</v>
          </cell>
          <cell r="E279">
            <v>228</v>
          </cell>
          <cell r="F279">
            <v>277</v>
          </cell>
          <cell r="G279">
            <v>102.586</v>
          </cell>
          <cell r="H279">
            <v>81.115099999999998</v>
          </cell>
          <cell r="I279">
            <v>102.586</v>
          </cell>
          <cell r="J279">
            <v>72.068299999999994</v>
          </cell>
          <cell r="K279">
            <v>79.566800000000001</v>
          </cell>
          <cell r="L279">
            <v>78.900999999999996</v>
          </cell>
          <cell r="M279">
            <v>74.974199999999996</v>
          </cell>
          <cell r="N279">
            <v>37.213200000000001</v>
          </cell>
        </row>
        <row r="280">
          <cell r="A280" t="str">
            <v>5267B</v>
          </cell>
          <cell r="B280" t="str">
            <v>Skull &amp; Bones</v>
          </cell>
          <cell r="C280" t="str">
            <v>Braden River High School</v>
          </cell>
          <cell r="D280" t="str">
            <v>Bradenton, Florida, United States</v>
          </cell>
          <cell r="E280">
            <v>272</v>
          </cell>
          <cell r="F280">
            <v>287</v>
          </cell>
          <cell r="G280">
            <v>130.21</v>
          </cell>
          <cell r="H280">
            <v>0</v>
          </cell>
          <cell r="I280">
            <v>94.375200000000007</v>
          </cell>
          <cell r="J280">
            <v>106.788</v>
          </cell>
          <cell r="K280">
            <v>113.779</v>
          </cell>
          <cell r="L280">
            <v>130.21</v>
          </cell>
          <cell r="M280">
            <v>124.337</v>
          </cell>
          <cell r="N280">
            <v>112.42400000000001</v>
          </cell>
        </row>
        <row r="281">
          <cell r="A281" t="str">
            <v>5327B</v>
          </cell>
          <cell r="B281" t="str">
            <v>Gael Force</v>
          </cell>
          <cell r="C281" t="str">
            <v>Dublin High School</v>
          </cell>
          <cell r="D281" t="str">
            <v>Dublin, California, United States</v>
          </cell>
          <cell r="E281">
            <v>303</v>
          </cell>
          <cell r="F281">
            <v>241</v>
          </cell>
          <cell r="G281">
            <v>102.292</v>
          </cell>
          <cell r="H281">
            <v>102.292</v>
          </cell>
          <cell r="I281">
            <v>76.584299999999999</v>
          </cell>
          <cell r="J281">
            <v>53.794400000000003</v>
          </cell>
          <cell r="K281">
            <v>73.699700000000007</v>
          </cell>
          <cell r="L281">
            <v>41.072699999999998</v>
          </cell>
          <cell r="M281">
            <v>80.063699999999997</v>
          </cell>
          <cell r="N281">
            <v>42.133499999999998</v>
          </cell>
        </row>
        <row r="282">
          <cell r="A282" t="str">
            <v>5327C</v>
          </cell>
          <cell r="B282" t="str">
            <v>Gael Force</v>
          </cell>
          <cell r="C282" t="str">
            <v>Dublin High School</v>
          </cell>
          <cell r="D282" t="str">
            <v>Dublin, California, United States</v>
          </cell>
          <cell r="E282">
            <v>387</v>
          </cell>
          <cell r="F282">
            <v>315</v>
          </cell>
          <cell r="G282">
            <v>130.02799999999999</v>
          </cell>
          <cell r="H282">
            <v>130.02799999999999</v>
          </cell>
          <cell r="I282">
            <v>106.928</v>
          </cell>
          <cell r="J282">
            <v>78.1785</v>
          </cell>
          <cell r="K282">
            <v>87.047200000000004</v>
          </cell>
          <cell r="L282">
            <v>70.007599999999996</v>
          </cell>
        </row>
        <row r="283">
          <cell r="A283" t="str">
            <v>5327D</v>
          </cell>
          <cell r="B283" t="str">
            <v>Gael Force</v>
          </cell>
          <cell r="C283" t="str">
            <v>Dublin High School</v>
          </cell>
          <cell r="D283" t="str">
            <v>Dublin, California, United States</v>
          </cell>
          <cell r="E283">
            <v>270</v>
          </cell>
          <cell r="F283">
            <v>321</v>
          </cell>
          <cell r="G283">
            <v>86.104200000000006</v>
          </cell>
          <cell r="H283">
            <v>71.400400000000005</v>
          </cell>
          <cell r="I283">
            <v>86.104200000000006</v>
          </cell>
          <cell r="J283">
            <v>14.3674</v>
          </cell>
          <cell r="K283">
            <v>84.800799999999995</v>
          </cell>
          <cell r="L283">
            <v>51.688899999999997</v>
          </cell>
          <cell r="M283">
            <v>36.859099999999998</v>
          </cell>
          <cell r="N283">
            <v>4.01694</v>
          </cell>
        </row>
        <row r="284">
          <cell r="A284" t="str">
            <v>5408A</v>
          </cell>
          <cell r="B284" t="str">
            <v>Sachse Texas Torque</v>
          </cell>
          <cell r="C284" t="str">
            <v>Sachse High School</v>
          </cell>
          <cell r="D284" t="str">
            <v>Sachse, Texas, United States</v>
          </cell>
          <cell r="E284">
            <v>135</v>
          </cell>
          <cell r="F284">
            <v>86</v>
          </cell>
          <cell r="G284">
            <v>91.288700000000006</v>
          </cell>
          <cell r="H284">
            <v>71.246600000000001</v>
          </cell>
          <cell r="I284">
            <v>91.288700000000006</v>
          </cell>
          <cell r="J284">
            <v>65.708699999999993</v>
          </cell>
          <cell r="K284">
            <v>81.421000000000006</v>
          </cell>
          <cell r="L284">
            <v>39.316699999999997</v>
          </cell>
          <cell r="M284">
            <v>17.835599999999999</v>
          </cell>
        </row>
        <row r="285">
          <cell r="A285" t="str">
            <v>5408D</v>
          </cell>
          <cell r="B285" t="str">
            <v>Sachse Colossus</v>
          </cell>
          <cell r="C285" t="str">
            <v>Sachse High School</v>
          </cell>
          <cell r="D285" t="str">
            <v>Sachse, Texas, United States</v>
          </cell>
          <cell r="E285">
            <v>124</v>
          </cell>
          <cell r="F285">
            <v>0</v>
          </cell>
          <cell r="G285">
            <v>124.947</v>
          </cell>
          <cell r="H285">
            <v>65.326700000000002</v>
          </cell>
          <cell r="I285">
            <v>65.696899999999999</v>
          </cell>
          <cell r="J285">
            <v>124.947</v>
          </cell>
          <cell r="K285">
            <v>88.014099999999999</v>
          </cell>
          <cell r="L285">
            <v>52.4026</v>
          </cell>
          <cell r="M285">
            <v>105.53</v>
          </cell>
        </row>
        <row r="286">
          <cell r="A286" t="str">
            <v>5408X</v>
          </cell>
          <cell r="B286" t="str">
            <v>Sachse HAX</v>
          </cell>
          <cell r="C286" t="str">
            <v>Sachse High School</v>
          </cell>
          <cell r="D286" t="str">
            <v>Sachse, Texas, United States</v>
          </cell>
          <cell r="E286">
            <v>222</v>
          </cell>
          <cell r="F286">
            <v>263</v>
          </cell>
          <cell r="G286">
            <v>100.703</v>
          </cell>
          <cell r="H286">
            <v>100.703</v>
          </cell>
          <cell r="I286">
            <v>81.694999999999993</v>
          </cell>
          <cell r="J286">
            <v>52.994</v>
          </cell>
          <cell r="K286">
            <v>50.581400000000002</v>
          </cell>
          <cell r="L286">
            <v>1.74901</v>
          </cell>
        </row>
        <row r="287">
          <cell r="A287" t="str">
            <v>5454B</v>
          </cell>
          <cell r="B287" t="str">
            <v>BOB-OMBS</v>
          </cell>
          <cell r="C287" t="str">
            <v>Elkhorn Crossing School</v>
          </cell>
          <cell r="D287" t="str">
            <v>Georgetown, Kentucky, United States</v>
          </cell>
          <cell r="E287">
            <v>250</v>
          </cell>
          <cell r="F287">
            <v>152</v>
          </cell>
          <cell r="G287">
            <v>110.607</v>
          </cell>
          <cell r="H287">
            <v>100.066</v>
          </cell>
          <cell r="I287">
            <v>71.093800000000002</v>
          </cell>
          <cell r="J287">
            <v>51.025199999999998</v>
          </cell>
          <cell r="K287">
            <v>46.087899999999998</v>
          </cell>
          <cell r="L287">
            <v>95.037199999999999</v>
          </cell>
          <cell r="M287">
            <v>60.565600000000003</v>
          </cell>
          <cell r="N287">
            <v>84.730699999999999</v>
          </cell>
          <cell r="O287">
            <v>110.607</v>
          </cell>
          <cell r="P287">
            <v>73.299400000000006</v>
          </cell>
          <cell r="Q287">
            <v>65.855500000000006</v>
          </cell>
        </row>
        <row r="288">
          <cell r="A288" t="str">
            <v>5454F</v>
          </cell>
          <cell r="B288" t="str">
            <v>FLAMINGOS</v>
          </cell>
          <cell r="C288" t="str">
            <v>Elkhorn Crossing School</v>
          </cell>
          <cell r="D288" t="str">
            <v>Georgetown, Kentucky, United States</v>
          </cell>
          <cell r="E288">
            <v>290</v>
          </cell>
          <cell r="F288">
            <v>160</v>
          </cell>
          <cell r="G288">
            <v>122.809</v>
          </cell>
          <cell r="H288">
            <v>114.095</v>
          </cell>
          <cell r="I288">
            <v>116.666</v>
          </cell>
          <cell r="J288">
            <v>122.809</v>
          </cell>
          <cell r="K288">
            <v>52.152000000000001</v>
          </cell>
          <cell r="L288">
            <v>31.690200000000001</v>
          </cell>
          <cell r="M288">
            <v>9.6425400000000003</v>
          </cell>
          <cell r="N288">
            <v>14.485099999999999</v>
          </cell>
          <cell r="O288">
            <v>14.7494</v>
          </cell>
        </row>
        <row r="289">
          <cell r="A289" t="str">
            <v>5454P</v>
          </cell>
          <cell r="B289" t="str">
            <v>POOKIE'S PRESCHOOLERS</v>
          </cell>
          <cell r="C289" t="str">
            <v>Elkhorn Crossing School</v>
          </cell>
          <cell r="D289" t="str">
            <v>Georgetown, Kentucky, United States</v>
          </cell>
          <cell r="E289">
            <v>125</v>
          </cell>
          <cell r="F289">
            <v>0</v>
          </cell>
          <cell r="G289">
            <v>74.635800000000003</v>
          </cell>
          <cell r="H289">
            <v>66.310299999999998</v>
          </cell>
          <cell r="I289">
            <v>67.335499999999996</v>
          </cell>
          <cell r="J289">
            <v>6.4343599999999999</v>
          </cell>
          <cell r="K289">
            <v>9.76891</v>
          </cell>
          <cell r="L289">
            <v>74.635800000000003</v>
          </cell>
          <cell r="M289">
            <v>65.118099999999998</v>
          </cell>
          <cell r="N289">
            <v>50.7639</v>
          </cell>
          <cell r="O289">
            <v>41.2012</v>
          </cell>
          <cell r="P289">
            <v>59.211799999999997</v>
          </cell>
        </row>
        <row r="290">
          <cell r="A290" t="str">
            <v>5482A</v>
          </cell>
          <cell r="B290" t="str">
            <v>CECyTEH Huejutla 1</v>
          </cell>
          <cell r="C290" t="str">
            <v>CECyTEH Plantel Huejutla</v>
          </cell>
          <cell r="D290" t="str">
            <v>Huejutla de Reyes, Hgo., Hidalgo, Mexico</v>
          </cell>
          <cell r="E290">
            <v>0</v>
          </cell>
          <cell r="F290">
            <v>0</v>
          </cell>
          <cell r="G290">
            <v>63.1464</v>
          </cell>
          <cell r="H290">
            <v>44.030700000000003</v>
          </cell>
          <cell r="I290">
            <v>63.1464</v>
          </cell>
          <cell r="J290">
            <v>34.0886</v>
          </cell>
          <cell r="K290">
            <v>40.853499999999997</v>
          </cell>
        </row>
        <row r="291">
          <cell r="A291" t="str">
            <v>5482B</v>
          </cell>
          <cell r="B291" t="str">
            <v>CECyTEH Huejutla 2</v>
          </cell>
          <cell r="C291" t="str">
            <v>CECyTEH Plantel Huejutla</v>
          </cell>
          <cell r="D291" t="str">
            <v>Huejutla de Reyes, Hgo., Hidalgo, Mexico</v>
          </cell>
          <cell r="E291">
            <v>0</v>
          </cell>
          <cell r="F291">
            <v>0</v>
          </cell>
          <cell r="G291">
            <v>98.714200000000005</v>
          </cell>
          <cell r="H291">
            <v>98.714200000000005</v>
          </cell>
          <cell r="I291">
            <v>22.026499999999999</v>
          </cell>
          <cell r="J291">
            <v>18.474599999999999</v>
          </cell>
        </row>
        <row r="292">
          <cell r="A292" t="str">
            <v>5482C</v>
          </cell>
          <cell r="B292" t="str">
            <v>CECyTEH Huejutla 3</v>
          </cell>
          <cell r="C292" t="str">
            <v>CECyTEH Plantel Huejutla</v>
          </cell>
          <cell r="D292" t="str">
            <v>Huejutla de Reyes, Hgo., Hidalgo, Mexico</v>
          </cell>
          <cell r="E292">
            <v>0</v>
          </cell>
          <cell r="F292">
            <v>0</v>
          </cell>
          <cell r="G292">
            <v>100.53700000000001</v>
          </cell>
          <cell r="H292">
            <v>94.0441</v>
          </cell>
          <cell r="I292">
            <v>100.53700000000001</v>
          </cell>
          <cell r="J292">
            <v>41.381700000000002</v>
          </cell>
          <cell r="K292">
            <v>10.329599999999999</v>
          </cell>
        </row>
        <row r="293">
          <cell r="A293" t="str">
            <v>5509A</v>
          </cell>
          <cell r="B293" t="str">
            <v>VHS Crusaders</v>
          </cell>
          <cell r="C293" t="str">
            <v>Valley Home Schoolers</v>
          </cell>
          <cell r="D293" t="str">
            <v>Greenville, Wisconsin, United States</v>
          </cell>
          <cell r="E293">
            <v>216</v>
          </cell>
          <cell r="F293">
            <v>206</v>
          </cell>
          <cell r="G293">
            <v>106.464</v>
          </cell>
          <cell r="H293">
            <v>106.464</v>
          </cell>
          <cell r="I293">
            <v>88.784400000000005</v>
          </cell>
          <cell r="J293">
            <v>85.892300000000006</v>
          </cell>
          <cell r="K293">
            <v>63.3521</v>
          </cell>
          <cell r="L293">
            <v>22.5182</v>
          </cell>
          <cell r="M293">
            <v>74.718800000000002</v>
          </cell>
        </row>
        <row r="294">
          <cell r="A294" t="str">
            <v>5588C</v>
          </cell>
          <cell r="B294" t="str">
            <v>Calvert Hall Cardinals</v>
          </cell>
          <cell r="C294" t="str">
            <v>Calvert Hall College High School</v>
          </cell>
          <cell r="D294" t="str">
            <v>Towson, Maryland, United States</v>
          </cell>
          <cell r="E294">
            <v>326</v>
          </cell>
          <cell r="F294">
            <v>306</v>
          </cell>
          <cell r="G294">
            <v>154.471</v>
          </cell>
          <cell r="H294">
            <v>139.18600000000001</v>
          </cell>
          <cell r="I294">
            <v>129.28299999999999</v>
          </cell>
          <cell r="J294">
            <v>111.251</v>
          </cell>
          <cell r="K294">
            <v>154.471</v>
          </cell>
          <cell r="L294">
            <v>98.900999999999996</v>
          </cell>
          <cell r="M294">
            <v>87.624700000000004</v>
          </cell>
          <cell r="N294">
            <v>41.599800000000002</v>
          </cell>
        </row>
        <row r="295">
          <cell r="A295" t="str">
            <v>5588E</v>
          </cell>
          <cell r="B295" t="str">
            <v>Calvert Hall Cardinals</v>
          </cell>
          <cell r="C295" t="str">
            <v>Calvert Hall College High School</v>
          </cell>
          <cell r="D295" t="str">
            <v>Towson, Maryland, United States</v>
          </cell>
          <cell r="E295">
            <v>218</v>
          </cell>
          <cell r="F295">
            <v>0</v>
          </cell>
          <cell r="G295">
            <v>29.628399999999999</v>
          </cell>
          <cell r="H295">
            <v>29.628399999999999</v>
          </cell>
          <cell r="I295">
            <v>-0.31102999999999997</v>
          </cell>
          <cell r="J295">
            <v>21.8292</v>
          </cell>
          <cell r="K295">
            <v>15.895799999999999</v>
          </cell>
        </row>
        <row r="296">
          <cell r="A296" t="str">
            <v>5606A</v>
          </cell>
          <cell r="B296" t="str">
            <v>SKARO FAHS</v>
          </cell>
          <cell r="C296" t="str">
            <v>Feilding High School</v>
          </cell>
          <cell r="D296" t="str">
            <v>Feilding, Not Applicable or Not Listed, New Zealand</v>
          </cell>
          <cell r="E296">
            <v>77</v>
          </cell>
          <cell r="F296">
            <v>39</v>
          </cell>
          <cell r="G296">
            <v>27.256399999999999</v>
          </cell>
          <cell r="H296">
            <v>27.256399999999999</v>
          </cell>
        </row>
        <row r="297">
          <cell r="A297" t="str">
            <v>5689A</v>
          </cell>
          <cell r="B297" t="str">
            <v>Ares Ballistics</v>
          </cell>
          <cell r="C297" t="str">
            <v>Caldwell High School</v>
          </cell>
          <cell r="D297" t="str">
            <v>Caldwell, Idaho, United States</v>
          </cell>
          <cell r="E297">
            <v>80</v>
          </cell>
          <cell r="F297">
            <v>0</v>
          </cell>
          <cell r="G297">
            <v>75.309600000000003</v>
          </cell>
          <cell r="H297">
            <v>75.309600000000003</v>
          </cell>
          <cell r="I297">
            <v>50.7483</v>
          </cell>
          <cell r="J297">
            <v>28.401</v>
          </cell>
          <cell r="K297">
            <v>27.271000000000001</v>
          </cell>
          <cell r="L297">
            <v>25.040199999999999</v>
          </cell>
          <cell r="M297">
            <v>1.3084800000000001</v>
          </cell>
        </row>
        <row r="298">
          <cell r="A298" t="str">
            <v>5691X</v>
          </cell>
          <cell r="B298" t="str">
            <v>BHE Skunkworks Division</v>
          </cell>
          <cell r="C298" t="str">
            <v>Bryant High School</v>
          </cell>
          <cell r="D298" t="str">
            <v>Bryant, Arkansas, United States</v>
          </cell>
          <cell r="E298">
            <v>227</v>
          </cell>
          <cell r="F298">
            <v>0</v>
          </cell>
          <cell r="G298">
            <v>122.761</v>
          </cell>
          <cell r="H298">
            <v>122.761</v>
          </cell>
        </row>
        <row r="299">
          <cell r="A299" t="str">
            <v>5735B</v>
          </cell>
          <cell r="B299" t="str">
            <v>Jackets STEAM Team</v>
          </cell>
          <cell r="C299" t="str">
            <v>St Martin High School</v>
          </cell>
          <cell r="D299" t="str">
            <v>Ocean Springs, Mississippi, United States</v>
          </cell>
          <cell r="E299">
            <v>42</v>
          </cell>
          <cell r="F299">
            <v>3</v>
          </cell>
          <cell r="G299">
            <v>46.560899999999997</v>
          </cell>
          <cell r="H299">
            <v>19.330400000000001</v>
          </cell>
          <cell r="I299">
            <v>38.1083</v>
          </cell>
          <cell r="J299">
            <v>46.560899999999997</v>
          </cell>
        </row>
        <row r="300">
          <cell r="A300" t="str">
            <v>5772</v>
          </cell>
          <cell r="B300" t="str">
            <v>Eaglebots</v>
          </cell>
          <cell r="C300" t="str">
            <v>The Harker School</v>
          </cell>
          <cell r="D300" t="str">
            <v>Santa Clara, California, United States</v>
          </cell>
          <cell r="E300">
            <v>234</v>
          </cell>
          <cell r="F300">
            <v>321</v>
          </cell>
          <cell r="G300">
            <v>100.206</v>
          </cell>
          <cell r="H300">
            <v>64.331699999999998</v>
          </cell>
          <cell r="I300">
            <v>60.6755</v>
          </cell>
          <cell r="J300">
            <v>83.318899999999999</v>
          </cell>
          <cell r="K300">
            <v>89.441900000000004</v>
          </cell>
          <cell r="L300">
            <v>100.206</v>
          </cell>
          <cell r="M300">
            <v>62.490499999999997</v>
          </cell>
          <cell r="N300">
            <v>39.758800000000001</v>
          </cell>
          <cell r="O300">
            <v>60.731299999999997</v>
          </cell>
          <cell r="P300">
            <v>48.259</v>
          </cell>
        </row>
        <row r="301">
          <cell r="A301" t="str">
            <v>5772B</v>
          </cell>
          <cell r="B301" t="str">
            <v>Eaglebots</v>
          </cell>
          <cell r="C301" t="str">
            <v>The Harker School</v>
          </cell>
          <cell r="D301" t="str">
            <v>Santa Clara, California, United States</v>
          </cell>
          <cell r="E301">
            <v>68</v>
          </cell>
          <cell r="F301">
            <v>311</v>
          </cell>
          <cell r="G301">
            <v>103.187</v>
          </cell>
          <cell r="H301">
            <v>73.071200000000005</v>
          </cell>
          <cell r="I301">
            <v>69.942499999999995</v>
          </cell>
          <cell r="J301">
            <v>75.437100000000001</v>
          </cell>
          <cell r="K301">
            <v>103.187</v>
          </cell>
          <cell r="L301">
            <v>26.689699999999998</v>
          </cell>
        </row>
        <row r="302">
          <cell r="A302" t="str">
            <v>5772C</v>
          </cell>
          <cell r="B302" t="str">
            <v>Eaglebots</v>
          </cell>
          <cell r="C302" t="str">
            <v>The Harker School</v>
          </cell>
          <cell r="D302" t="str">
            <v>Santa Clara, California, United States</v>
          </cell>
          <cell r="E302">
            <v>275</v>
          </cell>
          <cell r="F302">
            <v>296</v>
          </cell>
          <cell r="G302">
            <v>103.05200000000001</v>
          </cell>
          <cell r="H302">
            <v>49.258400000000002</v>
          </cell>
          <cell r="I302">
            <v>103.05200000000001</v>
          </cell>
          <cell r="J302">
            <v>17.049399999999999</v>
          </cell>
          <cell r="K302">
            <v>34.848300000000002</v>
          </cell>
          <cell r="L302">
            <v>49.651899999999998</v>
          </cell>
        </row>
        <row r="303">
          <cell r="A303" t="str">
            <v>5776</v>
          </cell>
          <cell r="B303" t="str">
            <v>DVHS Robotics</v>
          </cell>
          <cell r="C303" t="str">
            <v>Dougherty Valley High School</v>
          </cell>
          <cell r="D303" t="str">
            <v>San Ramon, California, United States</v>
          </cell>
          <cell r="E303">
            <v>309</v>
          </cell>
          <cell r="F303">
            <v>273</v>
          </cell>
          <cell r="G303">
            <v>93.028599999999997</v>
          </cell>
          <cell r="H303">
            <v>93.028599999999997</v>
          </cell>
          <cell r="I303">
            <v>81.656599999999997</v>
          </cell>
          <cell r="J303">
            <v>62.527999999999999</v>
          </cell>
          <cell r="K303">
            <v>89.557699999999997</v>
          </cell>
          <cell r="L303">
            <v>55.154000000000003</v>
          </cell>
          <cell r="M303">
            <v>64.810699999999997</v>
          </cell>
        </row>
        <row r="304">
          <cell r="A304" t="str">
            <v>5776B</v>
          </cell>
          <cell r="B304" t="str">
            <v>DVHS Robotics</v>
          </cell>
          <cell r="C304" t="str">
            <v>Dougherty Valley High School</v>
          </cell>
          <cell r="D304" t="str">
            <v>San Ramon, California, United States</v>
          </cell>
          <cell r="E304">
            <v>313</v>
          </cell>
          <cell r="F304">
            <v>0</v>
          </cell>
          <cell r="G304">
            <v>80.337800000000001</v>
          </cell>
          <cell r="H304">
            <v>73.427499999999995</v>
          </cell>
          <cell r="I304">
            <v>58.421599999999998</v>
          </cell>
          <cell r="J304">
            <v>80.337800000000001</v>
          </cell>
          <cell r="K304">
            <v>79.048599999999993</v>
          </cell>
          <cell r="L304">
            <v>45.505200000000002</v>
          </cell>
          <cell r="M304">
            <v>28.797599999999999</v>
          </cell>
        </row>
        <row r="305">
          <cell r="A305" t="str">
            <v>5776T</v>
          </cell>
          <cell r="B305" t="str">
            <v>DVHS Robotics</v>
          </cell>
          <cell r="C305" t="str">
            <v>Dougherty Valley High School</v>
          </cell>
          <cell r="D305" t="str">
            <v>San Ramon, California, United States</v>
          </cell>
          <cell r="E305">
            <v>345</v>
          </cell>
          <cell r="F305">
            <v>92</v>
          </cell>
          <cell r="G305">
            <v>153.666</v>
          </cell>
          <cell r="H305">
            <v>122.464</v>
          </cell>
          <cell r="I305">
            <v>95.422499999999999</v>
          </cell>
          <cell r="J305">
            <v>135.05600000000001</v>
          </cell>
          <cell r="K305">
            <v>90.540499999999994</v>
          </cell>
          <cell r="L305">
            <v>153.666</v>
          </cell>
          <cell r="M305">
            <v>107.789</v>
          </cell>
        </row>
        <row r="306">
          <cell r="A306" t="str">
            <v>5776Y</v>
          </cell>
          <cell r="B306" t="str">
            <v>DVHS Robotics</v>
          </cell>
          <cell r="C306" t="str">
            <v>Dougherty Valley High School</v>
          </cell>
          <cell r="D306" t="str">
            <v>San Ramon, California, United States</v>
          </cell>
          <cell r="E306">
            <v>274</v>
          </cell>
          <cell r="F306">
            <v>118</v>
          </cell>
          <cell r="G306">
            <v>73.846000000000004</v>
          </cell>
          <cell r="H306">
            <v>73.846000000000004</v>
          </cell>
          <cell r="I306">
            <v>28.787299999999998</v>
          </cell>
          <cell r="J306">
            <v>58.964799999999997</v>
          </cell>
          <cell r="K306">
            <v>18.7075</v>
          </cell>
          <cell r="L306">
            <v>41.877499999999998</v>
          </cell>
          <cell r="M306">
            <v>52.064500000000002</v>
          </cell>
        </row>
        <row r="307">
          <cell r="A307" t="str">
            <v>5776Z</v>
          </cell>
          <cell r="B307" t="str">
            <v>DVHS Robotics</v>
          </cell>
          <cell r="C307" t="str">
            <v>Dougherty Valley High School</v>
          </cell>
          <cell r="D307" t="str">
            <v>San Ramon, California, United States</v>
          </cell>
          <cell r="E307">
            <v>76</v>
          </cell>
          <cell r="F307">
            <v>270</v>
          </cell>
          <cell r="G307">
            <v>36.089399999999998</v>
          </cell>
          <cell r="H307">
            <v>36.089399999999998</v>
          </cell>
          <cell r="I307">
            <v>9.6886200000000002</v>
          </cell>
          <cell r="J307">
            <v>20.522200000000002</v>
          </cell>
          <cell r="K307">
            <v>12.0098</v>
          </cell>
          <cell r="L307">
            <v>24.327300000000001</v>
          </cell>
        </row>
        <row r="308">
          <cell r="A308" t="str">
            <v>5801</v>
          </cell>
          <cell r="B308" t="str">
            <v>Robo Storm</v>
          </cell>
          <cell r="C308" t="str">
            <v>T.E.A.C.H. Homeschool</v>
          </cell>
          <cell r="D308" t="str">
            <v>Grawn, Michigan, United States</v>
          </cell>
          <cell r="E308">
            <v>153</v>
          </cell>
          <cell r="F308">
            <v>125</v>
          </cell>
          <cell r="G308">
            <v>133.18</v>
          </cell>
          <cell r="H308">
            <v>93.208500000000001</v>
          </cell>
          <cell r="I308">
            <v>113.197</v>
          </cell>
          <cell r="J308">
            <v>133.18</v>
          </cell>
          <cell r="K308">
            <v>59.2866</v>
          </cell>
          <cell r="L308">
            <v>5.69231</v>
          </cell>
        </row>
        <row r="309">
          <cell r="A309" t="str">
            <v>5813B</v>
          </cell>
          <cell r="B309" t="str">
            <v>Black Squirrels</v>
          </cell>
          <cell r="C309" t="str">
            <v>Abraham Lincoln High School</v>
          </cell>
          <cell r="D309" t="str">
            <v>Council Bluffs, Iowa, United States</v>
          </cell>
          <cell r="E309">
            <v>136</v>
          </cell>
          <cell r="F309">
            <v>111</v>
          </cell>
          <cell r="G309">
            <v>154.46799999999999</v>
          </cell>
          <cell r="H309">
            <v>139.91300000000001</v>
          </cell>
          <cell r="I309">
            <v>131.91300000000001</v>
          </cell>
          <cell r="J309">
            <v>154.46799999999999</v>
          </cell>
          <cell r="K309">
            <v>105.45</v>
          </cell>
          <cell r="L309">
            <v>114.07299999999999</v>
          </cell>
          <cell r="M309">
            <v>77.180700000000002</v>
          </cell>
          <cell r="N309">
            <v>79.323999999999998</v>
          </cell>
          <cell r="O309">
            <v>61.818800000000003</v>
          </cell>
        </row>
        <row r="310">
          <cell r="A310" t="str">
            <v>5839A</v>
          </cell>
          <cell r="B310" t="str">
            <v>Tech 1</v>
          </cell>
          <cell r="C310" t="str">
            <v>Eastern Technical High School</v>
          </cell>
          <cell r="D310" t="str">
            <v>Baltimore, Maryland, United States</v>
          </cell>
          <cell r="E310">
            <v>337</v>
          </cell>
          <cell r="F310">
            <v>315</v>
          </cell>
          <cell r="G310">
            <v>128.351</v>
          </cell>
          <cell r="H310">
            <v>128.351</v>
          </cell>
          <cell r="I310">
            <v>101.30500000000001</v>
          </cell>
          <cell r="J310">
            <v>89.174000000000007</v>
          </cell>
          <cell r="K310">
            <v>77.369200000000006</v>
          </cell>
          <cell r="L310">
            <v>84.855099999999993</v>
          </cell>
          <cell r="M310">
            <v>90.146600000000007</v>
          </cell>
          <cell r="N310">
            <v>77.812399999999997</v>
          </cell>
          <cell r="O310">
            <v>27.382999999999999</v>
          </cell>
        </row>
        <row r="311">
          <cell r="A311" t="str">
            <v>5839B</v>
          </cell>
          <cell r="B311" t="str">
            <v>Tech 2</v>
          </cell>
          <cell r="C311" t="str">
            <v>Eastern Technical High School</v>
          </cell>
          <cell r="D311" t="str">
            <v>Baltimore, Maryland, United States</v>
          </cell>
          <cell r="E311">
            <v>320</v>
          </cell>
          <cell r="F311">
            <v>151</v>
          </cell>
          <cell r="G311">
            <v>87.242400000000004</v>
          </cell>
          <cell r="H311">
            <v>87.242400000000004</v>
          </cell>
          <cell r="I311">
            <v>81.780900000000003</v>
          </cell>
          <cell r="J311">
            <v>63.026499999999999</v>
          </cell>
          <cell r="K311">
            <v>78.753500000000003</v>
          </cell>
          <cell r="L311">
            <v>52.0122</v>
          </cell>
          <cell r="M311">
            <v>64.7333</v>
          </cell>
          <cell r="N311">
            <v>80.849800000000002</v>
          </cell>
          <cell r="O311">
            <v>60.362900000000003</v>
          </cell>
        </row>
        <row r="312">
          <cell r="A312" t="str">
            <v>5937A</v>
          </cell>
          <cell r="B312" t="str">
            <v>F(net)</v>
          </cell>
          <cell r="C312" t="str">
            <v>Nottingham High School</v>
          </cell>
          <cell r="D312" t="str">
            <v>Syracuse, New York, United States</v>
          </cell>
          <cell r="E312">
            <v>142</v>
          </cell>
          <cell r="F312">
            <v>9</v>
          </cell>
          <cell r="G312">
            <v>78.161100000000005</v>
          </cell>
          <cell r="H312">
            <v>51.434899999999999</v>
          </cell>
          <cell r="I312">
            <v>58.996899999999997</v>
          </cell>
          <cell r="J312">
            <v>0</v>
          </cell>
          <cell r="K312">
            <v>78.161100000000005</v>
          </cell>
          <cell r="L312">
            <v>25.923300000000001</v>
          </cell>
          <cell r="M312">
            <v>76.902699999999996</v>
          </cell>
        </row>
        <row r="313">
          <cell r="A313" t="str">
            <v>5956B</v>
          </cell>
          <cell r="B313" t="str">
            <v>Bangarang</v>
          </cell>
          <cell r="C313" t="str">
            <v>Timber Creek High School</v>
          </cell>
          <cell r="D313" t="str">
            <v>Orlando, Florida, United States</v>
          </cell>
          <cell r="E313">
            <v>250</v>
          </cell>
          <cell r="F313">
            <v>173</v>
          </cell>
          <cell r="G313">
            <v>75.522099999999995</v>
          </cell>
          <cell r="H313">
            <v>0</v>
          </cell>
          <cell r="I313">
            <v>32.737000000000002</v>
          </cell>
          <cell r="J313">
            <v>75.522099999999995</v>
          </cell>
          <cell r="K313">
            <v>61.689</v>
          </cell>
          <cell r="L313">
            <v>36.724299999999999</v>
          </cell>
        </row>
        <row r="314">
          <cell r="A314" t="str">
            <v>5994B</v>
          </cell>
          <cell r="B314" t="str">
            <v>Sancris B</v>
          </cell>
          <cell r="C314" t="str">
            <v>CECYTECH PLANTEL 20 San Cristóbal</v>
          </cell>
          <cell r="D314" t="str">
            <v>San Cristobal de las Casa, Chiapas, Chiapas, Mexico</v>
          </cell>
          <cell r="E314">
            <v>0</v>
          </cell>
          <cell r="F314">
            <v>0</v>
          </cell>
          <cell r="G314">
            <v>27.488299999999999</v>
          </cell>
          <cell r="H314">
            <v>27.488299999999999</v>
          </cell>
        </row>
        <row r="315">
          <cell r="A315" t="str">
            <v>6008A</v>
          </cell>
          <cell r="B315" t="str">
            <v>Angels in Beta</v>
          </cell>
          <cell r="C315" t="str">
            <v>North Union High School</v>
          </cell>
          <cell r="D315" t="str">
            <v>Richwood, Ohio, United States</v>
          </cell>
          <cell r="E315">
            <v>142</v>
          </cell>
          <cell r="F315">
            <v>137</v>
          </cell>
          <cell r="G315">
            <v>87.578699999999998</v>
          </cell>
          <cell r="H315">
            <v>87.578699999999998</v>
          </cell>
          <cell r="I315">
            <v>57.310099999999998</v>
          </cell>
          <cell r="J315">
            <v>50.701799999999999</v>
          </cell>
          <cell r="K315">
            <v>38.456400000000002</v>
          </cell>
          <cell r="L315">
            <v>41.598599999999998</v>
          </cell>
          <cell r="M315">
            <v>37.766800000000003</v>
          </cell>
          <cell r="N315">
            <v>0</v>
          </cell>
          <cell r="O315">
            <v>25.186699999999998</v>
          </cell>
          <cell r="P315">
            <v>20.047499999999999</v>
          </cell>
          <cell r="Q315">
            <v>25.283100000000001</v>
          </cell>
          <cell r="R315">
            <v>1.9636</v>
          </cell>
        </row>
        <row r="316">
          <cell r="A316" t="str">
            <v>6008Z</v>
          </cell>
          <cell r="B316" t="str">
            <v>The Blind Squirrels</v>
          </cell>
          <cell r="C316" t="str">
            <v>North Union High School</v>
          </cell>
          <cell r="D316" t="str">
            <v>Richwood, Ohio, United States</v>
          </cell>
          <cell r="E316">
            <v>148</v>
          </cell>
          <cell r="F316">
            <v>131</v>
          </cell>
          <cell r="G316">
            <v>94.8429</v>
          </cell>
          <cell r="H316">
            <v>76.9953</v>
          </cell>
          <cell r="I316">
            <v>53.464199999999998</v>
          </cell>
          <cell r="J316">
            <v>63.664900000000003</v>
          </cell>
          <cell r="K316">
            <v>59.2898</v>
          </cell>
          <cell r="L316">
            <v>32.318399999999997</v>
          </cell>
          <cell r="M316">
            <v>94.8429</v>
          </cell>
          <cell r="N316">
            <v>56.127000000000002</v>
          </cell>
          <cell r="O316">
            <v>0</v>
          </cell>
          <cell r="P316">
            <v>31.688199999999998</v>
          </cell>
          <cell r="Q316">
            <v>12.5595</v>
          </cell>
          <cell r="R316">
            <v>17.246700000000001</v>
          </cell>
        </row>
        <row r="317">
          <cell r="A317" t="str">
            <v>6023S</v>
          </cell>
          <cell r="B317" t="str">
            <v>StoweBots</v>
          </cell>
          <cell r="C317" t="str">
            <v>Stowe School</v>
          </cell>
          <cell r="D317" t="str">
            <v>Buckingham, , United Kingdom</v>
          </cell>
          <cell r="E317">
            <v>203</v>
          </cell>
          <cell r="F317">
            <v>97</v>
          </cell>
          <cell r="G317">
            <v>113.30800000000001</v>
          </cell>
          <cell r="H317">
            <v>113.30800000000001</v>
          </cell>
          <cell r="I317">
            <v>60.097299999999997</v>
          </cell>
          <cell r="J317">
            <v>48.5032</v>
          </cell>
          <cell r="K317">
            <v>42.984000000000002</v>
          </cell>
        </row>
        <row r="318">
          <cell r="A318" t="str">
            <v>6024B</v>
          </cell>
          <cell r="B318" t="str">
            <v>Bruhsiden</v>
          </cell>
          <cell r="C318" t="str">
            <v>Fosston High School</v>
          </cell>
          <cell r="D318" t="str">
            <v>Fosston, Minnesota, United States</v>
          </cell>
          <cell r="E318">
            <v>137</v>
          </cell>
          <cell r="F318">
            <v>108</v>
          </cell>
          <cell r="G318">
            <v>59.362900000000003</v>
          </cell>
          <cell r="H318">
            <v>59.362900000000003</v>
          </cell>
          <cell r="I318">
            <v>23.5596</v>
          </cell>
          <cell r="J318">
            <v>19.370899999999999</v>
          </cell>
          <cell r="K318">
            <v>9.3122900000000008</v>
          </cell>
        </row>
        <row r="319">
          <cell r="A319" t="str">
            <v>6030J</v>
          </cell>
          <cell r="B319" t="str">
            <v>Jesters</v>
          </cell>
          <cell r="C319" t="str">
            <v>Arizona College Prep - Erie</v>
          </cell>
          <cell r="D319" t="str">
            <v>Chandler, Arizona, United States</v>
          </cell>
          <cell r="E319">
            <v>281</v>
          </cell>
          <cell r="F319">
            <v>285</v>
          </cell>
          <cell r="G319">
            <v>85.1143</v>
          </cell>
          <cell r="H319">
            <v>85.1143</v>
          </cell>
          <cell r="I319">
            <v>66.758499999999998</v>
          </cell>
          <cell r="J319">
            <v>20.473299999999998</v>
          </cell>
          <cell r="K319">
            <v>74.468500000000006</v>
          </cell>
          <cell r="L319">
            <v>41.542900000000003</v>
          </cell>
          <cell r="M319">
            <v>76.986699999999999</v>
          </cell>
          <cell r="N319">
            <v>45.329900000000002</v>
          </cell>
        </row>
        <row r="320">
          <cell r="A320" t="str">
            <v>6053B</v>
          </cell>
          <cell r="B320" t="str">
            <v>Error 404</v>
          </cell>
          <cell r="C320" t="str">
            <v>Highgate School</v>
          </cell>
          <cell r="D320" t="str">
            <v>London, N/A, United Kingdom</v>
          </cell>
          <cell r="E320">
            <v>221</v>
          </cell>
          <cell r="F320">
            <v>191</v>
          </cell>
          <cell r="G320">
            <v>145.48400000000001</v>
          </cell>
          <cell r="H320">
            <v>82.423900000000003</v>
          </cell>
          <cell r="I320">
            <v>98.141499999999994</v>
          </cell>
          <cell r="J320">
            <v>90.008300000000006</v>
          </cell>
          <cell r="K320">
            <v>84.572199999999995</v>
          </cell>
          <cell r="L320">
            <v>74.054299999999998</v>
          </cell>
          <cell r="M320">
            <v>86.465199999999996</v>
          </cell>
          <cell r="N320">
            <v>145.48400000000001</v>
          </cell>
          <cell r="O320">
            <v>49.232399999999998</v>
          </cell>
          <cell r="P320">
            <v>45.636899999999997</v>
          </cell>
          <cell r="Q320">
            <v>19.584</v>
          </cell>
        </row>
        <row r="321">
          <cell r="A321" t="str">
            <v>6053C</v>
          </cell>
          <cell r="B321" t="str">
            <v>Systematic Chaos</v>
          </cell>
          <cell r="C321" t="str">
            <v>Highgate School</v>
          </cell>
          <cell r="D321" t="str">
            <v>London, N/A, United Kingdom</v>
          </cell>
          <cell r="E321">
            <v>199</v>
          </cell>
          <cell r="F321">
            <v>0</v>
          </cell>
          <cell r="G321">
            <v>86.161199999999994</v>
          </cell>
          <cell r="H321">
            <v>20.985399999999998</v>
          </cell>
          <cell r="I321">
            <v>29.690100000000001</v>
          </cell>
          <cell r="J321">
            <v>86.161199999999994</v>
          </cell>
          <cell r="K321">
            <v>12.873699999999999</v>
          </cell>
          <cell r="L321">
            <v>49.776000000000003</v>
          </cell>
          <cell r="M321">
            <v>44.407299999999999</v>
          </cell>
          <cell r="N321">
            <v>54.924399999999999</v>
          </cell>
          <cell r="O321">
            <v>25.079799999999999</v>
          </cell>
        </row>
        <row r="322">
          <cell r="A322" t="str">
            <v>6106A</v>
          </cell>
          <cell r="B322" t="str">
            <v>Choate Robotics</v>
          </cell>
          <cell r="C322" t="str">
            <v>Choate Rosemary Hall</v>
          </cell>
          <cell r="D322" t="str">
            <v>Wallingford, Connecticut, United States</v>
          </cell>
          <cell r="E322">
            <v>117</v>
          </cell>
          <cell r="F322">
            <v>145</v>
          </cell>
          <cell r="G322">
            <v>124.977</v>
          </cell>
          <cell r="H322">
            <v>76.5304</v>
          </cell>
          <cell r="I322">
            <v>124.977</v>
          </cell>
          <cell r="J322">
            <v>118.92100000000001</v>
          </cell>
          <cell r="K322">
            <v>91.825900000000004</v>
          </cell>
          <cell r="L322">
            <v>25.0335</v>
          </cell>
          <cell r="M322">
            <v>20.563800000000001</v>
          </cell>
          <cell r="N322">
            <v>24.290400000000002</v>
          </cell>
        </row>
        <row r="323">
          <cell r="A323" t="str">
            <v>6116D</v>
          </cell>
          <cell r="B323" t="str">
            <v>Fluffy</v>
          </cell>
          <cell r="C323" t="str">
            <v>Star Valley High School</v>
          </cell>
          <cell r="D323" t="str">
            <v>Afton, Wyoming, United States</v>
          </cell>
          <cell r="E323">
            <v>0</v>
          </cell>
          <cell r="F323">
            <v>0</v>
          </cell>
          <cell r="G323">
            <v>71.0608</v>
          </cell>
          <cell r="H323">
            <v>54.820700000000002</v>
          </cell>
          <cell r="I323">
            <v>71.0608</v>
          </cell>
        </row>
        <row r="324">
          <cell r="A324" t="str">
            <v>6127C</v>
          </cell>
          <cell r="B324" t="str">
            <v>DV3</v>
          </cell>
          <cell r="C324" t="str">
            <v>Del Valle High School</v>
          </cell>
          <cell r="D324" t="str">
            <v>El Paso, Texas, United States</v>
          </cell>
          <cell r="E324">
            <v>0</v>
          </cell>
          <cell r="F324">
            <v>0</v>
          </cell>
          <cell r="G324">
            <v>38.878300000000003</v>
          </cell>
          <cell r="H324">
            <v>38.878300000000003</v>
          </cell>
          <cell r="I324">
            <v>28.616299999999999</v>
          </cell>
        </row>
        <row r="325">
          <cell r="A325" t="str">
            <v>6135C</v>
          </cell>
          <cell r="B325" t="str">
            <v>CHHS Bruins C</v>
          </cell>
          <cell r="C325" t="str">
            <v>Central Hardin High School PLTW</v>
          </cell>
          <cell r="D325" t="str">
            <v>Cecilia, Kentucky, United States</v>
          </cell>
          <cell r="E325">
            <v>246</v>
          </cell>
          <cell r="F325">
            <v>138</v>
          </cell>
          <cell r="G325">
            <v>150.21899999999999</v>
          </cell>
          <cell r="H325">
            <v>150.21899999999999</v>
          </cell>
          <cell r="I325">
            <v>64.808800000000005</v>
          </cell>
          <cell r="J325">
            <v>87.766999999999996</v>
          </cell>
          <cell r="K325">
            <v>98.679100000000005</v>
          </cell>
          <cell r="L325">
            <v>115.919</v>
          </cell>
          <cell r="M325">
            <v>31.170300000000001</v>
          </cell>
          <cell r="N325">
            <v>67.358800000000002</v>
          </cell>
        </row>
        <row r="326">
          <cell r="A326" t="str">
            <v>6135D</v>
          </cell>
          <cell r="B326" t="str">
            <v>CHHS Bruins D</v>
          </cell>
          <cell r="C326" t="str">
            <v>Central Hardin High School PLTW</v>
          </cell>
          <cell r="D326" t="str">
            <v>Cecilia, Kentucky, United States</v>
          </cell>
          <cell r="E326">
            <v>127</v>
          </cell>
          <cell r="F326">
            <v>78</v>
          </cell>
          <cell r="G326">
            <v>81.403899999999993</v>
          </cell>
          <cell r="H326">
            <v>60.366300000000003</v>
          </cell>
          <cell r="I326">
            <v>63.011299999999999</v>
          </cell>
          <cell r="J326">
            <v>32.430599999999998</v>
          </cell>
          <cell r="K326">
            <v>40.133800000000001</v>
          </cell>
          <cell r="L326">
            <v>44.636800000000001</v>
          </cell>
          <cell r="M326">
            <v>80.373699999999999</v>
          </cell>
          <cell r="N326">
            <v>81.403899999999993</v>
          </cell>
        </row>
        <row r="327">
          <cell r="A327" t="str">
            <v>6135K</v>
          </cell>
          <cell r="B327" t="str">
            <v>CHHS Bruins K</v>
          </cell>
          <cell r="C327" t="str">
            <v>Central Hardin High School PLTW</v>
          </cell>
          <cell r="D327" t="str">
            <v>Cecilia, Kentucky, United States</v>
          </cell>
          <cell r="E327">
            <v>238</v>
          </cell>
          <cell r="F327">
            <v>245</v>
          </cell>
          <cell r="G327">
            <v>76.271900000000002</v>
          </cell>
          <cell r="H327">
            <v>76.271900000000002</v>
          </cell>
          <cell r="I327">
            <v>61.979900000000001</v>
          </cell>
          <cell r="J327">
            <v>35.088999999999999</v>
          </cell>
          <cell r="K327">
            <v>63.208300000000001</v>
          </cell>
          <cell r="L327">
            <v>33.561399999999999</v>
          </cell>
          <cell r="M327">
            <v>26.699100000000001</v>
          </cell>
          <cell r="N327">
            <v>38.849200000000003</v>
          </cell>
          <cell r="O327">
            <v>17.614699999999999</v>
          </cell>
          <cell r="P327">
            <v>27.6327</v>
          </cell>
        </row>
        <row r="328">
          <cell r="A328" t="str">
            <v>6165S</v>
          </cell>
          <cell r="B328" t="str">
            <v>Salvauth Park</v>
          </cell>
          <cell r="C328" t="str">
            <v>El Raco dels Robotaires</v>
          </cell>
          <cell r="D328" t="str">
            <v>Girona, Girona, Spain</v>
          </cell>
          <cell r="E328">
            <v>0</v>
          </cell>
          <cell r="F328">
            <v>0</v>
          </cell>
          <cell r="G328">
            <v>104.044</v>
          </cell>
          <cell r="H328">
            <v>104.044</v>
          </cell>
        </row>
        <row r="329">
          <cell r="A329" t="str">
            <v>6210Z</v>
          </cell>
          <cell r="B329" t="str">
            <v>Eagles Engineering</v>
          </cell>
          <cell r="C329" t="str">
            <v>Heritage Christian School</v>
          </cell>
          <cell r="D329" t="str">
            <v>Indianapolis, Indiana, United States</v>
          </cell>
          <cell r="E329">
            <v>41</v>
          </cell>
          <cell r="F329">
            <v>176</v>
          </cell>
          <cell r="G329">
            <v>80.170500000000004</v>
          </cell>
          <cell r="H329">
            <v>80.170500000000004</v>
          </cell>
          <cell r="I329">
            <v>16.645900000000001</v>
          </cell>
          <cell r="J329">
            <v>71.386399999999995</v>
          </cell>
          <cell r="K329">
            <v>54.289499999999997</v>
          </cell>
        </row>
        <row r="330">
          <cell r="A330" t="str">
            <v>6264</v>
          </cell>
          <cell r="B330" t="str">
            <v>The Shawkbots</v>
          </cell>
          <cell r="C330" t="str">
            <v>Shawnigan Lake School</v>
          </cell>
          <cell r="D330" t="str">
            <v>Shawnigan Lake, British Columbia, Canada</v>
          </cell>
          <cell r="E330">
            <v>283</v>
          </cell>
          <cell r="F330">
            <v>0</v>
          </cell>
          <cell r="G330">
            <v>86.446700000000007</v>
          </cell>
          <cell r="H330">
            <v>86.446700000000007</v>
          </cell>
          <cell r="I330">
            <v>28.858799999999999</v>
          </cell>
          <cell r="J330">
            <v>18.383800000000001</v>
          </cell>
          <cell r="K330">
            <v>6.9376199999999999</v>
          </cell>
        </row>
        <row r="331">
          <cell r="A331" t="str">
            <v>6264D</v>
          </cell>
          <cell r="B331" t="str">
            <v>The Shawkbots</v>
          </cell>
          <cell r="C331" t="str">
            <v>Shawnigan Lake School</v>
          </cell>
          <cell r="D331" t="str">
            <v>Shawnigan Lake, British Columbia, Canada</v>
          </cell>
          <cell r="E331">
            <v>0</v>
          </cell>
          <cell r="F331">
            <v>0</v>
          </cell>
          <cell r="G331">
            <v>55.161499999999997</v>
          </cell>
          <cell r="H331">
            <v>54.993899999999996</v>
          </cell>
          <cell r="I331">
            <v>50.992400000000004</v>
          </cell>
          <cell r="J331">
            <v>19.098700000000001</v>
          </cell>
          <cell r="K331">
            <v>55.161499999999997</v>
          </cell>
          <cell r="L331">
            <v>7.7772399999999999</v>
          </cell>
        </row>
        <row r="332">
          <cell r="A332" t="str">
            <v>6272B</v>
          </cell>
          <cell r="B332" t="str">
            <v>STF 2</v>
          </cell>
          <cell r="C332" t="str">
            <v>SEKOLAH TUN FATIMAH</v>
          </cell>
          <cell r="D332" t="str">
            <v>Johor Bahru, N/A, Malaysia</v>
          </cell>
          <cell r="E332">
            <v>34</v>
          </cell>
          <cell r="F332">
            <v>25</v>
          </cell>
          <cell r="G332">
            <v>56.941200000000002</v>
          </cell>
          <cell r="H332">
            <v>56.941200000000002</v>
          </cell>
        </row>
        <row r="333">
          <cell r="A333" t="str">
            <v>6297E</v>
          </cell>
          <cell r="B333" t="str">
            <v>FCS Paladins</v>
          </cell>
          <cell r="C333" t="str">
            <v>Fellowship Christian High School</v>
          </cell>
          <cell r="D333" t="str">
            <v>Roswell, Georgia, United States</v>
          </cell>
          <cell r="E333">
            <v>121</v>
          </cell>
          <cell r="F333">
            <v>32</v>
          </cell>
          <cell r="G333">
            <v>88.700999999999993</v>
          </cell>
          <cell r="H333">
            <v>88.700999999999993</v>
          </cell>
          <cell r="I333">
            <v>43.420999999999999</v>
          </cell>
          <cell r="J333">
            <v>48.035400000000003</v>
          </cell>
          <cell r="K333">
            <v>55.786499999999997</v>
          </cell>
          <cell r="L333">
            <v>75.762200000000007</v>
          </cell>
          <cell r="M333">
            <v>62.820099999999996</v>
          </cell>
          <cell r="N333">
            <v>15.883900000000001</v>
          </cell>
        </row>
        <row r="334">
          <cell r="A334" t="str">
            <v>6302Y</v>
          </cell>
          <cell r="B334" t="str">
            <v>Rockets</v>
          </cell>
          <cell r="C334" t="str">
            <v>Ridgedale High School</v>
          </cell>
          <cell r="D334" t="str">
            <v>Morral, Ohio, United States</v>
          </cell>
          <cell r="E334">
            <v>335</v>
          </cell>
          <cell r="F334">
            <v>265</v>
          </cell>
          <cell r="G334">
            <v>117.559</v>
          </cell>
          <cell r="H334">
            <v>86.634</v>
          </cell>
          <cell r="I334">
            <v>117.559</v>
          </cell>
          <cell r="J334">
            <v>92.394499999999994</v>
          </cell>
          <cell r="K334">
            <v>69.703299999999999</v>
          </cell>
          <cell r="L334">
            <v>0</v>
          </cell>
          <cell r="M334">
            <v>75.162999999999997</v>
          </cell>
          <cell r="N334">
            <v>76.433400000000006</v>
          </cell>
          <cell r="O334">
            <v>29.2591</v>
          </cell>
          <cell r="P334">
            <v>11.9977</v>
          </cell>
        </row>
        <row r="335">
          <cell r="A335" t="str">
            <v>6323C</v>
          </cell>
          <cell r="B335" t="str">
            <v>Tyrannosaurus Vex</v>
          </cell>
          <cell r="C335" t="str">
            <v>Desert Vista High School</v>
          </cell>
          <cell r="D335" t="str">
            <v>phoenix, Arizona, United States</v>
          </cell>
          <cell r="E335">
            <v>94</v>
          </cell>
          <cell r="F335">
            <v>105</v>
          </cell>
          <cell r="G335">
            <v>77.083399999999997</v>
          </cell>
          <cell r="H335">
            <v>64.446799999999996</v>
          </cell>
          <cell r="I335">
            <v>77.083399999999997</v>
          </cell>
          <cell r="J335">
            <v>15.475</v>
          </cell>
          <cell r="K335">
            <v>1.5767500000000001</v>
          </cell>
        </row>
        <row r="336">
          <cell r="A336" t="str">
            <v>6430</v>
          </cell>
          <cell r="B336" t="str">
            <v>Trinity Dragons</v>
          </cell>
          <cell r="C336" t="str">
            <v>Trinity Robotics Club</v>
          </cell>
          <cell r="D336" t="str">
            <v>Lutz, Florida, United States</v>
          </cell>
          <cell r="E336">
            <v>331</v>
          </cell>
          <cell r="F336">
            <v>286</v>
          </cell>
          <cell r="G336">
            <v>168.34399999999999</v>
          </cell>
          <cell r="H336">
            <v>161.51499999999999</v>
          </cell>
          <cell r="I336">
            <v>158.54599999999999</v>
          </cell>
          <cell r="J336">
            <v>116.59699999999999</v>
          </cell>
          <cell r="K336">
            <v>168.34399999999999</v>
          </cell>
          <cell r="L336">
            <v>113.137</v>
          </cell>
          <cell r="M336">
            <v>123.60299999999999</v>
          </cell>
        </row>
        <row r="337">
          <cell r="A337" t="str">
            <v>6430B</v>
          </cell>
          <cell r="B337" t="str">
            <v>Trinity Dragons</v>
          </cell>
          <cell r="C337" t="str">
            <v>Trinity Robotics Club</v>
          </cell>
          <cell r="D337" t="str">
            <v>Lutz, Florida, United States</v>
          </cell>
          <cell r="E337">
            <v>277</v>
          </cell>
          <cell r="F337">
            <v>226</v>
          </cell>
          <cell r="G337">
            <v>178.19300000000001</v>
          </cell>
          <cell r="H337">
            <v>133.75800000000001</v>
          </cell>
          <cell r="I337">
            <v>152.06399999999999</v>
          </cell>
          <cell r="J337">
            <v>101.04300000000001</v>
          </cell>
          <cell r="K337">
            <v>178.19300000000001</v>
          </cell>
          <cell r="L337">
            <v>77.030799999999999</v>
          </cell>
          <cell r="M337">
            <v>99.325900000000004</v>
          </cell>
        </row>
        <row r="338">
          <cell r="A338" t="str">
            <v>6460</v>
          </cell>
          <cell r="B338" t="str">
            <v>MAGNOBOTS</v>
          </cell>
          <cell r="C338" t="str">
            <v>magnolia science academy 1</v>
          </cell>
          <cell r="D338" t="str">
            <v>reseda, California, United States</v>
          </cell>
          <cell r="E338">
            <v>291</v>
          </cell>
          <cell r="F338">
            <v>117</v>
          </cell>
          <cell r="G338">
            <v>80.387200000000007</v>
          </cell>
          <cell r="H338">
            <v>80.387200000000007</v>
          </cell>
          <cell r="I338">
            <v>52.203899999999997</v>
          </cell>
          <cell r="J338">
            <v>0</v>
          </cell>
        </row>
        <row r="339">
          <cell r="A339" t="str">
            <v>6526D</v>
          </cell>
          <cell r="B339" t="str">
            <v>D-High</v>
          </cell>
          <cell r="C339" t="str">
            <v>Damien High School</v>
          </cell>
          <cell r="D339" t="str">
            <v>La Verne, California, United States</v>
          </cell>
          <cell r="E339">
            <v>146</v>
          </cell>
          <cell r="F339">
            <v>181</v>
          </cell>
          <cell r="G339">
            <v>87.715100000000007</v>
          </cell>
          <cell r="H339">
            <v>87.715100000000007</v>
          </cell>
          <cell r="I339">
            <v>65.442800000000005</v>
          </cell>
          <cell r="J339">
            <v>24.197900000000001</v>
          </cell>
          <cell r="K339">
            <v>44.206200000000003</v>
          </cell>
        </row>
        <row r="340">
          <cell r="A340" t="str">
            <v>6526F</v>
          </cell>
          <cell r="B340" t="str">
            <v>D-High</v>
          </cell>
          <cell r="C340" t="str">
            <v>Damien High School</v>
          </cell>
          <cell r="D340" t="str">
            <v>La Verne, California, United States</v>
          </cell>
          <cell r="E340">
            <v>226</v>
          </cell>
          <cell r="F340">
            <v>160</v>
          </cell>
          <cell r="G340">
            <v>75.131299999999996</v>
          </cell>
          <cell r="H340">
            <v>74.705299999999994</v>
          </cell>
          <cell r="I340">
            <v>75.131299999999996</v>
          </cell>
          <cell r="J340">
            <v>28.598700000000001</v>
          </cell>
        </row>
        <row r="341">
          <cell r="A341" t="str">
            <v>6596</v>
          </cell>
          <cell r="B341" t="str">
            <v>Vexponential Potential</v>
          </cell>
          <cell r="C341" t="str">
            <v>Clear Lake Area Robotics</v>
          </cell>
          <cell r="D341" t="str">
            <v>Houston, Texas, United States</v>
          </cell>
          <cell r="E341">
            <v>44</v>
          </cell>
          <cell r="F341">
            <v>19</v>
          </cell>
          <cell r="G341">
            <v>68.897800000000004</v>
          </cell>
          <cell r="H341">
            <v>19.116900000000001</v>
          </cell>
          <cell r="I341">
            <v>39.7849</v>
          </cell>
          <cell r="J341">
            <v>27.472999999999999</v>
          </cell>
          <cell r="K341">
            <v>68.897800000000004</v>
          </cell>
          <cell r="L341">
            <v>43.137999999999998</v>
          </cell>
        </row>
        <row r="342">
          <cell r="A342" t="str">
            <v>6659</v>
          </cell>
          <cell r="B342" t="str">
            <v>Jackie Moon</v>
          </cell>
          <cell r="C342" t="str">
            <v>Master's Academy &amp; College</v>
          </cell>
          <cell r="D342" t="str">
            <v>Calgary, Alberta, Canada</v>
          </cell>
          <cell r="E342">
            <v>176</v>
          </cell>
          <cell r="F342">
            <v>301</v>
          </cell>
          <cell r="G342">
            <v>121.7</v>
          </cell>
          <cell r="H342">
            <v>91.950699999999998</v>
          </cell>
          <cell r="I342">
            <v>121.7</v>
          </cell>
          <cell r="J342">
            <v>102.002</v>
          </cell>
          <cell r="K342">
            <v>31.083200000000001</v>
          </cell>
        </row>
        <row r="343">
          <cell r="A343" t="str">
            <v>6661A</v>
          </cell>
          <cell r="B343" t="str">
            <v>Davis College</v>
          </cell>
          <cell r="C343" t="str">
            <v>Davis College</v>
          </cell>
          <cell r="D343" t="str">
            <v>Co. Cork, N/A, Ireland</v>
          </cell>
          <cell r="E343">
            <v>0</v>
          </cell>
          <cell r="F343">
            <v>0</v>
          </cell>
        </row>
        <row r="344">
          <cell r="A344" t="str">
            <v>6685R</v>
          </cell>
          <cell r="B344" t="str">
            <v>Vexorsism</v>
          </cell>
          <cell r="C344" t="str">
            <v>Millard South High School</v>
          </cell>
          <cell r="D344" t="str">
            <v>Omaha, Nebraska, United States</v>
          </cell>
          <cell r="E344">
            <v>287</v>
          </cell>
          <cell r="F344">
            <v>275</v>
          </cell>
          <cell r="G344">
            <v>102.583</v>
          </cell>
          <cell r="H344">
            <v>102.583</v>
          </cell>
          <cell r="I344">
            <v>85.001400000000004</v>
          </cell>
          <cell r="J344">
            <v>70.370500000000007</v>
          </cell>
          <cell r="K344">
            <v>75.260800000000003</v>
          </cell>
          <cell r="L344">
            <v>65.789500000000004</v>
          </cell>
          <cell r="M344">
            <v>94.399199999999993</v>
          </cell>
        </row>
        <row r="345">
          <cell r="A345" t="str">
            <v>6724</v>
          </cell>
          <cell r="B345" t="str">
            <v>K2 Robotics</v>
          </cell>
          <cell r="C345" t="str">
            <v>Chadwick International</v>
          </cell>
          <cell r="D345" t="str">
            <v>Songdo, N/A, South Korea</v>
          </cell>
          <cell r="E345">
            <v>272</v>
          </cell>
          <cell r="F345">
            <v>208</v>
          </cell>
          <cell r="G345">
            <v>110.9</v>
          </cell>
          <cell r="H345">
            <v>110.9</v>
          </cell>
          <cell r="I345">
            <v>61.223399999999998</v>
          </cell>
          <cell r="J345">
            <v>0</v>
          </cell>
        </row>
        <row r="346">
          <cell r="A346" t="str">
            <v>6740A</v>
          </cell>
          <cell r="B346" t="str">
            <v>Alvin</v>
          </cell>
          <cell r="C346" t="str">
            <v>Team Alvin</v>
          </cell>
          <cell r="D346" t="str">
            <v>Glen Allen, Virginia, United States</v>
          </cell>
          <cell r="E346">
            <v>272</v>
          </cell>
          <cell r="F346">
            <v>246</v>
          </cell>
          <cell r="G346">
            <v>104.51600000000001</v>
          </cell>
          <cell r="H346">
            <v>84.672499999999999</v>
          </cell>
          <cell r="I346">
            <v>89.083299999999994</v>
          </cell>
          <cell r="J346">
            <v>104.51600000000001</v>
          </cell>
        </row>
        <row r="347">
          <cell r="A347" t="str">
            <v>6740B</v>
          </cell>
          <cell r="B347" t="str">
            <v>Simon</v>
          </cell>
          <cell r="C347" t="str">
            <v>Team Alvin</v>
          </cell>
          <cell r="D347" t="str">
            <v>Glen Allen, Virginia, United States</v>
          </cell>
          <cell r="E347">
            <v>215</v>
          </cell>
          <cell r="F347">
            <v>241</v>
          </cell>
          <cell r="G347">
            <v>96.616299999999995</v>
          </cell>
          <cell r="H347">
            <v>74.914699999999996</v>
          </cell>
          <cell r="I347">
            <v>96.616299999999995</v>
          </cell>
          <cell r="J347">
            <v>79.116200000000006</v>
          </cell>
        </row>
        <row r="348">
          <cell r="A348" t="str">
            <v>6813B</v>
          </cell>
          <cell r="B348" t="str">
            <v>MW M^3</v>
          </cell>
          <cell r="C348" t="str">
            <v>MILLARD WEST HIGH SCHOOL</v>
          </cell>
          <cell r="D348" t="str">
            <v>OMAHA, Nebraska, United States</v>
          </cell>
          <cell r="E348">
            <v>306</v>
          </cell>
          <cell r="F348">
            <v>141</v>
          </cell>
          <cell r="G348">
            <v>107.57599999999999</v>
          </cell>
          <cell r="H348">
            <v>93.349800000000002</v>
          </cell>
          <cell r="I348">
            <v>34.460500000000003</v>
          </cell>
          <cell r="J348">
            <v>67.002300000000005</v>
          </cell>
          <cell r="K348">
            <v>90.234099999999998</v>
          </cell>
          <cell r="L348">
            <v>107.57599999999999</v>
          </cell>
          <cell r="M348">
            <v>88.331800000000001</v>
          </cell>
        </row>
        <row r="349">
          <cell r="A349" t="str">
            <v>6815Z</v>
          </cell>
          <cell r="B349" t="str">
            <v>Do you even lift bro?</v>
          </cell>
          <cell r="C349" t="str">
            <v>Lincoln County High School</v>
          </cell>
          <cell r="D349" t="str">
            <v>Hamlin, West Virginia, United States</v>
          </cell>
          <cell r="E349">
            <v>208</v>
          </cell>
          <cell r="F349">
            <v>93</v>
          </cell>
          <cell r="G349">
            <v>118.259</v>
          </cell>
          <cell r="H349">
            <v>118.259</v>
          </cell>
          <cell r="I349">
            <v>91.063999999999993</v>
          </cell>
          <cell r="J349">
            <v>58.146900000000002</v>
          </cell>
        </row>
        <row r="350">
          <cell r="A350" t="str">
            <v>6862</v>
          </cell>
          <cell r="B350" t="str">
            <v>Team Comet Robotics Club</v>
          </cell>
          <cell r="C350" t="str">
            <v>Team Comet Robotics Club</v>
          </cell>
          <cell r="D350" t="str">
            <v>Marion, Ohio, United States</v>
          </cell>
          <cell r="E350">
            <v>55</v>
          </cell>
          <cell r="F350">
            <v>0</v>
          </cell>
          <cell r="G350">
            <v>68.359499999999997</v>
          </cell>
          <cell r="H350">
            <v>61.093000000000004</v>
          </cell>
          <cell r="I350">
            <v>35.150199999999998</v>
          </cell>
          <cell r="J350">
            <v>63.577800000000003</v>
          </cell>
          <cell r="K350">
            <v>68.359499999999997</v>
          </cell>
          <cell r="L350">
            <v>7.5114599999999996</v>
          </cell>
          <cell r="M350">
            <v>67.595799999999997</v>
          </cell>
          <cell r="N350">
            <v>20.482900000000001</v>
          </cell>
          <cell r="O350">
            <v>51.782699999999998</v>
          </cell>
        </row>
        <row r="351">
          <cell r="A351" t="str">
            <v>6862M</v>
          </cell>
          <cell r="B351" t="str">
            <v>Team Comet Robotics Club</v>
          </cell>
          <cell r="C351" t="str">
            <v>Team Comet Robotics Club</v>
          </cell>
          <cell r="D351" t="str">
            <v>Marion, Ohio, United States</v>
          </cell>
          <cell r="E351">
            <v>116</v>
          </cell>
          <cell r="F351">
            <v>0</v>
          </cell>
          <cell r="G351">
            <v>116.857</v>
          </cell>
          <cell r="H351">
            <v>82.912300000000002</v>
          </cell>
          <cell r="I351">
            <v>70.9358</v>
          </cell>
          <cell r="J351">
            <v>77.244</v>
          </cell>
          <cell r="K351">
            <v>116.857</v>
          </cell>
          <cell r="L351">
            <v>64.251900000000006</v>
          </cell>
          <cell r="M351">
            <v>69.460599999999999</v>
          </cell>
          <cell r="N351">
            <v>61.224200000000003</v>
          </cell>
          <cell r="O351">
            <v>57.125599999999999</v>
          </cell>
          <cell r="P351">
            <v>57.737000000000002</v>
          </cell>
        </row>
        <row r="352">
          <cell r="A352" t="str">
            <v>6891</v>
          </cell>
          <cell r="B352" t="str">
            <v>Jackpot</v>
          </cell>
          <cell r="C352" t="str">
            <v>Faith Lutheran High School</v>
          </cell>
          <cell r="D352" t="str">
            <v>Las Vegas, Nevada, United States</v>
          </cell>
          <cell r="E352">
            <v>315</v>
          </cell>
          <cell r="F352">
            <v>316</v>
          </cell>
          <cell r="G352">
            <v>143.566</v>
          </cell>
          <cell r="H352">
            <v>71.621200000000002</v>
          </cell>
          <cell r="I352">
            <v>143.566</v>
          </cell>
          <cell r="J352">
            <v>79.794899999999998</v>
          </cell>
          <cell r="K352">
            <v>68.917299999999997</v>
          </cell>
        </row>
        <row r="353">
          <cell r="A353" t="str">
            <v>6916A</v>
          </cell>
          <cell r="B353" t="str">
            <v>BVT VEX Robotics</v>
          </cell>
          <cell r="C353" t="str">
            <v>Blackstone Valley Regional High School</v>
          </cell>
          <cell r="D353" t="str">
            <v>Upton, Massachusetts, United States</v>
          </cell>
          <cell r="E353">
            <v>96</v>
          </cell>
          <cell r="F353">
            <v>0</v>
          </cell>
          <cell r="G353">
            <v>75.540199999999999</v>
          </cell>
          <cell r="H353">
            <v>53.038499999999999</v>
          </cell>
          <cell r="I353">
            <v>24.377400000000002</v>
          </cell>
          <cell r="J353">
            <v>75.540199999999999</v>
          </cell>
          <cell r="K353">
            <v>47.092300000000002</v>
          </cell>
        </row>
        <row r="354">
          <cell r="A354" t="str">
            <v>6916C</v>
          </cell>
          <cell r="B354" t="str">
            <v>BVT VexVengers</v>
          </cell>
          <cell r="C354" t="str">
            <v>Blackstone Valley Regional High School</v>
          </cell>
          <cell r="D354" t="str">
            <v>Upton, Massachusetts, United States</v>
          </cell>
          <cell r="E354">
            <v>80</v>
          </cell>
          <cell r="F354">
            <v>120</v>
          </cell>
          <cell r="G354">
            <v>125.61199999999999</v>
          </cell>
          <cell r="H354">
            <v>125.61199999999999</v>
          </cell>
          <cell r="I354">
            <v>100.79900000000001</v>
          </cell>
          <cell r="J354">
            <v>72.357100000000003</v>
          </cell>
          <cell r="K354">
            <v>88.680499999999995</v>
          </cell>
          <cell r="L354">
            <v>68.870800000000003</v>
          </cell>
        </row>
        <row r="355">
          <cell r="A355" t="str">
            <v>6916D</v>
          </cell>
          <cell r="B355" t="str">
            <v>BVT Samurai</v>
          </cell>
          <cell r="C355" t="str">
            <v>Blackstone Valley Regional High School</v>
          </cell>
          <cell r="D355" t="str">
            <v>Upton, Massachusetts, United States</v>
          </cell>
          <cell r="E355">
            <v>195</v>
          </cell>
          <cell r="F355">
            <v>0</v>
          </cell>
          <cell r="G355">
            <v>99.343599999999995</v>
          </cell>
          <cell r="H355">
            <v>96.4756</v>
          </cell>
          <cell r="I355">
            <v>75.454300000000003</v>
          </cell>
          <cell r="J355">
            <v>99.343599999999995</v>
          </cell>
          <cell r="K355">
            <v>49.8217</v>
          </cell>
          <cell r="L355">
            <v>55.8262</v>
          </cell>
        </row>
        <row r="356">
          <cell r="A356" t="str">
            <v>6953B</v>
          </cell>
          <cell r="B356" t="str">
            <v>PULGAS</v>
          </cell>
          <cell r="C356" t="str">
            <v>Cecytech 22 Ricardo Flores Magon</v>
          </cell>
          <cell r="D356" t="str">
            <v>Tuxtla Gutiérrez, Chiapas, Mexico</v>
          </cell>
          <cell r="E356">
            <v>0</v>
          </cell>
          <cell r="F356">
            <v>0</v>
          </cell>
          <cell r="G356">
            <v>49.804099999999998</v>
          </cell>
          <cell r="H356">
            <v>26.170999999999999</v>
          </cell>
          <cell r="I356">
            <v>49.804099999999998</v>
          </cell>
        </row>
        <row r="357">
          <cell r="A357" t="str">
            <v>7001D</v>
          </cell>
          <cell r="B357" t="str">
            <v>CECYTE CHIAPAS</v>
          </cell>
          <cell r="C357" t="str">
            <v>CECYTE CHIAPAS</v>
          </cell>
          <cell r="D357" t="str">
            <v>Tuxtla Gutierrez, Chiapas, Mexico</v>
          </cell>
          <cell r="E357">
            <v>0</v>
          </cell>
          <cell r="F357">
            <v>0</v>
          </cell>
          <cell r="G357">
            <v>37.136800000000001</v>
          </cell>
          <cell r="H357">
            <v>37.136800000000001</v>
          </cell>
          <cell r="I357">
            <v>11.3995</v>
          </cell>
          <cell r="J357">
            <v>27.732299999999999</v>
          </cell>
        </row>
        <row r="358">
          <cell r="A358" t="str">
            <v>7010A</v>
          </cell>
          <cell r="B358" t="str">
            <v>Conalep Chiapas A</v>
          </cell>
          <cell r="C358" t="str">
            <v>Colegio Nacional de Educación Profesional Técnica (Conalep Chiapas)</v>
          </cell>
          <cell r="D358" t="str">
            <v>Tuxtal Gutierrez , Chiapas, Chiapas, Mexico</v>
          </cell>
          <cell r="E358">
            <v>93</v>
          </cell>
          <cell r="F358">
            <v>61</v>
          </cell>
          <cell r="G358">
            <v>105.673</v>
          </cell>
          <cell r="H358">
            <v>87.343599999999995</v>
          </cell>
          <cell r="I358">
            <v>105.673</v>
          </cell>
          <cell r="J358">
            <v>68.730900000000005</v>
          </cell>
          <cell r="K358">
            <v>89.027699999999996</v>
          </cell>
        </row>
        <row r="359">
          <cell r="A359" t="str">
            <v>7010C</v>
          </cell>
          <cell r="B359" t="str">
            <v>Conalep Chiapas A</v>
          </cell>
          <cell r="C359" t="str">
            <v>Colegio Nacional de Educación Profesional Técnica (Conalep Chiapas)</v>
          </cell>
          <cell r="D359" t="str">
            <v>Tuxtal Gutierrez , Chiapas, Chiapas, Mexico</v>
          </cell>
          <cell r="E359">
            <v>58</v>
          </cell>
          <cell r="F359">
            <v>0</v>
          </cell>
          <cell r="G359">
            <v>84.464200000000005</v>
          </cell>
          <cell r="H359">
            <v>84.464200000000005</v>
          </cell>
          <cell r="I359">
            <v>69.351900000000001</v>
          </cell>
          <cell r="J359">
            <v>45.874200000000002</v>
          </cell>
          <cell r="K359">
            <v>56.573099999999997</v>
          </cell>
        </row>
        <row r="360">
          <cell r="A360" t="str">
            <v>7110A</v>
          </cell>
          <cell r="B360" t="str">
            <v>Fired Up!</v>
          </cell>
          <cell r="C360" t="str">
            <v>Carroll Senior High School</v>
          </cell>
          <cell r="D360" t="str">
            <v>Southlake, Texas, United States</v>
          </cell>
          <cell r="E360">
            <v>239</v>
          </cell>
          <cell r="F360">
            <v>266</v>
          </cell>
          <cell r="G360">
            <v>150.85900000000001</v>
          </cell>
          <cell r="H360">
            <v>139.15</v>
          </cell>
          <cell r="I360">
            <v>121.128</v>
          </cell>
          <cell r="J360">
            <v>150.85900000000001</v>
          </cell>
          <cell r="K360">
            <v>77.162400000000005</v>
          </cell>
        </row>
        <row r="361">
          <cell r="A361" t="str">
            <v>7110E</v>
          </cell>
          <cell r="B361" t="str">
            <v>Fired Up!</v>
          </cell>
          <cell r="C361" t="str">
            <v>Carroll Senior High School</v>
          </cell>
          <cell r="D361" t="str">
            <v>Southlake, Texas, United States</v>
          </cell>
          <cell r="E361">
            <v>0</v>
          </cell>
          <cell r="F361">
            <v>70</v>
          </cell>
          <cell r="G361">
            <v>74.135099999999994</v>
          </cell>
          <cell r="H361">
            <v>74.135099999999994</v>
          </cell>
          <cell r="I361">
            <v>27.159800000000001</v>
          </cell>
          <cell r="J361">
            <v>70.953299999999999</v>
          </cell>
          <cell r="K361">
            <v>13.7067</v>
          </cell>
          <cell r="L361">
            <v>3.4537800000000001</v>
          </cell>
        </row>
        <row r="362">
          <cell r="A362" t="str">
            <v>7121</v>
          </cell>
          <cell r="B362" t="str">
            <v>Maverick Robotics</v>
          </cell>
          <cell r="C362" t="str">
            <v>Archbishop Edward A. McCarthy High School</v>
          </cell>
          <cell r="D362" t="str">
            <v>Southwest Ranches, Florida, United States</v>
          </cell>
          <cell r="E362">
            <v>123</v>
          </cell>
          <cell r="F362">
            <v>97</v>
          </cell>
          <cell r="G362">
            <v>78.770899999999997</v>
          </cell>
          <cell r="H362">
            <v>42.030099999999997</v>
          </cell>
          <cell r="I362">
            <v>49.448799999999999</v>
          </cell>
          <cell r="J362">
            <v>78.770899999999997</v>
          </cell>
          <cell r="K362">
            <v>16.523499999999999</v>
          </cell>
          <cell r="L362">
            <v>35.896500000000003</v>
          </cell>
          <cell r="M362">
            <v>5.4888199999999996</v>
          </cell>
        </row>
        <row r="363">
          <cell r="A363" t="str">
            <v>7192</v>
          </cell>
          <cell r="B363" t="str">
            <v>Windom Eagles A Team</v>
          </cell>
          <cell r="C363" t="str">
            <v>Windom MS &amp; HS</v>
          </cell>
          <cell r="D363" t="str">
            <v>Windom, Minnesota, United States</v>
          </cell>
          <cell r="E363">
            <v>182</v>
          </cell>
          <cell r="F363">
            <v>105</v>
          </cell>
          <cell r="G363">
            <v>93.274799999999999</v>
          </cell>
          <cell r="H363">
            <v>93.274799999999999</v>
          </cell>
          <cell r="I363">
            <v>50.068300000000001</v>
          </cell>
          <cell r="J363">
            <v>43.6616</v>
          </cell>
          <cell r="K363">
            <v>60.573099999999997</v>
          </cell>
          <cell r="L363">
            <v>49.757399999999997</v>
          </cell>
          <cell r="M363">
            <v>4.8033700000000001</v>
          </cell>
          <cell r="N363">
            <v>44.098700000000001</v>
          </cell>
        </row>
        <row r="364">
          <cell r="A364" t="str">
            <v>7192B</v>
          </cell>
          <cell r="B364" t="str">
            <v>Windom Eagles B Team</v>
          </cell>
          <cell r="C364" t="str">
            <v>Windom MS &amp; HS</v>
          </cell>
          <cell r="D364" t="str">
            <v>Windom, Minnesota, United States</v>
          </cell>
          <cell r="E364">
            <v>215</v>
          </cell>
          <cell r="F364">
            <v>0</v>
          </cell>
          <cell r="G364">
            <v>85.253399999999999</v>
          </cell>
          <cell r="H364">
            <v>85.253399999999999</v>
          </cell>
          <cell r="I364">
            <v>68.738699999999994</v>
          </cell>
          <cell r="J364">
            <v>62.842700000000001</v>
          </cell>
          <cell r="K364">
            <v>47.9148</v>
          </cell>
          <cell r="L364">
            <v>29.606100000000001</v>
          </cell>
        </row>
        <row r="365">
          <cell r="A365" t="str">
            <v>7232</v>
          </cell>
          <cell r="B365" t="str">
            <v>Cyber Pirates</v>
          </cell>
          <cell r="C365" t="str">
            <v>Belton High School</v>
          </cell>
          <cell r="D365" t="str">
            <v>Belton, Missouri, United States</v>
          </cell>
          <cell r="E365">
            <v>317</v>
          </cell>
          <cell r="F365">
            <v>160</v>
          </cell>
          <cell r="G365">
            <v>114.46299999999999</v>
          </cell>
          <cell r="H365">
            <v>108.22</v>
          </cell>
          <cell r="I365">
            <v>114.46299999999999</v>
          </cell>
          <cell r="J365">
            <v>49.290799999999997</v>
          </cell>
          <cell r="K365">
            <v>90.782300000000006</v>
          </cell>
          <cell r="L365">
            <v>19.2805</v>
          </cell>
          <cell r="M365">
            <v>80.541899999999998</v>
          </cell>
          <cell r="N365">
            <v>83.546000000000006</v>
          </cell>
          <cell r="O365">
            <v>70.491900000000001</v>
          </cell>
          <cell r="P365">
            <v>82.013800000000003</v>
          </cell>
        </row>
        <row r="366">
          <cell r="A366" t="str">
            <v>7232J</v>
          </cell>
          <cell r="B366" t="str">
            <v>Cyber Pirates</v>
          </cell>
          <cell r="C366" t="str">
            <v>Belton High School</v>
          </cell>
          <cell r="D366" t="str">
            <v>Belton, Missouri, United States</v>
          </cell>
          <cell r="E366">
            <v>304</v>
          </cell>
          <cell r="F366">
            <v>231</v>
          </cell>
          <cell r="G366">
            <v>119.48399999999999</v>
          </cell>
          <cell r="H366">
            <v>119.48399999999999</v>
          </cell>
          <cell r="I366">
            <v>108.81100000000001</v>
          </cell>
          <cell r="J366">
            <v>96.7102</v>
          </cell>
          <cell r="K366">
            <v>111.992</v>
          </cell>
          <cell r="L366">
            <v>80.602800000000002</v>
          </cell>
          <cell r="M366">
            <v>42.9099</v>
          </cell>
          <cell r="N366">
            <v>43.7333</v>
          </cell>
          <cell r="O366">
            <v>39.051299999999998</v>
          </cell>
        </row>
        <row r="367">
          <cell r="A367" t="str">
            <v>7232Z</v>
          </cell>
          <cell r="B367" t="str">
            <v>Cyber Pirates</v>
          </cell>
          <cell r="C367" t="str">
            <v>Belton High School</v>
          </cell>
          <cell r="D367" t="str">
            <v>Belton, Missouri, United States</v>
          </cell>
          <cell r="E367">
            <v>341</v>
          </cell>
          <cell r="F367">
            <v>160</v>
          </cell>
          <cell r="G367">
            <v>142.72900000000001</v>
          </cell>
          <cell r="H367">
            <v>139.12899999999999</v>
          </cell>
          <cell r="I367">
            <v>142.72900000000001</v>
          </cell>
          <cell r="J367">
            <v>76.161500000000004</v>
          </cell>
          <cell r="K367">
            <v>117.514</v>
          </cell>
          <cell r="L367">
            <v>71.346500000000006</v>
          </cell>
          <cell r="M367">
            <v>52.382800000000003</v>
          </cell>
          <cell r="N367">
            <v>44.479700000000001</v>
          </cell>
          <cell r="O367">
            <v>68.893799999999999</v>
          </cell>
          <cell r="P367">
            <v>86.416899999999998</v>
          </cell>
        </row>
        <row r="368">
          <cell r="A368" t="str">
            <v>7238</v>
          </cell>
          <cell r="B368" t="str">
            <v>Xiamen FLSch A</v>
          </cell>
          <cell r="C368" t="str">
            <v>Xiamen Foreign Language School</v>
          </cell>
          <cell r="D368" t="str">
            <v>xiamen, Not Applicable or Not Listed, China</v>
          </cell>
          <cell r="E368">
            <v>0</v>
          </cell>
          <cell r="F368">
            <v>0</v>
          </cell>
          <cell r="G368">
            <v>58.991799999999998</v>
          </cell>
          <cell r="H368">
            <v>58.991799999999998</v>
          </cell>
        </row>
        <row r="369">
          <cell r="A369" t="str">
            <v>7262</v>
          </cell>
          <cell r="B369" t="str">
            <v>HSch AT RUC A</v>
          </cell>
          <cell r="C369" t="str">
            <v>High School Affiliated to RUC</v>
          </cell>
          <cell r="D369" t="str">
            <v>beijing, Not Applicable or Not Listed, China</v>
          </cell>
          <cell r="E369">
            <v>0</v>
          </cell>
          <cell r="F369">
            <v>0</v>
          </cell>
        </row>
        <row r="370">
          <cell r="A370" t="str">
            <v>7316E</v>
          </cell>
          <cell r="B370" t="str">
            <v>Firestone Engineering</v>
          </cell>
          <cell r="C370" t="str">
            <v>Firestone Engineering Club</v>
          </cell>
          <cell r="D370" t="str">
            <v>Akron, Ohio, United States</v>
          </cell>
          <cell r="E370">
            <v>112</v>
          </cell>
          <cell r="F370">
            <v>120</v>
          </cell>
          <cell r="G370">
            <v>84.390799999999999</v>
          </cell>
          <cell r="H370">
            <v>84.390799999999999</v>
          </cell>
          <cell r="I370">
            <v>83.138499999999993</v>
          </cell>
          <cell r="J370">
            <v>65.683300000000003</v>
          </cell>
          <cell r="K370">
            <v>0</v>
          </cell>
          <cell r="L370">
            <v>69.372299999999996</v>
          </cell>
          <cell r="M370">
            <v>69.229500000000002</v>
          </cell>
          <cell r="N370">
            <v>65.128699999999995</v>
          </cell>
          <cell r="O370">
            <v>74.706999999999994</v>
          </cell>
        </row>
        <row r="371">
          <cell r="A371" t="str">
            <v>7386A</v>
          </cell>
          <cell r="B371" t="str">
            <v>EMSch AT UESTC A</v>
          </cell>
          <cell r="C371" t="str">
            <v>The Experimental High School Attached To UESTC</v>
          </cell>
          <cell r="D371" t="str">
            <v>chengdu, Not Applicable or Not Listed, China</v>
          </cell>
          <cell r="E371">
            <v>267</v>
          </cell>
          <cell r="F371">
            <v>0</v>
          </cell>
          <cell r="G371">
            <v>100.145</v>
          </cell>
          <cell r="H371">
            <v>100.145</v>
          </cell>
        </row>
        <row r="372">
          <cell r="A372" t="str">
            <v>7439</v>
          </cell>
          <cell r="B372" t="str">
            <v>Berwick Academy</v>
          </cell>
          <cell r="C372" t="str">
            <v>Berwick Academy</v>
          </cell>
          <cell r="D372" t="str">
            <v>South Berwick, Maine, United States</v>
          </cell>
          <cell r="E372">
            <v>116</v>
          </cell>
          <cell r="F372">
            <v>120</v>
          </cell>
          <cell r="G372">
            <v>92.478800000000007</v>
          </cell>
          <cell r="H372">
            <v>92.478800000000007</v>
          </cell>
          <cell r="I372">
            <v>56.442500000000003</v>
          </cell>
          <cell r="J372">
            <v>51.281700000000001</v>
          </cell>
          <cell r="K372">
            <v>12.6731</v>
          </cell>
        </row>
        <row r="373">
          <cell r="A373" t="str">
            <v>7479</v>
          </cell>
          <cell r="B373" t="str">
            <v>Hillcrest</v>
          </cell>
          <cell r="C373" t="str">
            <v>Hillcrest Christian College</v>
          </cell>
          <cell r="D373" t="str">
            <v>Beaconsfield, N/A, Australia</v>
          </cell>
          <cell r="E373">
            <v>97</v>
          </cell>
          <cell r="F373">
            <v>0</v>
          </cell>
          <cell r="G373">
            <v>91.844099999999997</v>
          </cell>
          <cell r="H373">
            <v>91.844099999999997</v>
          </cell>
        </row>
        <row r="374">
          <cell r="A374" t="str">
            <v>7504X</v>
          </cell>
          <cell r="B374" t="str">
            <v>Equilibrium</v>
          </cell>
          <cell r="C374" t="str">
            <v>Austin Academy for Excellence</v>
          </cell>
          <cell r="D374" t="str">
            <v>Garland, Texas, United States</v>
          </cell>
          <cell r="E374">
            <v>222</v>
          </cell>
          <cell r="F374">
            <v>155</v>
          </cell>
          <cell r="G374">
            <v>168.34200000000001</v>
          </cell>
          <cell r="H374">
            <v>168.34200000000001</v>
          </cell>
          <cell r="I374">
            <v>127.622</v>
          </cell>
          <cell r="J374">
            <v>128.77099999999999</v>
          </cell>
          <cell r="K374">
            <v>114.059</v>
          </cell>
          <cell r="L374">
            <v>113.22799999999999</v>
          </cell>
          <cell r="M374">
            <v>93.570800000000006</v>
          </cell>
          <cell r="N374">
            <v>17.4818</v>
          </cell>
          <cell r="O374">
            <v>83.492099999999994</v>
          </cell>
          <cell r="P374">
            <v>84.513300000000001</v>
          </cell>
          <cell r="Q374">
            <v>73.336100000000002</v>
          </cell>
          <cell r="R374">
            <v>51.3611</v>
          </cell>
        </row>
        <row r="375">
          <cell r="A375" t="str">
            <v>7536B</v>
          </cell>
          <cell r="B375" t="str">
            <v>Counter Logic Mechanics</v>
          </cell>
          <cell r="C375" t="str">
            <v>Ridgeland High School</v>
          </cell>
          <cell r="D375" t="str">
            <v>Ridgeland, Mississippi, United States</v>
          </cell>
          <cell r="E375">
            <v>38</v>
          </cell>
          <cell r="F375">
            <v>0</v>
          </cell>
          <cell r="G375">
            <v>95.623000000000005</v>
          </cell>
          <cell r="H375">
            <v>68.244200000000006</v>
          </cell>
          <cell r="I375">
            <v>95.623000000000005</v>
          </cell>
          <cell r="J375">
            <v>56.292700000000004</v>
          </cell>
          <cell r="K375">
            <v>56.357999999999997</v>
          </cell>
          <cell r="L375">
            <v>9.9640599999999999</v>
          </cell>
        </row>
        <row r="376">
          <cell r="A376" t="str">
            <v>7581H</v>
          </cell>
          <cell r="B376" t="str">
            <v>Haslett VEX Raptors MSU</v>
          </cell>
          <cell r="C376" t="str">
            <v>Michigan State University College of Engineering</v>
          </cell>
          <cell r="D376" t="str">
            <v>East Lansing, Michigan, United States</v>
          </cell>
          <cell r="E376">
            <v>218</v>
          </cell>
          <cell r="F376">
            <v>116</v>
          </cell>
          <cell r="G376">
            <v>124.845</v>
          </cell>
          <cell r="H376">
            <v>124.845</v>
          </cell>
          <cell r="I376">
            <v>78.569599999999994</v>
          </cell>
          <cell r="J376">
            <v>53.203699999999998</v>
          </cell>
          <cell r="K376">
            <v>57.938699999999997</v>
          </cell>
          <cell r="L376">
            <v>72.085599999999999</v>
          </cell>
        </row>
        <row r="377">
          <cell r="A377" t="str">
            <v>7612</v>
          </cell>
          <cell r="B377" t="str">
            <v>Cherokee Co. Career Tech</v>
          </cell>
          <cell r="C377" t="str">
            <v>Cherokee County Career Technical Center</v>
          </cell>
          <cell r="D377" t="str">
            <v>centre, Alabama, United States</v>
          </cell>
          <cell r="E377">
            <v>201</v>
          </cell>
          <cell r="F377">
            <v>183</v>
          </cell>
          <cell r="G377">
            <v>78.817499999999995</v>
          </cell>
          <cell r="H377">
            <v>78.817499999999995</v>
          </cell>
          <cell r="I377">
            <v>33.689399999999999</v>
          </cell>
          <cell r="J377">
            <v>3.6130399999999998</v>
          </cell>
        </row>
        <row r="378">
          <cell r="A378" t="str">
            <v>7618A</v>
          </cell>
          <cell r="B378" t="str">
            <v>Xiangming HSch A</v>
          </cell>
          <cell r="C378" t="str">
            <v>Shanghai Xiangming High School</v>
          </cell>
          <cell r="D378" t="str">
            <v>Shanghai, Not Applicable or Not Listed, China</v>
          </cell>
          <cell r="E378">
            <v>0</v>
          </cell>
          <cell r="F378">
            <v>0</v>
          </cell>
          <cell r="G378">
            <v>109.654</v>
          </cell>
          <cell r="H378">
            <v>109.654</v>
          </cell>
        </row>
        <row r="379">
          <cell r="A379" t="str">
            <v>7627A</v>
          </cell>
          <cell r="B379" t="str">
            <v>Gaoxin A</v>
          </cell>
          <cell r="C379" t="str">
            <v>Chengdu NO.7 High School Gaoxin Branch</v>
          </cell>
          <cell r="D379" t="str">
            <v>chengdu, Not Applicable or Not Listed, China</v>
          </cell>
          <cell r="E379">
            <v>0</v>
          </cell>
          <cell r="F379">
            <v>0</v>
          </cell>
          <cell r="G379">
            <v>101.46599999999999</v>
          </cell>
          <cell r="H379">
            <v>101.46599999999999</v>
          </cell>
        </row>
        <row r="380">
          <cell r="A380" t="str">
            <v>7665C</v>
          </cell>
          <cell r="B380" t="str">
            <v>Raudales malpaso C</v>
          </cell>
          <cell r="C380" t="str">
            <v>CECYTECH PLANTEL 13 Raudales Malpaso</v>
          </cell>
          <cell r="D380" t="str">
            <v>Tecpatan, Chiapas, Chiapas, Mexico</v>
          </cell>
          <cell r="E380">
            <v>0</v>
          </cell>
          <cell r="F380">
            <v>7</v>
          </cell>
          <cell r="G380">
            <v>115.324</v>
          </cell>
          <cell r="H380">
            <v>115.324</v>
          </cell>
          <cell r="I380">
            <v>89.773899999999998</v>
          </cell>
          <cell r="J380">
            <v>71.675899999999999</v>
          </cell>
          <cell r="K380">
            <v>52.659500000000001</v>
          </cell>
        </row>
        <row r="381">
          <cell r="A381" t="str">
            <v>7682</v>
          </cell>
          <cell r="B381" t="str">
            <v>Wingus &amp; Dingus</v>
          </cell>
          <cell r="C381" t="str">
            <v>Wingus &amp; Dingus Robotics</v>
          </cell>
          <cell r="D381" t="str">
            <v>Auckland, N/A, New Zealand</v>
          </cell>
          <cell r="E381">
            <v>313</v>
          </cell>
          <cell r="F381">
            <v>294</v>
          </cell>
          <cell r="G381">
            <v>110.089</v>
          </cell>
          <cell r="H381">
            <v>92.918599999999998</v>
          </cell>
          <cell r="I381">
            <v>109.376</v>
          </cell>
          <cell r="J381">
            <v>110.089</v>
          </cell>
        </row>
        <row r="382">
          <cell r="A382" t="str">
            <v>7682E</v>
          </cell>
          <cell r="B382" t="str">
            <v>Wingus &amp; Dingus</v>
          </cell>
          <cell r="C382" t="str">
            <v>Wingus &amp; Dingus Robotics</v>
          </cell>
          <cell r="D382" t="str">
            <v>Auckland, N/A, New Zealand</v>
          </cell>
          <cell r="E382">
            <v>230</v>
          </cell>
          <cell r="F382">
            <v>285</v>
          </cell>
          <cell r="G382">
            <v>157.851</v>
          </cell>
          <cell r="H382">
            <v>157.851</v>
          </cell>
          <cell r="I382">
            <v>145.33600000000001</v>
          </cell>
          <cell r="J382">
            <v>108.307</v>
          </cell>
          <cell r="K382">
            <v>125.81</v>
          </cell>
        </row>
        <row r="383">
          <cell r="A383" t="str">
            <v>7700R</v>
          </cell>
          <cell r="B383" t="str">
            <v>Rolling Robots</v>
          </cell>
          <cell r="C383" t="str">
            <v>Rolling Robots</v>
          </cell>
          <cell r="D383" t="str">
            <v>Rolling Hills Estates, California, United States</v>
          </cell>
          <cell r="E383">
            <v>154</v>
          </cell>
          <cell r="F383">
            <v>209</v>
          </cell>
          <cell r="G383">
            <v>100.035</v>
          </cell>
          <cell r="H383">
            <v>100.035</v>
          </cell>
          <cell r="I383">
            <v>64.263599999999997</v>
          </cell>
          <cell r="J383">
            <v>89.839699999999993</v>
          </cell>
          <cell r="K383">
            <v>60.7712</v>
          </cell>
          <cell r="L383">
            <v>2.0360900000000002</v>
          </cell>
          <cell r="M383">
            <v>57.265000000000001</v>
          </cell>
          <cell r="N383">
            <v>47.5458</v>
          </cell>
          <cell r="O383">
            <v>21.274799999999999</v>
          </cell>
        </row>
        <row r="384">
          <cell r="A384" t="str">
            <v>7701Z</v>
          </cell>
          <cell r="B384" t="str">
            <v>The Stainless Steel Eagle</v>
          </cell>
          <cell r="C384" t="str">
            <v>Zionsville Community High School</v>
          </cell>
          <cell r="D384" t="str">
            <v>Zionsville, Indiana, United States</v>
          </cell>
          <cell r="E384">
            <v>306</v>
          </cell>
          <cell r="F384">
            <v>170</v>
          </cell>
          <cell r="G384">
            <v>117.81399999999999</v>
          </cell>
          <cell r="H384">
            <v>112.28100000000001</v>
          </cell>
          <cell r="I384">
            <v>61.669600000000003</v>
          </cell>
          <cell r="J384">
            <v>110.70099999999999</v>
          </cell>
          <cell r="K384">
            <v>117.81399999999999</v>
          </cell>
        </row>
        <row r="385">
          <cell r="A385" t="str">
            <v>7786C</v>
          </cell>
          <cell r="B385" t="str">
            <v>Xicheng FSCP&amp;BJUT</v>
          </cell>
          <cell r="C385" t="str">
            <v>Xicheng District of Beijing Financial Street Child</v>
          </cell>
          <cell r="D385" t="str">
            <v>beijing, Not Applicable or Not Listed, China</v>
          </cell>
          <cell r="E385">
            <v>0</v>
          </cell>
          <cell r="F385">
            <v>0</v>
          </cell>
          <cell r="G385">
            <v>96.761799999999994</v>
          </cell>
          <cell r="H385">
            <v>96.761799999999994</v>
          </cell>
        </row>
        <row r="386">
          <cell r="A386" t="str">
            <v>7797C</v>
          </cell>
          <cell r="B386" t="str">
            <v>SH Zhabei STYC C</v>
          </cell>
          <cell r="C386" t="str">
            <v>Shanghai Zhabei Science Technology Youth Center</v>
          </cell>
          <cell r="D386" t="str">
            <v>Shanghai, Not Applicable or Not Listed, China</v>
          </cell>
          <cell r="E386">
            <v>0</v>
          </cell>
          <cell r="F386">
            <v>0</v>
          </cell>
        </row>
        <row r="387">
          <cell r="A387" t="str">
            <v>7853</v>
          </cell>
          <cell r="B387" t="str">
            <v>Black Knights-Spectre</v>
          </cell>
          <cell r="C387" t="str">
            <v>Sierra Vista High School</v>
          </cell>
          <cell r="D387" t="str">
            <v>Las Vegas, Nevada, United States</v>
          </cell>
          <cell r="E387">
            <v>296</v>
          </cell>
          <cell r="F387">
            <v>155</v>
          </cell>
          <cell r="G387">
            <v>86.630600000000001</v>
          </cell>
          <cell r="H387">
            <v>50.817300000000003</v>
          </cell>
          <cell r="I387">
            <v>86.630600000000001</v>
          </cell>
          <cell r="J387">
            <v>81.441100000000006</v>
          </cell>
          <cell r="K387">
            <v>55.369100000000003</v>
          </cell>
        </row>
        <row r="388">
          <cell r="A388" t="str">
            <v>7853D</v>
          </cell>
          <cell r="B388" t="str">
            <v>Black Knights-NCC-1701</v>
          </cell>
          <cell r="C388" t="str">
            <v>Sierra Vista High School</v>
          </cell>
          <cell r="D388" t="str">
            <v>Las Vegas, Nevada, United States</v>
          </cell>
          <cell r="E388">
            <v>121</v>
          </cell>
          <cell r="F388">
            <v>140</v>
          </cell>
          <cell r="G388">
            <v>96.869100000000003</v>
          </cell>
          <cell r="H388">
            <v>96.869100000000003</v>
          </cell>
          <cell r="I388">
            <v>70.109899999999996</v>
          </cell>
          <cell r="J388">
            <v>67.726799999999997</v>
          </cell>
          <cell r="K388">
            <v>-5.1007699999999998</v>
          </cell>
        </row>
        <row r="389">
          <cell r="A389" t="str">
            <v>7856A</v>
          </cell>
          <cell r="B389" t="str">
            <v>SH Fuxing HS A</v>
          </cell>
          <cell r="C389" t="str">
            <v>Shanghai Fuxing High School</v>
          </cell>
          <cell r="D389" t="str">
            <v>Shanghai, Not Applicable or Not Listed, China</v>
          </cell>
          <cell r="E389">
            <v>67</v>
          </cell>
          <cell r="F389">
            <v>0</v>
          </cell>
          <cell r="G389">
            <v>128.821</v>
          </cell>
          <cell r="H389">
            <v>128.821</v>
          </cell>
        </row>
        <row r="390">
          <cell r="A390" t="str">
            <v>7862F</v>
          </cell>
          <cell r="B390" t="str">
            <v>Backwards Shirts</v>
          </cell>
          <cell r="C390" t="str">
            <v>Hesston High School</v>
          </cell>
          <cell r="D390" t="str">
            <v>Hesston, Kansas, United States</v>
          </cell>
          <cell r="E390">
            <v>57</v>
          </cell>
          <cell r="F390">
            <v>0</v>
          </cell>
          <cell r="G390">
            <v>121.015</v>
          </cell>
          <cell r="H390">
            <v>121.015</v>
          </cell>
          <cell r="I390">
            <v>76.354900000000001</v>
          </cell>
          <cell r="J390">
            <v>0</v>
          </cell>
          <cell r="K390">
            <v>46.033900000000003</v>
          </cell>
          <cell r="L390">
            <v>83.232200000000006</v>
          </cell>
        </row>
        <row r="391">
          <cell r="A391" t="str">
            <v>7870B</v>
          </cell>
          <cell r="B391" t="str">
            <v>Rockn' Robots</v>
          </cell>
          <cell r="C391" t="str">
            <v>Coronado High School</v>
          </cell>
          <cell r="D391" t="str">
            <v>Henderson, Nevada, United States</v>
          </cell>
          <cell r="E391">
            <v>81</v>
          </cell>
          <cell r="F391">
            <v>0</v>
          </cell>
          <cell r="G391">
            <v>80.517499999999998</v>
          </cell>
          <cell r="H391">
            <v>80.517499999999998</v>
          </cell>
          <cell r="I391">
            <v>5.0417399999999999</v>
          </cell>
          <cell r="J391">
            <v>-6.1968500000000004</v>
          </cell>
        </row>
        <row r="392">
          <cell r="A392" t="str">
            <v>7882B</v>
          </cell>
          <cell r="B392" t="str">
            <v>MCCTC #2</v>
          </cell>
          <cell r="C392" t="str">
            <v>Mahoning County Career and Technical Center</v>
          </cell>
          <cell r="D392" t="str">
            <v>Canfield, Ohio, United States</v>
          </cell>
          <cell r="E392">
            <v>100</v>
          </cell>
          <cell r="F392">
            <v>0</v>
          </cell>
          <cell r="G392">
            <v>83.104500000000002</v>
          </cell>
          <cell r="H392">
            <v>83.104500000000002</v>
          </cell>
          <cell r="I392">
            <v>79.819699999999997</v>
          </cell>
          <cell r="J392">
            <v>68.011799999999994</v>
          </cell>
          <cell r="K392">
            <v>61.6873</v>
          </cell>
          <cell r="L392">
            <v>25.730599999999999</v>
          </cell>
          <cell r="M392">
            <v>1.53363</v>
          </cell>
        </row>
        <row r="393">
          <cell r="A393" t="str">
            <v>7884A</v>
          </cell>
          <cell r="B393" t="str">
            <v>HF NO.1 HS A</v>
          </cell>
          <cell r="C393" t="str">
            <v>Hefei NO.1 High School</v>
          </cell>
          <cell r="D393" t="str">
            <v>hefei, Not Applicable or Not Listed, China</v>
          </cell>
          <cell r="E393">
            <v>0</v>
          </cell>
          <cell r="F393">
            <v>0</v>
          </cell>
        </row>
        <row r="394">
          <cell r="A394" t="str">
            <v>7925A</v>
          </cell>
          <cell r="B394" t="str">
            <v>Hangzhou NO.2 A</v>
          </cell>
          <cell r="C394" t="str">
            <v>Hangzhou No.2 High School</v>
          </cell>
          <cell r="D394" t="str">
            <v>hanzhou, Not Applicable or Not Listed, China</v>
          </cell>
          <cell r="E394">
            <v>203</v>
          </cell>
          <cell r="F394">
            <v>0</v>
          </cell>
          <cell r="G394">
            <v>87.843299999999999</v>
          </cell>
          <cell r="H394">
            <v>87.843299999999999</v>
          </cell>
        </row>
        <row r="395">
          <cell r="A395" t="str">
            <v>7972B</v>
          </cell>
          <cell r="B395" t="str">
            <v>Gaoxin NO.1 High Sch B</v>
          </cell>
          <cell r="C395" t="str">
            <v>Xi'an Gaoxin NO.1 High School</v>
          </cell>
          <cell r="D395" t="str">
            <v>xi'an, Not Applicable or Not Listed, China</v>
          </cell>
          <cell r="E395">
            <v>398</v>
          </cell>
          <cell r="F395">
            <v>305</v>
          </cell>
          <cell r="G395">
            <v>50.019599999999997</v>
          </cell>
          <cell r="H395">
            <v>50.019599999999997</v>
          </cell>
        </row>
        <row r="396">
          <cell r="A396" t="str">
            <v>7972C</v>
          </cell>
          <cell r="B396" t="str">
            <v>Gaoxin NO.1 HSch C</v>
          </cell>
          <cell r="C396" t="str">
            <v>Xi'an Gaoxin NO.1 High School</v>
          </cell>
          <cell r="D396" t="str">
            <v>xi'an, Not Applicable or Not Listed, China</v>
          </cell>
          <cell r="E396">
            <v>0</v>
          </cell>
          <cell r="F396">
            <v>0</v>
          </cell>
          <cell r="G396">
            <v>131.84</v>
          </cell>
          <cell r="H396">
            <v>131.84</v>
          </cell>
        </row>
        <row r="397">
          <cell r="A397" t="str">
            <v>7972D</v>
          </cell>
          <cell r="B397" t="str">
            <v>Gaoxin NO.1 HSch D</v>
          </cell>
          <cell r="C397" t="str">
            <v>Xi'an Gaoxin NO.1 High School</v>
          </cell>
          <cell r="D397" t="str">
            <v>xi'an, Not Applicable or Not Listed, China</v>
          </cell>
          <cell r="E397">
            <v>300</v>
          </cell>
          <cell r="F397">
            <v>335</v>
          </cell>
          <cell r="G397">
            <v>59.1907</v>
          </cell>
          <cell r="H397">
            <v>59.1907</v>
          </cell>
        </row>
        <row r="398">
          <cell r="A398" t="str">
            <v>7983G</v>
          </cell>
          <cell r="B398" t="str">
            <v>Centennial CyberHawks</v>
          </cell>
          <cell r="C398" t="str">
            <v>Centennial High School</v>
          </cell>
          <cell r="D398" t="str">
            <v>Bakersfield, California, United States</v>
          </cell>
          <cell r="E398">
            <v>331</v>
          </cell>
          <cell r="F398">
            <v>297</v>
          </cell>
          <cell r="G398">
            <v>154.762</v>
          </cell>
          <cell r="H398">
            <v>114.123</v>
          </cell>
          <cell r="I398">
            <v>104.84699999999999</v>
          </cell>
          <cell r="J398">
            <v>154.762</v>
          </cell>
          <cell r="K398">
            <v>144.589</v>
          </cell>
          <cell r="L398">
            <v>78.489199999999997</v>
          </cell>
          <cell r="M398">
            <v>0</v>
          </cell>
        </row>
        <row r="399">
          <cell r="A399" t="str">
            <v>8000A</v>
          </cell>
          <cell r="B399" t="str">
            <v>HRS Robohawks</v>
          </cell>
          <cell r="C399" t="str">
            <v>Head-Royce School</v>
          </cell>
          <cell r="D399" t="str">
            <v>Oakland, California, United States</v>
          </cell>
          <cell r="E399">
            <v>380</v>
          </cell>
          <cell r="F399">
            <v>0</v>
          </cell>
          <cell r="G399">
            <v>124.241</v>
          </cell>
          <cell r="H399">
            <v>102.992</v>
          </cell>
          <cell r="I399">
            <v>124.241</v>
          </cell>
          <cell r="J399">
            <v>107.396</v>
          </cell>
          <cell r="K399">
            <v>84.531800000000004</v>
          </cell>
          <cell r="L399">
            <v>44.6937</v>
          </cell>
          <cell r="M399">
            <v>37.076799999999999</v>
          </cell>
          <cell r="N399">
            <v>69.261200000000002</v>
          </cell>
        </row>
        <row r="400">
          <cell r="A400" t="str">
            <v>8000B</v>
          </cell>
          <cell r="B400" t="str">
            <v>HRS Robohawks</v>
          </cell>
          <cell r="C400" t="str">
            <v>Head-Royce School</v>
          </cell>
          <cell r="D400" t="str">
            <v>Oakland, California, United States</v>
          </cell>
          <cell r="E400">
            <v>0</v>
          </cell>
          <cell r="F400">
            <v>0</v>
          </cell>
          <cell r="G400">
            <v>147.84700000000001</v>
          </cell>
          <cell r="H400">
            <v>147.84700000000001</v>
          </cell>
          <cell r="I400">
            <v>90.450400000000002</v>
          </cell>
          <cell r="J400">
            <v>81.610100000000003</v>
          </cell>
          <cell r="K400">
            <v>59.305900000000001</v>
          </cell>
          <cell r="L400">
            <v>89.639300000000006</v>
          </cell>
          <cell r="M400">
            <v>109.363</v>
          </cell>
          <cell r="N400">
            <v>73.1541</v>
          </cell>
          <cell r="O400">
            <v>70.906700000000001</v>
          </cell>
        </row>
        <row r="401">
          <cell r="A401" t="str">
            <v>8000D</v>
          </cell>
          <cell r="B401" t="str">
            <v>HRS Robohawks</v>
          </cell>
          <cell r="C401" t="str">
            <v>Head-Royce School</v>
          </cell>
          <cell r="D401" t="str">
            <v>Oakland, California, United States</v>
          </cell>
          <cell r="E401">
            <v>140</v>
          </cell>
          <cell r="F401">
            <v>140</v>
          </cell>
          <cell r="G401">
            <v>113.867</v>
          </cell>
          <cell r="H401">
            <v>91.684899999999999</v>
          </cell>
          <cell r="I401">
            <v>113.867</v>
          </cell>
          <cell r="J401">
            <v>52.571599999999997</v>
          </cell>
          <cell r="K401">
            <v>80.444999999999993</v>
          </cell>
          <cell r="L401">
            <v>102.31100000000001</v>
          </cell>
          <cell r="M401">
            <v>45.436799999999998</v>
          </cell>
          <cell r="N401">
            <v>61.555999999999997</v>
          </cell>
          <cell r="O401">
            <v>85.3</v>
          </cell>
        </row>
        <row r="402">
          <cell r="A402" t="str">
            <v>8000G</v>
          </cell>
          <cell r="B402" t="str">
            <v>HRS Robohawks</v>
          </cell>
          <cell r="C402" t="str">
            <v>Head-Royce School</v>
          </cell>
          <cell r="D402" t="str">
            <v>Oakland, California, United States</v>
          </cell>
          <cell r="E402">
            <v>175</v>
          </cell>
          <cell r="F402">
            <v>0</v>
          </cell>
          <cell r="G402">
            <v>120.736</v>
          </cell>
          <cell r="H402">
            <v>78.539599999999993</v>
          </cell>
          <cell r="I402">
            <v>120.736</v>
          </cell>
        </row>
        <row r="403">
          <cell r="A403" t="str">
            <v>8044</v>
          </cell>
          <cell r="B403" t="str">
            <v>Gear Geeks</v>
          </cell>
          <cell r="C403" t="str">
            <v>Mountain Farm Robotics</v>
          </cell>
          <cell r="D403" t="str">
            <v>Broad Run, Virginia, United States</v>
          </cell>
          <cell r="E403">
            <v>256</v>
          </cell>
          <cell r="F403">
            <v>227</v>
          </cell>
          <cell r="G403">
            <v>126.711</v>
          </cell>
          <cell r="H403">
            <v>82.661299999999997</v>
          </cell>
          <cell r="I403">
            <v>83.185400000000001</v>
          </cell>
          <cell r="J403">
            <v>118.23699999999999</v>
          </cell>
          <cell r="K403">
            <v>71.727400000000003</v>
          </cell>
          <cell r="L403">
            <v>126.711</v>
          </cell>
          <cell r="M403">
            <v>13.5869</v>
          </cell>
        </row>
        <row r="404">
          <cell r="A404" t="str">
            <v>8059A</v>
          </cell>
          <cell r="B404" t="str">
            <v>Blank.</v>
          </cell>
          <cell r="C404" t="str">
            <v>Anglo-Chinese School (Independent)</v>
          </cell>
          <cell r="D404" t="str">
            <v>Singapore, Not Applicable or Not Listed, Singapore</v>
          </cell>
          <cell r="E404">
            <v>301</v>
          </cell>
          <cell r="F404">
            <v>330</v>
          </cell>
          <cell r="G404">
            <v>87.022999999999996</v>
          </cell>
          <cell r="H404">
            <v>87.022999999999996</v>
          </cell>
        </row>
        <row r="405">
          <cell r="A405" t="str">
            <v>8059B</v>
          </cell>
          <cell r="B405" t="str">
            <v>Blank.</v>
          </cell>
          <cell r="C405" t="str">
            <v>Anglo-Chinese School (Independent)</v>
          </cell>
          <cell r="D405" t="str">
            <v>Singapore, Not Applicable or Not Listed, Singapore</v>
          </cell>
          <cell r="E405">
            <v>117</v>
          </cell>
          <cell r="F405">
            <v>0</v>
          </cell>
          <cell r="G405">
            <v>64.527299999999997</v>
          </cell>
          <cell r="H405">
            <v>64.527299999999997</v>
          </cell>
        </row>
        <row r="406">
          <cell r="A406" t="str">
            <v>8059D</v>
          </cell>
          <cell r="B406" t="str">
            <v>Blank.</v>
          </cell>
          <cell r="C406" t="str">
            <v>Anglo-Chinese School (Independent)</v>
          </cell>
          <cell r="D406" t="str">
            <v>Singapore, Not Applicable or Not Listed, Singapore</v>
          </cell>
          <cell r="E406">
            <v>0</v>
          </cell>
          <cell r="F406">
            <v>330</v>
          </cell>
          <cell r="G406">
            <v>29.282299999999999</v>
          </cell>
          <cell r="H406">
            <v>29.282299999999999</v>
          </cell>
        </row>
        <row r="407">
          <cell r="A407" t="str">
            <v>8086A</v>
          </cell>
          <cell r="B407" t="str">
            <v>Semiconductors</v>
          </cell>
          <cell r="C407" t="str">
            <v>Team Semiconductors</v>
          </cell>
          <cell r="D407" t="str">
            <v>Glen Allen, Virginia, United States</v>
          </cell>
          <cell r="E407">
            <v>223</v>
          </cell>
          <cell r="F407">
            <v>230</v>
          </cell>
          <cell r="G407">
            <v>119.036</v>
          </cell>
          <cell r="H407">
            <v>94.817999999999998</v>
          </cell>
          <cell r="I407">
            <v>119.036</v>
          </cell>
          <cell r="J407">
            <v>37.289400000000001</v>
          </cell>
          <cell r="K407">
            <v>57.082000000000001</v>
          </cell>
          <cell r="L407">
            <v>60.566899999999997</v>
          </cell>
        </row>
        <row r="408">
          <cell r="A408" t="str">
            <v>8110B</v>
          </cell>
          <cell r="B408" t="str">
            <v>Team KaBuum</v>
          </cell>
          <cell r="C408" t="str">
            <v>Mankato West High School</v>
          </cell>
          <cell r="D408" t="str">
            <v>Mankato, Minnesota, United States</v>
          </cell>
          <cell r="E408">
            <v>105</v>
          </cell>
          <cell r="F408">
            <v>156</v>
          </cell>
          <cell r="G408">
            <v>74.887799999999999</v>
          </cell>
          <cell r="H408">
            <v>59.094000000000001</v>
          </cell>
          <cell r="I408">
            <v>74.887799999999999</v>
          </cell>
          <cell r="J408">
            <v>73.078599999999994</v>
          </cell>
          <cell r="K408">
            <v>67.443299999999994</v>
          </cell>
        </row>
        <row r="409">
          <cell r="A409" t="str">
            <v>8123</v>
          </cell>
          <cell r="B409" t="str">
            <v>Irvington Robotics</v>
          </cell>
          <cell r="C409" t="str">
            <v>Irvington Preparatory Academy</v>
          </cell>
          <cell r="D409" t="str">
            <v>Indianapolis, Indiana, United States</v>
          </cell>
          <cell r="E409">
            <v>272</v>
          </cell>
          <cell r="F409">
            <v>199</v>
          </cell>
          <cell r="G409">
            <v>126.827</v>
          </cell>
          <cell r="H409">
            <v>126.827</v>
          </cell>
          <cell r="I409">
            <v>73.429900000000004</v>
          </cell>
          <cell r="J409">
            <v>82.083399999999997</v>
          </cell>
          <cell r="K409">
            <v>116.584</v>
          </cell>
          <cell r="L409">
            <v>100.883</v>
          </cell>
          <cell r="M409">
            <v>62.842599999999997</v>
          </cell>
          <cell r="N409">
            <v>31.335000000000001</v>
          </cell>
        </row>
        <row r="410">
          <cell r="A410" t="str">
            <v>8171</v>
          </cell>
          <cell r="B410" t="str">
            <v>Team R.O.U.S.E</v>
          </cell>
          <cell r="C410" t="str">
            <v>Independent</v>
          </cell>
          <cell r="D410" t="str">
            <v>Colchester, Essex, United Kingdom</v>
          </cell>
          <cell r="E410">
            <v>123</v>
          </cell>
          <cell r="F410">
            <v>0</v>
          </cell>
          <cell r="G410">
            <v>74.6066</v>
          </cell>
          <cell r="H410">
            <v>45.706600000000002</v>
          </cell>
          <cell r="I410">
            <v>74.6066</v>
          </cell>
          <cell r="J410">
            <v>21.361699999999999</v>
          </cell>
          <cell r="K410">
            <v>3.0934599999999999</v>
          </cell>
        </row>
        <row r="411">
          <cell r="A411" t="str">
            <v>8176A</v>
          </cell>
          <cell r="B411" t="str">
            <v>NJ Jinling HS A</v>
          </cell>
          <cell r="C411" t="str">
            <v>Nanjing Jinling High School</v>
          </cell>
          <cell r="D411" t="str">
            <v>Nanjing, Not Applicable or Not Listed, China</v>
          </cell>
          <cell r="E411">
            <v>0</v>
          </cell>
          <cell r="F411">
            <v>0</v>
          </cell>
        </row>
        <row r="412">
          <cell r="A412" t="str">
            <v>8227</v>
          </cell>
          <cell r="B412" t="str">
            <v>Pingtan NO.1 High Sch A</v>
          </cell>
          <cell r="C412" t="str">
            <v>Fujian Pingtan NO.1 High School</v>
          </cell>
          <cell r="D412" t="str">
            <v>Fujian, Not Applicable or Not Listed, China</v>
          </cell>
          <cell r="E412">
            <v>0</v>
          </cell>
          <cell r="F412">
            <v>0</v>
          </cell>
        </row>
        <row r="413">
          <cell r="A413" t="str">
            <v>8229</v>
          </cell>
          <cell r="B413" t="str">
            <v>NO.1 HS AT ECNU A</v>
          </cell>
          <cell r="C413" t="str">
            <v>NO.1 High School Affiliated to East China Normal U</v>
          </cell>
          <cell r="D413" t="str">
            <v>Shanghai, Not Applicable or Not Listed, China</v>
          </cell>
          <cell r="E413">
            <v>0</v>
          </cell>
          <cell r="F413">
            <v>0</v>
          </cell>
          <cell r="G413">
            <v>128.98599999999999</v>
          </cell>
          <cell r="H413">
            <v>128.98599999999999</v>
          </cell>
        </row>
        <row r="414">
          <cell r="A414" t="str">
            <v>8353A</v>
          </cell>
          <cell r="B414" t="str">
            <v>CECyTEH Santiago 1</v>
          </cell>
          <cell r="C414" t="str">
            <v>CECyTEH Plantel Santiago de Anaya</v>
          </cell>
          <cell r="D414" t="str">
            <v>Santiago de Anaya, Hidalgo, Mexico</v>
          </cell>
          <cell r="E414">
            <v>0</v>
          </cell>
          <cell r="F414">
            <v>0</v>
          </cell>
          <cell r="G414">
            <v>76.379300000000001</v>
          </cell>
          <cell r="H414">
            <v>76.379300000000001</v>
          </cell>
          <cell r="I414">
            <v>64.084000000000003</v>
          </cell>
          <cell r="J414">
            <v>72.259699999999995</v>
          </cell>
          <cell r="K414">
            <v>73.882800000000003</v>
          </cell>
          <cell r="L414">
            <v>17.8582</v>
          </cell>
        </row>
        <row r="415">
          <cell r="A415" t="str">
            <v>8370B</v>
          </cell>
          <cell r="B415" t="str">
            <v>Green Machine</v>
          </cell>
          <cell r="C415" t="str">
            <v>Notre Dame High School</v>
          </cell>
          <cell r="D415" t="str">
            <v>West Haven, Connecticut, United States</v>
          </cell>
          <cell r="E415">
            <v>225</v>
          </cell>
          <cell r="F415">
            <v>16</v>
          </cell>
          <cell r="G415">
            <v>125.983</v>
          </cell>
          <cell r="H415">
            <v>125.983</v>
          </cell>
          <cell r="I415">
            <v>110.928</v>
          </cell>
          <cell r="J415">
            <v>87.5471</v>
          </cell>
          <cell r="K415">
            <v>113.033</v>
          </cell>
          <cell r="L415">
            <v>84.570899999999995</v>
          </cell>
        </row>
        <row r="416">
          <cell r="A416" t="str">
            <v>8430</v>
          </cell>
          <cell r="B416" t="str">
            <v>DandyHighRobot</v>
          </cell>
          <cell r="C416" t="str">
            <v>Dandenong High School</v>
          </cell>
          <cell r="D416" t="str">
            <v>Dandenong, N/A, Australia</v>
          </cell>
          <cell r="E416">
            <v>0</v>
          </cell>
          <cell r="F416">
            <v>0</v>
          </cell>
          <cell r="G416">
            <v>56.165799999999997</v>
          </cell>
          <cell r="H416">
            <v>56.165799999999997</v>
          </cell>
        </row>
        <row r="417">
          <cell r="A417" t="str">
            <v>8468B</v>
          </cell>
          <cell r="B417" t="str">
            <v>Urumqi NO.8 MS B</v>
          </cell>
          <cell r="C417" t="str">
            <v>Urumqi NO.8 Middle School</v>
          </cell>
          <cell r="D417" t="str">
            <v>Urumqi, Not Applicable or Not Listed, China</v>
          </cell>
          <cell r="E417">
            <v>0</v>
          </cell>
          <cell r="F417">
            <v>0</v>
          </cell>
          <cell r="G417">
            <v>57.392600000000002</v>
          </cell>
          <cell r="H417">
            <v>57.392600000000002</v>
          </cell>
        </row>
        <row r="418">
          <cell r="A418" t="str">
            <v>8505X</v>
          </cell>
          <cell r="B418" t="str">
            <v>SPX Gold</v>
          </cell>
          <cell r="C418" t="str">
            <v>St. Pius X High School</v>
          </cell>
          <cell r="D418" t="str">
            <v>Albuquerque, New Mexico, United States</v>
          </cell>
          <cell r="E418">
            <v>33</v>
          </cell>
          <cell r="F418">
            <v>0</v>
          </cell>
          <cell r="G418">
            <v>34.165500000000002</v>
          </cell>
          <cell r="H418">
            <v>34.165500000000002</v>
          </cell>
          <cell r="I418">
            <v>15.296099999999999</v>
          </cell>
        </row>
        <row r="419">
          <cell r="A419" t="str">
            <v>8568A</v>
          </cell>
          <cell r="B419" t="str">
            <v>Knights</v>
          </cell>
          <cell r="C419" t="str">
            <v>North Andover High School</v>
          </cell>
          <cell r="D419" t="str">
            <v>North Andover, Massachusetts, United States</v>
          </cell>
          <cell r="E419">
            <v>340</v>
          </cell>
          <cell r="F419">
            <v>298</v>
          </cell>
          <cell r="G419">
            <v>55.2575</v>
          </cell>
          <cell r="H419">
            <v>42.392299999999999</v>
          </cell>
          <cell r="I419">
            <v>55.2575</v>
          </cell>
          <cell r="J419">
            <v>30.300699999999999</v>
          </cell>
          <cell r="K419">
            <v>33.899900000000002</v>
          </cell>
        </row>
        <row r="420">
          <cell r="A420" t="str">
            <v>8568B</v>
          </cell>
          <cell r="B420" t="str">
            <v>Knights</v>
          </cell>
          <cell r="C420" t="str">
            <v>North Andover High School</v>
          </cell>
          <cell r="D420" t="str">
            <v>North Andover, Massachusetts, United States</v>
          </cell>
          <cell r="E420">
            <v>89</v>
          </cell>
          <cell r="F420">
            <v>0</v>
          </cell>
          <cell r="G420">
            <v>114.63800000000001</v>
          </cell>
          <cell r="H420">
            <v>114.63800000000001</v>
          </cell>
          <cell r="I420">
            <v>25.562200000000001</v>
          </cell>
          <cell r="J420">
            <v>96.448400000000007</v>
          </cell>
        </row>
        <row r="421">
          <cell r="A421" t="str">
            <v>8585D</v>
          </cell>
          <cell r="B421" t="str">
            <v>Stilwell Indians</v>
          </cell>
          <cell r="C421" t="str">
            <v>Stilwell Public Schools</v>
          </cell>
          <cell r="D421" t="str">
            <v>Stilwell, Oklahoma, United States</v>
          </cell>
          <cell r="E421">
            <v>105</v>
          </cell>
          <cell r="F421">
            <v>0</v>
          </cell>
          <cell r="G421">
            <v>140.541</v>
          </cell>
          <cell r="H421">
            <v>113.748</v>
          </cell>
          <cell r="I421">
            <v>115.843</v>
          </cell>
          <cell r="J421">
            <v>140.541</v>
          </cell>
          <cell r="K421">
            <v>36.738100000000003</v>
          </cell>
        </row>
        <row r="422">
          <cell r="A422" t="str">
            <v>8615</v>
          </cell>
          <cell r="B422" t="str">
            <v>The Vexecutors</v>
          </cell>
          <cell r="C422" t="str">
            <v>New Hope</v>
          </cell>
          <cell r="D422" t="str">
            <v>Columbus, Mississippi, United States</v>
          </cell>
          <cell r="E422">
            <v>90</v>
          </cell>
          <cell r="F422">
            <v>0</v>
          </cell>
          <cell r="G422">
            <v>110.789</v>
          </cell>
          <cell r="H422">
            <v>110.789</v>
          </cell>
          <cell r="I422">
            <v>-19.095300000000002</v>
          </cell>
          <cell r="J422">
            <v>71.371899999999997</v>
          </cell>
          <cell r="K422">
            <v>43.491799999999998</v>
          </cell>
          <cell r="L422">
            <v>80.772999999999996</v>
          </cell>
          <cell r="M422">
            <v>66.251400000000004</v>
          </cell>
        </row>
        <row r="423">
          <cell r="A423" t="str">
            <v>8615C</v>
          </cell>
          <cell r="B423" t="str">
            <v>The Vexecutors</v>
          </cell>
          <cell r="C423" t="str">
            <v>New Hope High School</v>
          </cell>
          <cell r="D423" t="str">
            <v>Columbus, Mississippi, United States</v>
          </cell>
          <cell r="E423">
            <v>63</v>
          </cell>
          <cell r="F423">
            <v>0</v>
          </cell>
          <cell r="G423">
            <v>70.462599999999995</v>
          </cell>
          <cell r="H423">
            <v>49.458300000000001</v>
          </cell>
          <cell r="I423">
            <v>70.462599999999995</v>
          </cell>
          <cell r="J423">
            <v>38.732700000000001</v>
          </cell>
          <cell r="K423">
            <v>41.4636</v>
          </cell>
          <cell r="L423">
            <v>7.6658799999999996</v>
          </cell>
          <cell r="M423">
            <v>22.927600000000002</v>
          </cell>
        </row>
        <row r="424">
          <cell r="A424" t="str">
            <v>8615F</v>
          </cell>
          <cell r="B424" t="str">
            <v>The Vexecutors</v>
          </cell>
          <cell r="C424" t="str">
            <v>New Hope High School</v>
          </cell>
          <cell r="D424" t="str">
            <v>Columbus, Mississippi, United States</v>
          </cell>
          <cell r="E424">
            <v>86</v>
          </cell>
          <cell r="F424">
            <v>28</v>
          </cell>
          <cell r="G424">
            <v>99.660799999999995</v>
          </cell>
          <cell r="H424">
            <v>99.660799999999995</v>
          </cell>
          <cell r="I424">
            <v>46.040199999999999</v>
          </cell>
          <cell r="J424">
            <v>73.659199999999998</v>
          </cell>
          <cell r="K424">
            <v>31.5259</v>
          </cell>
          <cell r="L424">
            <v>39.412999999999997</v>
          </cell>
          <cell r="M424">
            <v>36.4666</v>
          </cell>
        </row>
        <row r="425">
          <cell r="A425" t="str">
            <v>8655V</v>
          </cell>
          <cell r="B425" t="str">
            <v>The Q Is Silqent</v>
          </cell>
          <cell r="C425" t="str">
            <v>Eagan Vex Robotiqs</v>
          </cell>
          <cell r="D425" t="str">
            <v>Eagan, Minnesota, United States</v>
          </cell>
          <cell r="E425">
            <v>58</v>
          </cell>
          <cell r="F425">
            <v>0</v>
          </cell>
          <cell r="G425">
            <v>91.485100000000003</v>
          </cell>
          <cell r="H425">
            <v>89.831599999999995</v>
          </cell>
          <cell r="I425">
            <v>91.485100000000003</v>
          </cell>
          <cell r="J425">
            <v>89.027299999999997</v>
          </cell>
        </row>
        <row r="426">
          <cell r="A426" t="str">
            <v>8659G</v>
          </cell>
          <cell r="B426" t="str">
            <v>Binary Botz</v>
          </cell>
          <cell r="C426" t="str">
            <v>Goose Creek High</v>
          </cell>
          <cell r="D426" t="str">
            <v>GOOSE CREEK, South Carolina, United States</v>
          </cell>
          <cell r="E426">
            <v>206</v>
          </cell>
          <cell r="F426">
            <v>130</v>
          </cell>
          <cell r="G426">
            <v>108.432</v>
          </cell>
          <cell r="H426">
            <v>108.432</v>
          </cell>
          <cell r="I426">
            <v>98.566999999999993</v>
          </cell>
          <cell r="J426">
            <v>44.384500000000003</v>
          </cell>
        </row>
        <row r="427">
          <cell r="A427" t="str">
            <v>8675</v>
          </cell>
          <cell r="B427" t="str">
            <v>Fuzzy Wuzzy 2.0</v>
          </cell>
          <cell r="C427" t="str">
            <v>National Robotics Academy, Inc.</v>
          </cell>
          <cell r="D427" t="str">
            <v>Waterloo, Nebraska, United States</v>
          </cell>
          <cell r="E427">
            <v>106</v>
          </cell>
          <cell r="F427">
            <v>303</v>
          </cell>
          <cell r="G427">
            <v>55.563200000000002</v>
          </cell>
          <cell r="H427">
            <v>26.0364</v>
          </cell>
          <cell r="I427">
            <v>32.0184</v>
          </cell>
          <cell r="J427">
            <v>34.992100000000001</v>
          </cell>
          <cell r="K427">
            <v>55.563200000000002</v>
          </cell>
        </row>
        <row r="428">
          <cell r="A428" t="str">
            <v>8691C</v>
          </cell>
          <cell r="B428" t="str">
            <v>hefei NO.8 SMSch C</v>
          </cell>
          <cell r="C428" t="str">
            <v>Hefei No.8 Senior Middle School</v>
          </cell>
          <cell r="D428" t="str">
            <v>hefei, Not Applicable or Not Listed, China</v>
          </cell>
          <cell r="E428">
            <v>244</v>
          </cell>
          <cell r="F428">
            <v>0</v>
          </cell>
          <cell r="G428">
            <v>122.401</v>
          </cell>
          <cell r="H428">
            <v>122.401</v>
          </cell>
        </row>
        <row r="429">
          <cell r="A429" t="str">
            <v>8691D</v>
          </cell>
          <cell r="B429" t="str">
            <v>hefei NO.8 SMSch D</v>
          </cell>
          <cell r="C429" t="str">
            <v>Hefei No.8 Senior Middle School</v>
          </cell>
          <cell r="D429" t="str">
            <v>hefei, Not Applicable or Not Listed, China</v>
          </cell>
          <cell r="E429">
            <v>0</v>
          </cell>
          <cell r="F429">
            <v>0</v>
          </cell>
          <cell r="G429">
            <v>108.545</v>
          </cell>
          <cell r="H429">
            <v>108.545</v>
          </cell>
        </row>
        <row r="430">
          <cell r="A430" t="str">
            <v>8691E</v>
          </cell>
          <cell r="B430" t="str">
            <v>hefei NO.8 SMSch E</v>
          </cell>
          <cell r="C430" t="str">
            <v>Hefei No.8 Senior Middle School</v>
          </cell>
          <cell r="D430" t="str">
            <v>hefei, Not Applicable or Not Listed, China</v>
          </cell>
          <cell r="E430">
            <v>0</v>
          </cell>
          <cell r="F430">
            <v>0</v>
          </cell>
        </row>
        <row r="431">
          <cell r="A431" t="str">
            <v>8739A</v>
          </cell>
          <cell r="B431" t="str">
            <v>A. Robot. lagos de Moreno</v>
          </cell>
          <cell r="C431" t="str">
            <v>ACADEMIA DE ROBOTICA DE LAGO DE MORENO</v>
          </cell>
          <cell r="D431" t="str">
            <v>LAGOS DE MORENO, Jalisco, Mexico</v>
          </cell>
          <cell r="E431">
            <v>0</v>
          </cell>
          <cell r="F431">
            <v>0</v>
          </cell>
          <cell r="G431">
            <v>99.167299999999997</v>
          </cell>
          <cell r="H431">
            <v>87.85</v>
          </cell>
          <cell r="I431">
            <v>95.264899999999997</v>
          </cell>
          <cell r="J431">
            <v>97.072500000000005</v>
          </cell>
          <cell r="K431">
            <v>99.167299999999997</v>
          </cell>
          <cell r="L431">
            <v>63.256700000000002</v>
          </cell>
          <cell r="M431">
            <v>15.509</v>
          </cell>
          <cell r="N431">
            <v>68.3292</v>
          </cell>
        </row>
        <row r="432">
          <cell r="A432" t="str">
            <v>8746</v>
          </cell>
          <cell r="B432" t="str">
            <v>Black Knights</v>
          </cell>
          <cell r="C432" t="str">
            <v>Rome Free Academy</v>
          </cell>
          <cell r="D432" t="str">
            <v>Rome, New York, United States</v>
          </cell>
          <cell r="E432">
            <v>62</v>
          </cell>
          <cell r="F432">
            <v>62</v>
          </cell>
          <cell r="G432">
            <v>64.596800000000002</v>
          </cell>
          <cell r="H432">
            <v>64.596800000000002</v>
          </cell>
          <cell r="I432">
            <v>46.479100000000003</v>
          </cell>
          <cell r="J432">
            <v>61.801699999999997</v>
          </cell>
          <cell r="K432">
            <v>0</v>
          </cell>
          <cell r="L432">
            <v>19.822600000000001</v>
          </cell>
          <cell r="M432">
            <v>3.81467</v>
          </cell>
          <cell r="N432">
            <v>25.575500000000002</v>
          </cell>
        </row>
        <row r="433">
          <cell r="A433" t="str">
            <v>8757</v>
          </cell>
          <cell r="B433" t="str">
            <v>House of Science</v>
          </cell>
          <cell r="C433" t="str">
            <v>House of Science TAURANGA</v>
          </cell>
          <cell r="D433" t="str">
            <v>Tauranga, Not Applicable or Not Listed, New Zealand</v>
          </cell>
          <cell r="E433">
            <v>104</v>
          </cell>
          <cell r="F433">
            <v>90</v>
          </cell>
          <cell r="G433">
            <v>89.425799999999995</v>
          </cell>
          <cell r="H433">
            <v>89.425799999999995</v>
          </cell>
          <cell r="I433">
            <v>74.573800000000006</v>
          </cell>
          <cell r="J433">
            <v>28.487400000000001</v>
          </cell>
        </row>
        <row r="434">
          <cell r="A434" t="str">
            <v>8776B</v>
          </cell>
          <cell r="B434" t="str">
            <v>Arrowhead Vex Team B</v>
          </cell>
          <cell r="C434" t="str">
            <v>Arrowhead Park Early College High School</v>
          </cell>
          <cell r="D434" t="str">
            <v>Las Cruces, New Mexico, United States</v>
          </cell>
          <cell r="E434">
            <v>87</v>
          </cell>
          <cell r="F434">
            <v>116</v>
          </cell>
          <cell r="G434">
            <v>73.817599999999999</v>
          </cell>
          <cell r="H434">
            <v>73.817599999999999</v>
          </cell>
          <cell r="I434">
            <v>48.386499999999998</v>
          </cell>
        </row>
        <row r="435">
          <cell r="A435" t="str">
            <v>8787</v>
          </cell>
          <cell r="B435" t="str">
            <v>Eastwood Robotics</v>
          </cell>
          <cell r="C435" t="str">
            <v>Eastwood High School</v>
          </cell>
          <cell r="D435" t="str">
            <v>El Paso, Texas, United States</v>
          </cell>
          <cell r="E435">
            <v>0</v>
          </cell>
          <cell r="F435">
            <v>10</v>
          </cell>
          <cell r="G435">
            <v>97.267200000000003</v>
          </cell>
          <cell r="H435">
            <v>16.790299999999998</v>
          </cell>
          <cell r="I435">
            <v>97.267200000000003</v>
          </cell>
          <cell r="J435">
            <v>19.596299999999999</v>
          </cell>
        </row>
        <row r="436">
          <cell r="A436" t="str">
            <v>8787C</v>
          </cell>
          <cell r="B436" t="str">
            <v>Lady Troopers</v>
          </cell>
          <cell r="C436" t="str">
            <v>Eastwood High School</v>
          </cell>
          <cell r="D436" t="str">
            <v>El Paso, Texas, United States</v>
          </cell>
          <cell r="E436">
            <v>64</v>
          </cell>
          <cell r="F436">
            <v>7</v>
          </cell>
          <cell r="G436">
            <v>56.727899999999998</v>
          </cell>
          <cell r="H436">
            <v>34.218299999999999</v>
          </cell>
          <cell r="I436">
            <v>56.727899999999998</v>
          </cell>
          <cell r="J436">
            <v>18.040600000000001</v>
          </cell>
        </row>
        <row r="437">
          <cell r="A437" t="str">
            <v>8800</v>
          </cell>
          <cell r="B437" t="str">
            <v>Phoenix Lights</v>
          </cell>
          <cell r="C437" t="str">
            <v>East Valley Community Robotics</v>
          </cell>
          <cell r="D437" t="str">
            <v>Phoenix, Arizona, United States</v>
          </cell>
          <cell r="E437">
            <v>131</v>
          </cell>
          <cell r="F437">
            <v>150</v>
          </cell>
          <cell r="G437">
            <v>113.8</v>
          </cell>
          <cell r="H437">
            <v>58.3367</v>
          </cell>
          <cell r="I437">
            <v>25.519300000000001</v>
          </cell>
          <cell r="J437">
            <v>113.8</v>
          </cell>
          <cell r="K437">
            <v>102.675</v>
          </cell>
        </row>
        <row r="438">
          <cell r="A438" t="str">
            <v>8855</v>
          </cell>
          <cell r="B438" t="str">
            <v>INT. DE EST. SUP. DE MTY.</v>
          </cell>
          <cell r="C438" t="str">
            <v>INT. DE EST. SUP. DE MONTERREY (CAMPUS SALTILLO)</v>
          </cell>
          <cell r="D438" t="str">
            <v>SALTILLO, Coahuila, Mexico</v>
          </cell>
          <cell r="E438">
            <v>59</v>
          </cell>
          <cell r="F438">
            <v>0</v>
          </cell>
          <cell r="G438">
            <v>53.118200000000002</v>
          </cell>
          <cell r="H438">
            <v>53.118200000000002</v>
          </cell>
          <cell r="I438">
            <v>45.713500000000003</v>
          </cell>
          <cell r="J438">
            <v>20.406099999999999</v>
          </cell>
          <cell r="K438">
            <v>48.7956</v>
          </cell>
        </row>
        <row r="439">
          <cell r="A439" t="str">
            <v>8892B</v>
          </cell>
          <cell r="B439" t="str">
            <v>The Minutemen</v>
          </cell>
          <cell r="C439" t="str">
            <v>Delhi Charter School</v>
          </cell>
          <cell r="D439" t="str">
            <v>Delhi, Louisiana, United States</v>
          </cell>
          <cell r="E439">
            <v>136</v>
          </cell>
          <cell r="F439">
            <v>16</v>
          </cell>
          <cell r="G439">
            <v>135.273</v>
          </cell>
          <cell r="H439">
            <v>135.273</v>
          </cell>
          <cell r="I439">
            <v>58.240499999999997</v>
          </cell>
          <cell r="J439">
            <v>63.560699999999997</v>
          </cell>
        </row>
        <row r="440">
          <cell r="A440" t="str">
            <v>8899X</v>
          </cell>
          <cell r="B440" t="str">
            <v>Vexecutives</v>
          </cell>
          <cell r="C440" t="str">
            <v>Braden River High School</v>
          </cell>
          <cell r="D440" t="str">
            <v>Bradenton, Florida, United States</v>
          </cell>
          <cell r="E440">
            <v>291</v>
          </cell>
          <cell r="F440">
            <v>254</v>
          </cell>
          <cell r="G440">
            <v>90.317800000000005</v>
          </cell>
          <cell r="H440">
            <v>0</v>
          </cell>
          <cell r="I440">
            <v>10.726699999999999</v>
          </cell>
          <cell r="J440">
            <v>48.268000000000001</v>
          </cell>
          <cell r="K440">
            <v>51.341099999999997</v>
          </cell>
          <cell r="L440">
            <v>90.317800000000005</v>
          </cell>
        </row>
        <row r="441">
          <cell r="A441" t="str">
            <v>8900</v>
          </cell>
          <cell r="B441" t="str">
            <v>Parallax</v>
          </cell>
          <cell r="C441" t="str">
            <v>Phillips Academy Andover</v>
          </cell>
          <cell r="D441" t="str">
            <v>Andover, Massachusetts, United States</v>
          </cell>
          <cell r="E441">
            <v>287</v>
          </cell>
          <cell r="F441">
            <v>228</v>
          </cell>
          <cell r="G441">
            <v>119.614</v>
          </cell>
          <cell r="H441">
            <v>70.974699999999999</v>
          </cell>
          <cell r="I441">
            <v>100.672</v>
          </cell>
          <cell r="J441">
            <v>119.614</v>
          </cell>
          <cell r="K441">
            <v>85.615300000000005</v>
          </cell>
          <cell r="L441">
            <v>24.953299999999999</v>
          </cell>
        </row>
        <row r="442">
          <cell r="A442" t="str">
            <v>8926</v>
          </cell>
          <cell r="B442" t="str">
            <v>Combined IQ</v>
          </cell>
          <cell r="C442" t="str">
            <v>Oakbrook Preparatory School</v>
          </cell>
          <cell r="D442" t="str">
            <v>Spartanburg, South Carolina, United States</v>
          </cell>
          <cell r="E442">
            <v>229</v>
          </cell>
          <cell r="F442">
            <v>256</v>
          </cell>
          <cell r="G442">
            <v>103.383</v>
          </cell>
          <cell r="H442">
            <v>64.453699999999998</v>
          </cell>
          <cell r="I442">
            <v>63.439599999999999</v>
          </cell>
          <cell r="J442">
            <v>56.3095</v>
          </cell>
          <cell r="K442">
            <v>103.383</v>
          </cell>
          <cell r="L442">
            <v>37.821399999999997</v>
          </cell>
          <cell r="M442">
            <v>53.653700000000001</v>
          </cell>
        </row>
        <row r="443">
          <cell r="A443" t="str">
            <v>8931A</v>
          </cell>
          <cell r="B443" t="str">
            <v>V-Bots The 5 Guys</v>
          </cell>
          <cell r="C443" t="str">
            <v>Lake Stevens High</v>
          </cell>
          <cell r="D443" t="str">
            <v>Lake Stevens, Washington, United States</v>
          </cell>
          <cell r="E443">
            <v>30</v>
          </cell>
          <cell r="F443">
            <v>88</v>
          </cell>
          <cell r="G443">
            <v>66.414500000000004</v>
          </cell>
          <cell r="H443">
            <v>66.414500000000004</v>
          </cell>
          <cell r="I443">
            <v>36.633499999999998</v>
          </cell>
          <cell r="J443">
            <v>18.855</v>
          </cell>
          <cell r="K443">
            <v>19.968499999999999</v>
          </cell>
          <cell r="L443">
            <v>26.578600000000002</v>
          </cell>
        </row>
        <row r="444">
          <cell r="A444" t="str">
            <v>8931B</v>
          </cell>
          <cell r="B444" t="str">
            <v>V-Bots Trifecta</v>
          </cell>
          <cell r="C444" t="str">
            <v>Lake Stevens High</v>
          </cell>
          <cell r="D444" t="str">
            <v>Lake Stevens, Washington, United States</v>
          </cell>
          <cell r="E444">
            <v>174</v>
          </cell>
          <cell r="F444">
            <v>130</v>
          </cell>
          <cell r="G444">
            <v>116.723</v>
          </cell>
          <cell r="H444">
            <v>116.723</v>
          </cell>
          <cell r="I444">
            <v>74.938400000000001</v>
          </cell>
          <cell r="J444">
            <v>55.4863</v>
          </cell>
          <cell r="K444">
            <v>57.863199999999999</v>
          </cell>
          <cell r="L444">
            <v>21.606400000000001</v>
          </cell>
        </row>
        <row r="445">
          <cell r="A445" t="str">
            <v>9019A</v>
          </cell>
          <cell r="B445" t="str">
            <v>Atomic Wolf Pack</v>
          </cell>
          <cell r="C445" t="str">
            <v>Roosevelt High School</v>
          </cell>
          <cell r="D445" t="str">
            <v>Johnstown, Colorado, United States</v>
          </cell>
          <cell r="E445">
            <v>221</v>
          </cell>
          <cell r="F445">
            <v>145</v>
          </cell>
          <cell r="G445">
            <v>130.953</v>
          </cell>
          <cell r="H445">
            <v>79.619900000000001</v>
          </cell>
          <cell r="I445">
            <v>83.852400000000003</v>
          </cell>
          <cell r="J445">
            <v>48.768300000000004</v>
          </cell>
          <cell r="K445">
            <v>113.13200000000001</v>
          </cell>
          <cell r="L445">
            <v>130.953</v>
          </cell>
          <cell r="M445">
            <v>101.416</v>
          </cell>
          <cell r="N445">
            <v>57.374899999999997</v>
          </cell>
        </row>
        <row r="446">
          <cell r="A446" t="str">
            <v>9020</v>
          </cell>
          <cell r="B446" t="str">
            <v>Cape Henlopen</v>
          </cell>
          <cell r="C446" t="str">
            <v>Cape Henlopen High School</v>
          </cell>
          <cell r="D446" t="str">
            <v>Lewes, Delaware, United States</v>
          </cell>
          <cell r="E446">
            <v>32</v>
          </cell>
          <cell r="F446">
            <v>6</v>
          </cell>
          <cell r="G446">
            <v>38.782200000000003</v>
          </cell>
          <cell r="H446">
            <v>38.782200000000003</v>
          </cell>
        </row>
        <row r="447">
          <cell r="A447" t="str">
            <v>9031C</v>
          </cell>
          <cell r="B447" t="str">
            <v>Robotigers</v>
          </cell>
          <cell r="C447" t="str">
            <v>Holy Cross School</v>
          </cell>
          <cell r="D447" t="str">
            <v>New Orleans, Louisiana, United States</v>
          </cell>
          <cell r="E447">
            <v>71</v>
          </cell>
          <cell r="F447">
            <v>70</v>
          </cell>
          <cell r="G447">
            <v>99.681700000000006</v>
          </cell>
          <cell r="H447">
            <v>90.902699999999996</v>
          </cell>
          <cell r="I447">
            <v>74.163200000000003</v>
          </cell>
          <cell r="J447">
            <v>99.681700000000006</v>
          </cell>
          <cell r="K447">
            <v>67.584500000000006</v>
          </cell>
          <cell r="L447">
            <v>53.454300000000003</v>
          </cell>
        </row>
        <row r="448">
          <cell r="A448" t="str">
            <v>9064A</v>
          </cell>
          <cell r="B448" t="str">
            <v>Web Slingers</v>
          </cell>
          <cell r="C448" t="str">
            <v>J.M. Morehead High School</v>
          </cell>
          <cell r="D448" t="str">
            <v>Eden, North Carolina, United States</v>
          </cell>
          <cell r="E448">
            <v>113</v>
          </cell>
          <cell r="F448">
            <v>110</v>
          </cell>
          <cell r="G448">
            <v>85.036000000000001</v>
          </cell>
          <cell r="H448">
            <v>85.036000000000001</v>
          </cell>
          <cell r="I448">
            <v>18.703299999999999</v>
          </cell>
          <cell r="J448">
            <v>3.9861399999999998E-2</v>
          </cell>
        </row>
        <row r="449">
          <cell r="A449" t="str">
            <v>9080H</v>
          </cell>
          <cell r="B449" t="str">
            <v>Rebel Robotics II</v>
          </cell>
          <cell r="C449" t="str">
            <v>South Hagerstown High School</v>
          </cell>
          <cell r="D449" t="str">
            <v>Hagerstown, Maryland, United States</v>
          </cell>
          <cell r="E449">
            <v>322</v>
          </cell>
          <cell r="F449">
            <v>2</v>
          </cell>
          <cell r="G449">
            <v>70.145600000000002</v>
          </cell>
          <cell r="H449">
            <v>60.614100000000001</v>
          </cell>
          <cell r="I449">
            <v>25.400200000000002</v>
          </cell>
          <cell r="J449">
            <v>70.145600000000002</v>
          </cell>
          <cell r="K449">
            <v>24.004100000000001</v>
          </cell>
          <cell r="L449">
            <v>51.624899999999997</v>
          </cell>
          <cell r="M449">
            <v>10.0482</v>
          </cell>
        </row>
        <row r="450">
          <cell r="A450" t="str">
            <v>9090A</v>
          </cell>
          <cell r="B450" t="str">
            <v>T-VEX</v>
          </cell>
          <cell r="C450" t="str">
            <v>The Mandarin Chinese School</v>
          </cell>
          <cell r="D450" t="str">
            <v>Arlington, Texas, United States</v>
          </cell>
          <cell r="E450">
            <v>335</v>
          </cell>
          <cell r="F450">
            <v>330</v>
          </cell>
          <cell r="G450">
            <v>180.12799999999999</v>
          </cell>
          <cell r="H450">
            <v>86.697100000000006</v>
          </cell>
          <cell r="I450">
            <v>180.12799999999999</v>
          </cell>
          <cell r="J450">
            <v>169.27199999999999</v>
          </cell>
          <cell r="K450">
            <v>168.69</v>
          </cell>
          <cell r="L450">
            <v>91.366100000000003</v>
          </cell>
          <cell r="M450">
            <v>76.163799999999995</v>
          </cell>
        </row>
        <row r="451">
          <cell r="A451" t="str">
            <v>9090C</v>
          </cell>
          <cell r="B451" t="str">
            <v>T-VEX</v>
          </cell>
          <cell r="C451" t="str">
            <v>The Mandarin Chinese School</v>
          </cell>
          <cell r="D451" t="str">
            <v>Arlington, Texas, United States</v>
          </cell>
          <cell r="E451">
            <v>167</v>
          </cell>
          <cell r="F451">
            <v>217</v>
          </cell>
          <cell r="G451">
            <v>132.69200000000001</v>
          </cell>
          <cell r="H451">
            <v>132.69200000000001</v>
          </cell>
          <cell r="I451">
            <v>119.03100000000001</v>
          </cell>
          <cell r="J451">
            <v>69.130499999999998</v>
          </cell>
          <cell r="K451">
            <v>86.182100000000005</v>
          </cell>
          <cell r="L451">
            <v>38.386899999999997</v>
          </cell>
          <cell r="M451">
            <v>62.408700000000003</v>
          </cell>
        </row>
        <row r="452">
          <cell r="A452" t="str">
            <v>9142A</v>
          </cell>
          <cell r="B452" t="str">
            <v>Claremore Public Schools</v>
          </cell>
          <cell r="C452" t="str">
            <v>Claremore Public Schools</v>
          </cell>
          <cell r="D452" t="str">
            <v>Claremore, Oklahoma, United States</v>
          </cell>
          <cell r="E452">
            <v>200</v>
          </cell>
          <cell r="F452">
            <v>83</v>
          </cell>
          <cell r="G452">
            <v>140.988</v>
          </cell>
          <cell r="H452">
            <v>90.652699999999996</v>
          </cell>
          <cell r="I452">
            <v>140.988</v>
          </cell>
          <cell r="J452">
            <v>134.58199999999999</v>
          </cell>
          <cell r="K452">
            <v>93.232399999999998</v>
          </cell>
          <cell r="L452">
            <v>81.768699999999995</v>
          </cell>
        </row>
        <row r="453">
          <cell r="A453" t="str">
            <v>9181B</v>
          </cell>
          <cell r="B453" t="str">
            <v>Seaquam Seahawks</v>
          </cell>
          <cell r="C453" t="str">
            <v>Seaquam Secondary</v>
          </cell>
          <cell r="D453" t="str">
            <v>Delta, British Columbia, Canada</v>
          </cell>
          <cell r="E453">
            <v>315</v>
          </cell>
          <cell r="F453">
            <v>259</v>
          </cell>
          <cell r="G453">
            <v>113.373</v>
          </cell>
          <cell r="H453">
            <v>113.373</v>
          </cell>
          <cell r="I453">
            <v>93.694299999999998</v>
          </cell>
          <cell r="J453">
            <v>28.156099999999999</v>
          </cell>
          <cell r="K453">
            <v>67.011899999999997</v>
          </cell>
          <cell r="L453">
            <v>48.703600000000002</v>
          </cell>
        </row>
        <row r="454">
          <cell r="A454" t="str">
            <v>9185</v>
          </cell>
          <cell r="B454" t="str">
            <v>B.H.S. Kickin Bots</v>
          </cell>
          <cell r="C454" t="str">
            <v xml:space="preserve">Bellefontaine High School </v>
          </cell>
          <cell r="D454" t="str">
            <v>Bellefontaine, Ohio, United States</v>
          </cell>
          <cell r="E454">
            <v>252</v>
          </cell>
          <cell r="F454">
            <v>176</v>
          </cell>
          <cell r="G454">
            <v>122.18</v>
          </cell>
          <cell r="H454">
            <v>122.18</v>
          </cell>
          <cell r="I454">
            <v>98.350499999999997</v>
          </cell>
          <cell r="J454">
            <v>77.36</v>
          </cell>
          <cell r="K454">
            <v>100.474</v>
          </cell>
          <cell r="L454">
            <v>0</v>
          </cell>
          <cell r="M454">
            <v>92.342299999999994</v>
          </cell>
          <cell r="N454">
            <v>54.228099999999998</v>
          </cell>
          <cell r="O454">
            <v>98.024799999999999</v>
          </cell>
        </row>
        <row r="455">
          <cell r="A455" t="str">
            <v>9225C</v>
          </cell>
          <cell r="B455" t="str">
            <v>Team Juice Box</v>
          </cell>
          <cell r="C455" t="str">
            <v>White Plains High School</v>
          </cell>
          <cell r="D455" t="str">
            <v>Anniston, Alabama, United States</v>
          </cell>
          <cell r="E455">
            <v>89</v>
          </cell>
          <cell r="F455">
            <v>0</v>
          </cell>
          <cell r="G455">
            <v>48.179299999999998</v>
          </cell>
          <cell r="H455">
            <v>26.1891</v>
          </cell>
          <cell r="I455">
            <v>48.179299999999998</v>
          </cell>
          <cell r="J455">
            <v>11.748100000000001</v>
          </cell>
          <cell r="K455">
            <v>14.382899999999999</v>
          </cell>
          <cell r="L455">
            <v>-12.6555</v>
          </cell>
        </row>
        <row r="456">
          <cell r="A456" t="str">
            <v>9282</v>
          </cell>
          <cell r="B456" t="str">
            <v>Freezing Code</v>
          </cell>
          <cell r="C456" t="str">
            <v>Freezing Code Robotics Club</v>
          </cell>
          <cell r="D456" t="str">
            <v>Oswego, New York, United States</v>
          </cell>
          <cell r="E456">
            <v>150</v>
          </cell>
          <cell r="F456">
            <v>300</v>
          </cell>
          <cell r="G456">
            <v>140.32900000000001</v>
          </cell>
          <cell r="H456">
            <v>140.32900000000001</v>
          </cell>
          <cell r="I456">
            <v>133.898</v>
          </cell>
          <cell r="J456">
            <v>54.665999999999997</v>
          </cell>
          <cell r="K456">
            <v>77.057299999999998</v>
          </cell>
          <cell r="L456">
            <v>0</v>
          </cell>
          <cell r="M456">
            <v>46.993099999999998</v>
          </cell>
          <cell r="N456">
            <v>64.642099999999999</v>
          </cell>
          <cell r="O456">
            <v>14.107200000000001</v>
          </cell>
          <cell r="P456">
            <v>49.549700000000001</v>
          </cell>
        </row>
        <row r="457">
          <cell r="A457" t="str">
            <v>9343A</v>
          </cell>
          <cell r="B457" t="str">
            <v>Gearheads</v>
          </cell>
          <cell r="C457" t="str">
            <v>Hampden Academy</v>
          </cell>
          <cell r="D457" t="str">
            <v>Hampden, Maine, United States</v>
          </cell>
          <cell r="E457">
            <v>40</v>
          </cell>
          <cell r="F457">
            <v>0</v>
          </cell>
          <cell r="G457">
            <v>64.891400000000004</v>
          </cell>
          <cell r="H457">
            <v>64.361199999999997</v>
          </cell>
          <cell r="I457">
            <v>64.891400000000004</v>
          </cell>
          <cell r="J457">
            <v>-4.6024500000000002</v>
          </cell>
          <cell r="K457">
            <v>12.2348</v>
          </cell>
        </row>
        <row r="458">
          <cell r="A458" t="str">
            <v>9364</v>
          </cell>
          <cell r="B458" t="str">
            <v>Iron Eagles</v>
          </cell>
          <cell r="C458" t="str">
            <v>Brentwood Academy</v>
          </cell>
          <cell r="D458" t="str">
            <v>Brentwood, Tennessee, United States</v>
          </cell>
          <cell r="E458">
            <v>245</v>
          </cell>
          <cell r="F458">
            <v>160</v>
          </cell>
          <cell r="G458">
            <v>104.468</v>
          </cell>
          <cell r="H458">
            <v>104.468</v>
          </cell>
          <cell r="I458">
            <v>81.416799999999995</v>
          </cell>
          <cell r="J458">
            <v>88.412199999999999</v>
          </cell>
          <cell r="K458">
            <v>103.43899999999999</v>
          </cell>
          <cell r="L458">
            <v>51.926000000000002</v>
          </cell>
          <cell r="M458">
            <v>26.883099999999999</v>
          </cell>
          <cell r="N458">
            <v>61.805500000000002</v>
          </cell>
          <cell r="O458">
            <v>57.299199999999999</v>
          </cell>
        </row>
        <row r="459">
          <cell r="A459" t="str">
            <v>9364C</v>
          </cell>
          <cell r="B459" t="str">
            <v>Iron Eagles</v>
          </cell>
          <cell r="C459" t="str">
            <v>Brentwood Academy</v>
          </cell>
          <cell r="D459" t="str">
            <v>Brentwood, Tennessee, United States</v>
          </cell>
          <cell r="E459">
            <v>287</v>
          </cell>
          <cell r="F459">
            <v>146</v>
          </cell>
          <cell r="G459">
            <v>103.898</v>
          </cell>
          <cell r="H459">
            <v>103.898</v>
          </cell>
          <cell r="I459">
            <v>86.001099999999994</v>
          </cell>
          <cell r="J459">
            <v>98.8429</v>
          </cell>
          <cell r="K459">
            <v>87.537899999999993</v>
          </cell>
          <cell r="L459">
            <v>47.779299999999999</v>
          </cell>
          <cell r="M459">
            <v>40.892899999999997</v>
          </cell>
          <cell r="N459">
            <v>14.3568</v>
          </cell>
        </row>
        <row r="460">
          <cell r="A460" t="str">
            <v>9364E</v>
          </cell>
          <cell r="B460" t="str">
            <v>Iron Eagles</v>
          </cell>
          <cell r="C460" t="str">
            <v>Brentwood Academy</v>
          </cell>
          <cell r="D460" t="str">
            <v>Brentwood, Tennessee, United States</v>
          </cell>
          <cell r="E460">
            <v>288</v>
          </cell>
          <cell r="F460">
            <v>150</v>
          </cell>
          <cell r="G460">
            <v>65.072599999999994</v>
          </cell>
          <cell r="H460">
            <v>52.616599999999998</v>
          </cell>
          <cell r="I460">
            <v>65.072599999999994</v>
          </cell>
          <cell r="J460">
            <v>45.636299999999999</v>
          </cell>
          <cell r="K460">
            <v>23.168099999999999</v>
          </cell>
          <cell r="L460">
            <v>21.506399999999999</v>
          </cell>
          <cell r="M460">
            <v>16.296299999999999</v>
          </cell>
        </row>
        <row r="461">
          <cell r="A461" t="str">
            <v>9421</v>
          </cell>
          <cell r="B461" t="str">
            <v>Triple Threat</v>
          </cell>
          <cell r="C461" t="str">
            <v>Framingham High School</v>
          </cell>
          <cell r="D461" t="str">
            <v>Framingham, Massachusetts, United States</v>
          </cell>
          <cell r="E461">
            <v>225</v>
          </cell>
          <cell r="F461">
            <v>147</v>
          </cell>
          <cell r="G461">
            <v>85.816699999999997</v>
          </cell>
          <cell r="H461">
            <v>85.816699999999997</v>
          </cell>
          <cell r="I461">
            <v>73.719099999999997</v>
          </cell>
          <cell r="J461">
            <v>72.901799999999994</v>
          </cell>
          <cell r="K461">
            <v>45.982199999999999</v>
          </cell>
          <cell r="L461">
            <v>35.690600000000003</v>
          </cell>
          <cell r="M461">
            <v>45.247</v>
          </cell>
        </row>
        <row r="462">
          <cell r="A462" t="str">
            <v>9421X</v>
          </cell>
          <cell r="B462" t="str">
            <v>FHS Robotics X</v>
          </cell>
          <cell r="C462" t="str">
            <v>Framingham High School</v>
          </cell>
          <cell r="D462" t="str">
            <v>Framingham, Massachusetts, United States</v>
          </cell>
          <cell r="E462">
            <v>270</v>
          </cell>
          <cell r="F462">
            <v>115</v>
          </cell>
          <cell r="G462">
            <v>70.030100000000004</v>
          </cell>
          <cell r="H462">
            <v>12.969900000000001</v>
          </cell>
          <cell r="I462">
            <v>24.338999999999999</v>
          </cell>
          <cell r="J462">
            <v>70.030100000000004</v>
          </cell>
          <cell r="K462">
            <v>31.1999</v>
          </cell>
          <cell r="L462">
            <v>54.4236</v>
          </cell>
          <cell r="M462">
            <v>33.117600000000003</v>
          </cell>
        </row>
        <row r="463">
          <cell r="A463" t="str">
            <v>9457A</v>
          </cell>
          <cell r="B463" t="str">
            <v>MEHS Robotics</v>
          </cell>
          <cell r="C463" t="str">
            <v>Mankato East High School</v>
          </cell>
          <cell r="D463" t="str">
            <v>Mankato, Minnesota, United States</v>
          </cell>
          <cell r="E463">
            <v>93</v>
          </cell>
          <cell r="F463">
            <v>86</v>
          </cell>
          <cell r="G463">
            <v>107.681</v>
          </cell>
          <cell r="H463">
            <v>98.941999999999993</v>
          </cell>
          <cell r="I463">
            <v>107.681</v>
          </cell>
          <cell r="J463">
            <v>65.904600000000002</v>
          </cell>
          <cell r="K463">
            <v>26.8203</v>
          </cell>
        </row>
        <row r="464">
          <cell r="A464" t="str">
            <v>9458</v>
          </cell>
          <cell r="B464" t="str">
            <v>Robo Chiefs</v>
          </cell>
          <cell r="C464" t="str">
            <v>Massapequa School District</v>
          </cell>
          <cell r="D464" t="str">
            <v>Massapequa, New York, United States</v>
          </cell>
          <cell r="E464">
            <v>72</v>
          </cell>
          <cell r="F464">
            <v>59</v>
          </cell>
          <cell r="G464">
            <v>80.007099999999994</v>
          </cell>
          <cell r="H464">
            <v>70.394599999999997</v>
          </cell>
          <cell r="I464">
            <v>18.3508</v>
          </cell>
          <cell r="J464">
            <v>35.317599999999999</v>
          </cell>
          <cell r="K464">
            <v>38.368499999999997</v>
          </cell>
          <cell r="L464">
            <v>47.3581</v>
          </cell>
          <cell r="M464">
            <v>80.007099999999994</v>
          </cell>
          <cell r="N464">
            <v>48.747900000000001</v>
          </cell>
        </row>
        <row r="465">
          <cell r="A465" t="str">
            <v>9458D</v>
          </cell>
          <cell r="B465" t="str">
            <v>Robo Chiefs</v>
          </cell>
          <cell r="C465" t="str">
            <v>Massapequa School District</v>
          </cell>
          <cell r="D465" t="str">
            <v>Massapequa, New York, United States</v>
          </cell>
          <cell r="E465">
            <v>115</v>
          </cell>
          <cell r="F465">
            <v>63</v>
          </cell>
          <cell r="G465">
            <v>80.578100000000006</v>
          </cell>
          <cell r="H465">
            <v>49.837200000000003</v>
          </cell>
          <cell r="I465">
            <v>55.277000000000001</v>
          </cell>
          <cell r="J465">
            <v>64.661600000000007</v>
          </cell>
          <cell r="K465">
            <v>80.578100000000006</v>
          </cell>
          <cell r="L465">
            <v>54.572699999999998</v>
          </cell>
          <cell r="M465">
            <v>38.407299999999999</v>
          </cell>
        </row>
        <row r="466">
          <cell r="A466" t="str">
            <v>9541</v>
          </cell>
          <cell r="B466" t="str">
            <v>C.H.E.S.S. Knights</v>
          </cell>
          <cell r="C466" t="str">
            <v>Christian Home Educators of Sulphur Springs</v>
          </cell>
          <cell r="D466" t="str">
            <v>Como, Texas, United States</v>
          </cell>
          <cell r="E466">
            <v>215</v>
          </cell>
          <cell r="F466">
            <v>231</v>
          </cell>
          <cell r="G466">
            <v>121.13</v>
          </cell>
          <cell r="H466">
            <v>55.247199999999999</v>
          </cell>
          <cell r="I466">
            <v>87.430999999999997</v>
          </cell>
          <cell r="J466">
            <v>92.304100000000005</v>
          </cell>
          <cell r="K466">
            <v>121.13</v>
          </cell>
          <cell r="L466">
            <v>110.43899999999999</v>
          </cell>
          <cell r="M466">
            <v>0</v>
          </cell>
        </row>
        <row r="467">
          <cell r="A467" t="str">
            <v>9594C</v>
          </cell>
          <cell r="B467" t="str">
            <v>Mechanical Synergy</v>
          </cell>
          <cell r="C467" t="str">
            <v>Collingwood</v>
          </cell>
          <cell r="D467" t="str">
            <v>West Vancouver, British Columbia, Canada</v>
          </cell>
          <cell r="E467">
            <v>283</v>
          </cell>
          <cell r="F467">
            <v>209</v>
          </cell>
          <cell r="G467">
            <v>153.70699999999999</v>
          </cell>
          <cell r="H467">
            <v>59.813600000000001</v>
          </cell>
          <cell r="I467">
            <v>44.654600000000002</v>
          </cell>
          <cell r="J467">
            <v>153.70699999999999</v>
          </cell>
          <cell r="K467">
            <v>134.161</v>
          </cell>
          <cell r="L467">
            <v>53.292000000000002</v>
          </cell>
          <cell r="M467">
            <v>75.747500000000002</v>
          </cell>
        </row>
        <row r="468">
          <cell r="A468" t="str">
            <v>9623B</v>
          </cell>
          <cell r="B468" t="str">
            <v>WARP Drive</v>
          </cell>
          <cell r="C468" t="str">
            <v>West Ashley High School</v>
          </cell>
          <cell r="D468" t="str">
            <v>Charleston, South Carolina, United States</v>
          </cell>
          <cell r="E468">
            <v>148</v>
          </cell>
          <cell r="F468">
            <v>141</v>
          </cell>
          <cell r="G468">
            <v>94.595399999999998</v>
          </cell>
          <cell r="H468">
            <v>94.595399999999998</v>
          </cell>
          <cell r="I468">
            <v>84.184299999999993</v>
          </cell>
          <cell r="J468">
            <v>75.329599999999999</v>
          </cell>
          <cell r="K468">
            <v>48.988100000000003</v>
          </cell>
          <cell r="L468">
            <v>72.926199999999994</v>
          </cell>
        </row>
        <row r="469">
          <cell r="A469" t="str">
            <v>9663</v>
          </cell>
          <cell r="B469" t="str">
            <v>RIKITIK</v>
          </cell>
          <cell r="C469" t="str">
            <v>Ecole Paul-Hubert</v>
          </cell>
          <cell r="D469" t="str">
            <v>Rimouski, Quebec, Canada</v>
          </cell>
          <cell r="E469">
            <v>140</v>
          </cell>
          <cell r="F469">
            <v>0</v>
          </cell>
          <cell r="G469">
            <v>60.265099999999997</v>
          </cell>
          <cell r="H469">
            <v>60.265099999999997</v>
          </cell>
          <cell r="I469">
            <v>15.333399999999999</v>
          </cell>
        </row>
        <row r="470">
          <cell r="A470" t="str">
            <v>9692A</v>
          </cell>
          <cell r="B470" t="str">
            <v>TCIS1</v>
          </cell>
          <cell r="C470" t="str">
            <v>Thai-Chinese International School</v>
          </cell>
          <cell r="D470" t="str">
            <v>Bangkok, N/A, Thailand</v>
          </cell>
          <cell r="E470">
            <v>0</v>
          </cell>
          <cell r="F470">
            <v>0</v>
          </cell>
          <cell r="G470">
            <v>21.113099999999999</v>
          </cell>
          <cell r="H470">
            <v>21.113099999999999</v>
          </cell>
        </row>
        <row r="471">
          <cell r="A471" t="str">
            <v>9708</v>
          </cell>
          <cell r="B471" t="str">
            <v>Six Sigma Robotics</v>
          </cell>
          <cell r="C471" t="str">
            <v>Middlesex County Academy</v>
          </cell>
          <cell r="D471" t="str">
            <v>Edison, New Jersey, United States</v>
          </cell>
          <cell r="E471">
            <v>125</v>
          </cell>
          <cell r="F471">
            <v>83</v>
          </cell>
          <cell r="G471">
            <v>79.156199999999998</v>
          </cell>
          <cell r="H471">
            <v>79.156199999999998</v>
          </cell>
          <cell r="I471">
            <v>60.394399999999997</v>
          </cell>
          <cell r="J471">
            <v>52.395299999999999</v>
          </cell>
          <cell r="K471">
            <v>55.260100000000001</v>
          </cell>
          <cell r="L471">
            <v>16.066600000000001</v>
          </cell>
        </row>
        <row r="472">
          <cell r="A472" t="str">
            <v>9727A</v>
          </cell>
          <cell r="B472" t="str">
            <v>OSOS 110</v>
          </cell>
          <cell r="C472" t="str">
            <v>CBTIS 110</v>
          </cell>
          <cell r="D472" t="str">
            <v>Durango, Durango, Mexico</v>
          </cell>
          <cell r="E472">
            <v>270</v>
          </cell>
          <cell r="F472">
            <v>220</v>
          </cell>
          <cell r="G472">
            <v>143.84800000000001</v>
          </cell>
          <cell r="H472">
            <v>143.84800000000001</v>
          </cell>
          <cell r="I472">
            <v>115.693</v>
          </cell>
          <cell r="J472">
            <v>136.88999999999999</v>
          </cell>
          <cell r="K472">
            <v>42.951500000000003</v>
          </cell>
          <cell r="L472">
            <v>77.642099999999999</v>
          </cell>
          <cell r="M472">
            <v>49.655299999999997</v>
          </cell>
        </row>
        <row r="473">
          <cell r="A473" t="str">
            <v>9727B</v>
          </cell>
          <cell r="B473" t="str">
            <v>CBTIS 110_B</v>
          </cell>
          <cell r="C473" t="str">
            <v>CBTIS 110</v>
          </cell>
          <cell r="D473" t="str">
            <v>Durango, Durango, Mexico</v>
          </cell>
          <cell r="E473">
            <v>12</v>
          </cell>
          <cell r="F473">
            <v>71</v>
          </cell>
          <cell r="G473">
            <v>106.756</v>
          </cell>
          <cell r="H473">
            <v>106.756</v>
          </cell>
          <cell r="I473">
            <v>75.142799999999994</v>
          </cell>
          <cell r="J473">
            <v>64.145799999999994</v>
          </cell>
          <cell r="K473">
            <v>56.624400000000001</v>
          </cell>
          <cell r="L473">
            <v>95.110600000000005</v>
          </cell>
          <cell r="M473">
            <v>90.411000000000001</v>
          </cell>
        </row>
        <row r="474">
          <cell r="A474" t="str">
            <v>9848</v>
          </cell>
          <cell r="B474" t="str">
            <v>MCHS Tigers</v>
          </cell>
          <cell r="C474" t="str">
            <v>Madison County High School</v>
          </cell>
          <cell r="D474" t="str">
            <v>Gurley, Alabama, United States</v>
          </cell>
          <cell r="E474">
            <v>205</v>
          </cell>
          <cell r="F474">
            <v>164</v>
          </cell>
          <cell r="G474">
            <v>109.57299999999999</v>
          </cell>
          <cell r="H474">
            <v>37.754199999999997</v>
          </cell>
          <cell r="I474">
            <v>34.2866</v>
          </cell>
          <cell r="J474">
            <v>62.601999999999997</v>
          </cell>
          <cell r="K474">
            <v>109.57299999999999</v>
          </cell>
          <cell r="L474">
            <v>89.790499999999994</v>
          </cell>
        </row>
        <row r="475">
          <cell r="A475" t="str">
            <v>9898A</v>
          </cell>
          <cell r="B475" t="str">
            <v>Scorpion Robotics</v>
          </cell>
          <cell r="C475" t="str">
            <v>Scorpion Engineering Hesperia High School</v>
          </cell>
          <cell r="D475" t="str">
            <v>Hesperia, California, United States</v>
          </cell>
          <cell r="E475">
            <v>319</v>
          </cell>
          <cell r="F475">
            <v>215</v>
          </cell>
          <cell r="G475">
            <v>136.392</v>
          </cell>
          <cell r="H475">
            <v>125.434</v>
          </cell>
          <cell r="I475">
            <v>136.392</v>
          </cell>
          <cell r="J475">
            <v>97.033100000000005</v>
          </cell>
          <cell r="K475">
            <v>90.555499999999995</v>
          </cell>
          <cell r="L475">
            <v>70.032700000000006</v>
          </cell>
        </row>
        <row r="476">
          <cell r="A476" t="str">
            <v>9898C</v>
          </cell>
          <cell r="B476" t="str">
            <v xml:space="preserve">Scorpion Robotics </v>
          </cell>
          <cell r="C476" t="str">
            <v>Scorpion Engineering Hesperia High School</v>
          </cell>
          <cell r="D476" t="str">
            <v>Hesperia, California, United States</v>
          </cell>
          <cell r="E476">
            <v>345</v>
          </cell>
          <cell r="F476">
            <v>155</v>
          </cell>
          <cell r="G476">
            <v>131.31200000000001</v>
          </cell>
          <cell r="H476">
            <v>127.194</v>
          </cell>
          <cell r="I476">
            <v>131.31200000000001</v>
          </cell>
          <cell r="J476">
            <v>74.11</v>
          </cell>
          <cell r="K476">
            <v>61.962899999999998</v>
          </cell>
          <cell r="L476">
            <v>80.264099999999999</v>
          </cell>
        </row>
        <row r="477">
          <cell r="A477" t="str">
            <v>9908W</v>
          </cell>
          <cell r="B477" t="str">
            <v>Windham Whippet Robotics</v>
          </cell>
          <cell r="C477" t="str">
            <v>Windham High School</v>
          </cell>
          <cell r="D477" t="str">
            <v>Willimantic, Connecticut, United States</v>
          </cell>
          <cell r="E477">
            <v>76</v>
          </cell>
          <cell r="F477">
            <v>86</v>
          </cell>
          <cell r="G477">
            <v>89.516999999999996</v>
          </cell>
          <cell r="H477">
            <v>71.617699999999999</v>
          </cell>
          <cell r="I477">
            <v>89.516999999999996</v>
          </cell>
          <cell r="J477">
            <v>68.813599999999994</v>
          </cell>
          <cell r="K477">
            <v>61.268700000000003</v>
          </cell>
          <cell r="L477">
            <v>17.6904</v>
          </cell>
        </row>
        <row r="478">
          <cell r="A478" t="str">
            <v>9920</v>
          </cell>
          <cell r="B478" t="str">
            <v>Sailor Robotics</v>
          </cell>
          <cell r="C478" t="str">
            <v>Sarasota High School</v>
          </cell>
          <cell r="D478" t="str">
            <v>Sarasota, Florida, United States</v>
          </cell>
          <cell r="E478">
            <v>300</v>
          </cell>
          <cell r="F478">
            <v>146</v>
          </cell>
          <cell r="G478">
            <v>79.531999999999996</v>
          </cell>
          <cell r="H478">
            <v>0</v>
          </cell>
          <cell r="I478">
            <v>79.531999999999996</v>
          </cell>
          <cell r="J478">
            <v>66.351299999999995</v>
          </cell>
        </row>
        <row r="479">
          <cell r="A479" t="str">
            <v>9932</v>
          </cell>
          <cell r="B479" t="str">
            <v>Hawks</v>
          </cell>
          <cell r="C479" t="str">
            <v>Jericho High School</v>
          </cell>
          <cell r="D479" t="str">
            <v>Jericho, New York, United States</v>
          </cell>
          <cell r="E479">
            <v>56</v>
          </cell>
          <cell r="F479">
            <v>146</v>
          </cell>
          <cell r="G479">
            <v>84.776700000000005</v>
          </cell>
          <cell r="H479">
            <v>84.776700000000005</v>
          </cell>
          <cell r="I479">
            <v>63.548299999999998</v>
          </cell>
          <cell r="J479">
            <v>67.640799999999999</v>
          </cell>
          <cell r="K479">
            <v>73.188999999999993</v>
          </cell>
          <cell r="L479">
            <v>52.500900000000001</v>
          </cell>
          <cell r="M479">
            <v>39.500399999999999</v>
          </cell>
        </row>
        <row r="480">
          <cell r="A480" t="str">
            <v>9932E</v>
          </cell>
          <cell r="B480" t="str">
            <v>Hawks</v>
          </cell>
          <cell r="C480" t="str">
            <v>Jericho High School</v>
          </cell>
          <cell r="D480" t="str">
            <v>Jericho, New York, United States</v>
          </cell>
          <cell r="E480">
            <v>78</v>
          </cell>
          <cell r="F480">
            <v>140</v>
          </cell>
          <cell r="G480">
            <v>55.331200000000003</v>
          </cell>
          <cell r="H480">
            <v>55.331200000000003</v>
          </cell>
          <cell r="I480">
            <v>24.729600000000001</v>
          </cell>
          <cell r="J480">
            <v>26.549900000000001</v>
          </cell>
          <cell r="K480">
            <v>49.457299999999996</v>
          </cell>
          <cell r="L480">
            <v>19.268999999999998</v>
          </cell>
          <cell r="M480">
            <v>21.027799999999999</v>
          </cell>
        </row>
        <row r="481">
          <cell r="A481" t="str">
            <v>9964S</v>
          </cell>
          <cell r="B481" t="str">
            <v>Bender</v>
          </cell>
          <cell r="C481" t="str">
            <v>Stone Bridge High School</v>
          </cell>
          <cell r="D481" t="str">
            <v>Ashburn, Virginia, United States</v>
          </cell>
          <cell r="E481">
            <v>133</v>
          </cell>
          <cell r="F481">
            <v>107</v>
          </cell>
          <cell r="G481">
            <v>86.028599999999997</v>
          </cell>
          <cell r="H481">
            <v>86.028599999999997</v>
          </cell>
          <cell r="I481">
            <v>34.927</v>
          </cell>
          <cell r="J481">
            <v>14.9811</v>
          </cell>
        </row>
        <row r="482">
          <cell r="A482" t="str">
            <v>9973A</v>
          </cell>
          <cell r="B482" t="str">
            <v>Urumqi NO.1 MS A</v>
          </cell>
          <cell r="C482" t="str">
            <v>Urumqi NO.1 Middle School</v>
          </cell>
          <cell r="D482" t="str">
            <v>Urumqi, Not Applicable or Not Listed, China</v>
          </cell>
          <cell r="E482">
            <v>89</v>
          </cell>
          <cell r="F482">
            <v>0</v>
          </cell>
          <cell r="G482">
            <v>135.39400000000001</v>
          </cell>
          <cell r="H482">
            <v>135.39400000000001</v>
          </cell>
        </row>
        <row r="483">
          <cell r="A483" t="str">
            <v>19771</v>
          </cell>
          <cell r="B483" t="str">
            <v xml:space="preserve">IKEN ETHIOPIA </v>
          </cell>
          <cell r="C483" t="str">
            <v>iken ethiopia</v>
          </cell>
          <cell r="D483" t="str">
            <v>ADDIS ABABA, N/A, Ethiopia</v>
          </cell>
          <cell r="E483">
            <v>0</v>
          </cell>
          <cell r="F483">
            <v>0</v>
          </cell>
        </row>
        <row r="484">
          <cell r="A484" t="str">
            <v>23222A</v>
          </cell>
          <cell r="B484" t="str">
            <v xml:space="preserve">Makarov's children </v>
          </cell>
          <cell r="C484" t="str">
            <v>Churapcha classic school after S.K. Makarov</v>
          </cell>
          <cell r="D484" t="str">
            <v>Yakutsk, N/A, Russia</v>
          </cell>
          <cell r="E484">
            <v>0</v>
          </cell>
          <cell r="F484">
            <v>0</v>
          </cell>
        </row>
        <row r="485">
          <cell r="A485" t="str">
            <v>32016A</v>
          </cell>
          <cell r="B485" t="str">
            <v>North China Team</v>
          </cell>
          <cell r="C485" t="str">
            <v>North China Team</v>
          </cell>
          <cell r="D485" t="str">
            <v>Xi'an, N/A, China</v>
          </cell>
          <cell r="E485">
            <v>0</v>
          </cell>
          <cell r="F485">
            <v>357</v>
          </cell>
        </row>
        <row r="486">
          <cell r="A486" t="str">
            <v>96965</v>
          </cell>
          <cell r="B486" t="str">
            <v>ftcExchangeStudents</v>
          </cell>
          <cell r="C486" t="str">
            <v>Westwood Robotics Alliance</v>
          </cell>
          <cell r="D486" t="str">
            <v>Morgantown, West Virginia, United States</v>
          </cell>
          <cell r="E486">
            <v>161</v>
          </cell>
          <cell r="F486">
            <v>98</v>
          </cell>
          <cell r="G486">
            <v>134.429</v>
          </cell>
          <cell r="H486">
            <v>134.429</v>
          </cell>
          <cell r="I486">
            <v>128.02500000000001</v>
          </cell>
          <cell r="J486">
            <v>58.464500000000001</v>
          </cell>
          <cell r="K486">
            <v>40.572899999999997</v>
          </cell>
        </row>
        <row r="487">
          <cell r="A487" t="str">
            <v>97511</v>
          </cell>
          <cell r="B487" t="str">
            <v>ROBOTIQS</v>
          </cell>
          <cell r="C487" t="str">
            <v>ABA Innovation Lab</v>
          </cell>
          <cell r="D487" t="str">
            <v>Istanbul, N/A, Turkey</v>
          </cell>
          <cell r="E487">
            <v>0</v>
          </cell>
          <cell r="F487">
            <v>0</v>
          </cell>
        </row>
        <row r="488">
          <cell r="A488" t="str">
            <v>98472</v>
          </cell>
          <cell r="B488" t="str">
            <v xml:space="preserve">M_A  Team </v>
          </cell>
          <cell r="C488" t="str">
            <v>Suez Advanced Technical Schools</v>
          </cell>
          <cell r="D488" t="str">
            <v>Suez, N/A, Egypt</v>
          </cell>
          <cell r="E488">
            <v>0</v>
          </cell>
          <cell r="F488">
            <v>0</v>
          </cell>
        </row>
        <row r="489">
          <cell r="A489" t="str">
            <v>98521</v>
          </cell>
          <cell r="B489" t="str">
            <v>HP Robotics</v>
          </cell>
          <cell r="C489" t="str">
            <v>Holly Pond High School</v>
          </cell>
          <cell r="D489" t="str">
            <v>Holly Pond, Alabama, United States</v>
          </cell>
          <cell r="E489">
            <v>156</v>
          </cell>
          <cell r="F489">
            <v>167</v>
          </cell>
          <cell r="G489">
            <v>117.277</v>
          </cell>
          <cell r="H489">
            <v>102.291</v>
          </cell>
          <cell r="I489">
            <v>112.414</v>
          </cell>
          <cell r="J489">
            <v>117.277</v>
          </cell>
          <cell r="K489">
            <v>91.134100000000004</v>
          </cell>
          <cell r="L489">
            <v>117.074</v>
          </cell>
          <cell r="M489">
            <v>38.848700000000001</v>
          </cell>
        </row>
        <row r="490">
          <cell r="A490" t="str">
            <v>98725B</v>
          </cell>
          <cell r="B490" t="str">
            <v>Falcon</v>
          </cell>
          <cell r="C490" t="str">
            <v>Rochester Hills Christian School</v>
          </cell>
          <cell r="D490" t="str">
            <v>Rochester Hills, Michigan, United States</v>
          </cell>
          <cell r="E490">
            <v>273</v>
          </cell>
          <cell r="F490">
            <v>276</v>
          </cell>
          <cell r="G490">
            <v>140.899</v>
          </cell>
          <cell r="H490">
            <v>140.899</v>
          </cell>
          <cell r="I490">
            <v>106.349</v>
          </cell>
          <cell r="J490">
            <v>84.209800000000001</v>
          </cell>
          <cell r="K490">
            <v>135.518</v>
          </cell>
        </row>
        <row r="491">
          <cell r="A491" t="str">
            <v>99153K</v>
          </cell>
          <cell r="B491" t="str">
            <v>CECYT No. 6 Chihuahua</v>
          </cell>
          <cell r="C491" t="str">
            <v>COLEG. DE EST. CIENT. Y TECNOLOG DE CHIHUAHUA</v>
          </cell>
          <cell r="D491" t="str">
            <v>CHIHUAHUA, Chihuahua, Mexico</v>
          </cell>
          <cell r="E491">
            <v>111</v>
          </cell>
          <cell r="F491">
            <v>5</v>
          </cell>
          <cell r="G491">
            <v>92.955200000000005</v>
          </cell>
          <cell r="H491">
            <v>77.945499999999996</v>
          </cell>
          <cell r="I491">
            <v>92.955200000000005</v>
          </cell>
          <cell r="J491">
            <v>70.780299999999997</v>
          </cell>
        </row>
        <row r="492">
          <cell r="A492" t="str">
            <v>99288</v>
          </cell>
          <cell r="B492" t="str">
            <v>MOT Charter School</v>
          </cell>
          <cell r="C492" t="str">
            <v>MOT Charter School</v>
          </cell>
          <cell r="D492" t="str">
            <v>Middletown, Delaware, United States</v>
          </cell>
          <cell r="E492">
            <v>12</v>
          </cell>
          <cell r="F492">
            <v>0</v>
          </cell>
          <cell r="G492">
            <v>15.087400000000001</v>
          </cell>
          <cell r="H492">
            <v>9.7326599999999992</v>
          </cell>
          <cell r="I492">
            <v>15.087400000000001</v>
          </cell>
        </row>
        <row r="493">
          <cell r="A493" t="str">
            <v>99484</v>
          </cell>
          <cell r="B493" t="str">
            <v>Knights</v>
          </cell>
          <cell r="C493" t="str">
            <v>Christian Academy in Japan</v>
          </cell>
          <cell r="D493" t="str">
            <v>Higashi Kurume, Tokyo, Japan</v>
          </cell>
          <cell r="E493">
            <v>45</v>
          </cell>
          <cell r="F493">
            <v>80</v>
          </cell>
          <cell r="G493">
            <v>68.050200000000004</v>
          </cell>
          <cell r="H493">
            <v>68.050200000000004</v>
          </cell>
        </row>
        <row r="494">
          <cell r="A494" t="str">
            <v>99523A</v>
          </cell>
          <cell r="B494" t="str">
            <v>SCCS [Co.R.E.] = 99523;</v>
          </cell>
          <cell r="C494" t="str">
            <v>Sandy Creek Central School</v>
          </cell>
          <cell r="D494" t="str">
            <v>Sandy Creek, New York, United States</v>
          </cell>
          <cell r="E494">
            <v>50</v>
          </cell>
          <cell r="F494">
            <v>20</v>
          </cell>
          <cell r="G494">
            <v>74.767700000000005</v>
          </cell>
          <cell r="H494">
            <v>55.286700000000003</v>
          </cell>
          <cell r="I494">
            <v>74.767700000000005</v>
          </cell>
          <cell r="J494">
            <v>0</v>
          </cell>
          <cell r="K494">
            <v>41.824100000000001</v>
          </cell>
          <cell r="L494">
            <v>3.4075899999999999</v>
          </cell>
          <cell r="M494">
            <v>22.367599999999999</v>
          </cell>
        </row>
        <row r="495">
          <cell r="A495" t="str">
            <v>99611</v>
          </cell>
          <cell r="B495" t="str">
            <v xml:space="preserve">Hope of Syria </v>
          </cell>
          <cell r="C495" t="str">
            <v xml:space="preserve">MAPs Organization </v>
          </cell>
          <cell r="D495" t="str">
            <v>Damascus , N/A, Syria</v>
          </cell>
          <cell r="E495">
            <v>0</v>
          </cell>
          <cell r="F495">
            <v>0</v>
          </cell>
        </row>
        <row r="496">
          <cell r="A496" t="str">
            <v>99679J</v>
          </cell>
          <cell r="B496" t="str">
            <v>UNITY</v>
          </cell>
          <cell r="C496" t="str">
            <v>David Karam Educational Center</v>
          </cell>
          <cell r="D496" t="str">
            <v>Beirut, N/A, Lebanon</v>
          </cell>
          <cell r="E496">
            <v>0</v>
          </cell>
          <cell r="F496">
            <v>0</v>
          </cell>
        </row>
        <row r="497">
          <cell r="A497" t="str">
            <v>99682A</v>
          </cell>
          <cell r="B497" t="str">
            <v>craig's list</v>
          </cell>
          <cell r="C497" t="str">
            <v>Robots in Motion</v>
          </cell>
          <cell r="D497" t="str">
            <v>Hanson, Kentucky, United States</v>
          </cell>
          <cell r="E497">
            <v>173</v>
          </cell>
          <cell r="F497">
            <v>96</v>
          </cell>
          <cell r="G497">
            <v>141.33799999999999</v>
          </cell>
          <cell r="H497">
            <v>117.006</v>
          </cell>
          <cell r="I497">
            <v>96.880200000000002</v>
          </cell>
          <cell r="J497">
            <v>139.72399999999999</v>
          </cell>
          <cell r="K497">
            <v>141.33799999999999</v>
          </cell>
          <cell r="L497">
            <v>104.96299999999999</v>
          </cell>
          <cell r="M497">
            <v>113.486</v>
          </cell>
          <cell r="N497">
            <v>28.904199999999999</v>
          </cell>
        </row>
        <row r="498">
          <cell r="A498" t="str">
            <v>99750A</v>
          </cell>
          <cell r="B498" t="str">
            <v>Sparta's Chosen</v>
          </cell>
          <cell r="C498" t="str">
            <v>Rocori High School</v>
          </cell>
          <cell r="D498" t="str">
            <v>Cold Spring, Minnesota, United States</v>
          </cell>
          <cell r="E498">
            <v>125</v>
          </cell>
          <cell r="F498">
            <v>134</v>
          </cell>
          <cell r="G498">
            <v>110.238</v>
          </cell>
          <cell r="H498">
            <v>110.238</v>
          </cell>
          <cell r="I498">
            <v>54.564399999999999</v>
          </cell>
          <cell r="J498">
            <v>49.113</v>
          </cell>
          <cell r="K498">
            <v>14.0365</v>
          </cell>
        </row>
      </sheetData>
      <sheetData sheetId="1">
        <row r="1">
          <cell r="A1" t="str">
            <v>Team</v>
          </cell>
          <cell r="B1" t="str">
            <v>Name</v>
          </cell>
          <cell r="C1" t="str">
            <v>Org</v>
          </cell>
          <cell r="D1" t="str">
            <v>Location</v>
          </cell>
          <cell r="E1" t="str">
            <v>Drv_skills</v>
          </cell>
          <cell r="F1" t="str">
            <v>Prg_skills</v>
          </cell>
          <cell r="G1" t="str">
            <v>Opr_max</v>
          </cell>
          <cell r="H1" t="str">
            <v>Opr_last</v>
          </cell>
          <cell r="I1" t="str">
            <v>Opr-1</v>
          </cell>
          <cell r="J1" t="str">
            <v>Opr-2</v>
          </cell>
          <cell r="K1" t="str">
            <v>Opr-3</v>
          </cell>
          <cell r="L1" t="str">
            <v>Opr-4</v>
          </cell>
          <cell r="M1" t="str">
            <v>Opr-5</v>
          </cell>
        </row>
        <row r="2">
          <cell r="A2" t="str">
            <v>2R</v>
          </cell>
          <cell r="B2" t="str">
            <v>Robosavages R</v>
          </cell>
          <cell r="C2" t="str">
            <v>Gladstone</v>
          </cell>
          <cell r="D2" t="str">
            <v>Vancouver, British Columbia, Canada</v>
          </cell>
          <cell r="E2">
            <v>356</v>
          </cell>
          <cell r="F2">
            <v>253</v>
          </cell>
          <cell r="G2">
            <v>142.357</v>
          </cell>
          <cell r="H2">
            <v>142.357</v>
          </cell>
          <cell r="I2">
            <v>107.38200000000001</v>
          </cell>
          <cell r="J2">
            <v>138.21799999999999</v>
          </cell>
          <cell r="K2">
            <v>87.828999999999994</v>
          </cell>
          <cell r="L2">
            <v>82.34</v>
          </cell>
        </row>
        <row r="3">
          <cell r="A3" t="str">
            <v>10Z</v>
          </cell>
          <cell r="B3" t="str">
            <v>Exothermic Zen</v>
          </cell>
          <cell r="C3" t="str">
            <v>Exothermic Robotics</v>
          </cell>
          <cell r="D3" t="str">
            <v>Redmond, Washington, United States</v>
          </cell>
          <cell r="E3">
            <v>161</v>
          </cell>
          <cell r="F3">
            <v>225</v>
          </cell>
          <cell r="G3">
            <v>83.911199999999994</v>
          </cell>
          <cell r="H3">
            <v>83.911199999999994</v>
          </cell>
          <cell r="I3">
            <v>67.572000000000003</v>
          </cell>
          <cell r="J3">
            <v>80.308899999999994</v>
          </cell>
          <cell r="K3">
            <v>2.7913000000000001</v>
          </cell>
          <cell r="L3">
            <v>62.307600000000001</v>
          </cell>
          <cell r="M3">
            <v>31.303699999999999</v>
          </cell>
        </row>
        <row r="4">
          <cell r="A4" t="str">
            <v>35A</v>
          </cell>
          <cell r="B4" t="str">
            <v>Made of Steel</v>
          </cell>
          <cell r="C4" t="str">
            <v>Cranbrook Schools</v>
          </cell>
          <cell r="D4" t="str">
            <v>Bloomfield Hills, Michigan, United States</v>
          </cell>
          <cell r="E4">
            <v>269</v>
          </cell>
          <cell r="F4">
            <v>261</v>
          </cell>
          <cell r="G4">
            <v>140.76400000000001</v>
          </cell>
          <cell r="H4">
            <v>71.459699999999998</v>
          </cell>
          <cell r="I4">
            <v>84.537499999999994</v>
          </cell>
          <cell r="J4">
            <v>140.76400000000001</v>
          </cell>
          <cell r="K4">
            <v>83.189099999999996</v>
          </cell>
          <cell r="L4">
            <v>81.9268</v>
          </cell>
          <cell r="M4">
            <v>90.562200000000004</v>
          </cell>
          <cell r="N4">
            <v>59.546999999999997</v>
          </cell>
          <cell r="O4">
            <v>24.939900000000002</v>
          </cell>
        </row>
        <row r="5">
          <cell r="A5" t="str">
            <v>60X</v>
          </cell>
          <cell r="B5" t="str">
            <v>Crossfire ⍟</v>
          </cell>
          <cell r="C5" t="str">
            <v>Neobots</v>
          </cell>
          <cell r="D5" t="str">
            <v>Garland, Texas, United States</v>
          </cell>
          <cell r="E5">
            <v>300</v>
          </cell>
          <cell r="F5">
            <v>168</v>
          </cell>
          <cell r="G5">
            <v>185.21600000000001</v>
          </cell>
          <cell r="H5">
            <v>151.179</v>
          </cell>
          <cell r="I5">
            <v>125.11</v>
          </cell>
          <cell r="J5">
            <v>161.44200000000001</v>
          </cell>
          <cell r="K5">
            <v>185.21600000000001</v>
          </cell>
          <cell r="L5">
            <v>83.9161</v>
          </cell>
          <cell r="M5">
            <v>139.94</v>
          </cell>
          <cell r="N5">
            <v>124.596</v>
          </cell>
          <cell r="O5">
            <v>53.4375</v>
          </cell>
          <cell r="P5">
            <v>40.6496</v>
          </cell>
          <cell r="Q5">
            <v>108.425</v>
          </cell>
          <cell r="R5">
            <v>85.322999999999993</v>
          </cell>
        </row>
        <row r="6">
          <cell r="A6" t="str">
            <v>69</v>
          </cell>
          <cell r="B6" t="str">
            <v xml:space="preserve">Hav U Seen? -  🍁 </v>
          </cell>
          <cell r="C6" t="str">
            <v>Independent</v>
          </cell>
          <cell r="D6" t="str">
            <v>Bloomfield Hills, Michigan, United States</v>
          </cell>
          <cell r="E6">
            <v>313</v>
          </cell>
          <cell r="F6">
            <v>296</v>
          </cell>
          <cell r="G6">
            <v>118.947</v>
          </cell>
          <cell r="H6">
            <v>61.668900000000001</v>
          </cell>
          <cell r="I6">
            <v>118.947</v>
          </cell>
          <cell r="J6">
            <v>85.060500000000005</v>
          </cell>
          <cell r="K6">
            <v>65.999300000000005</v>
          </cell>
          <cell r="L6">
            <v>81.7333</v>
          </cell>
          <cell r="M6">
            <v>45.441200000000002</v>
          </cell>
          <cell r="N6">
            <v>22.520299999999999</v>
          </cell>
        </row>
        <row r="7">
          <cell r="A7" t="str">
            <v>134A</v>
          </cell>
          <cell r="B7" t="str">
            <v>Team Discovery -  Alpha</v>
          </cell>
          <cell r="C7" t="str">
            <v>Pembroke Academy</v>
          </cell>
          <cell r="D7" t="str">
            <v>Pembroke, New Hampshire, United States</v>
          </cell>
          <cell r="E7">
            <v>85</v>
          </cell>
          <cell r="F7">
            <v>15</v>
          </cell>
          <cell r="G7">
            <v>69.090599999999995</v>
          </cell>
          <cell r="H7">
            <v>58.788400000000003</v>
          </cell>
          <cell r="I7">
            <v>69.090599999999995</v>
          </cell>
          <cell r="J7">
            <v>46.463299999999997</v>
          </cell>
          <cell r="K7">
            <v>29.940100000000001</v>
          </cell>
          <cell r="L7">
            <v>28.203199999999999</v>
          </cell>
          <cell r="M7">
            <v>49.744399999999999</v>
          </cell>
          <cell r="N7">
            <v>17.308199999999999</v>
          </cell>
        </row>
        <row r="8">
          <cell r="A8" t="str">
            <v>169Y</v>
          </cell>
          <cell r="B8" t="str">
            <v>The Cavalry</v>
          </cell>
          <cell r="C8" t="str">
            <v>Haverford School Robotics</v>
          </cell>
          <cell r="D8" t="str">
            <v>Haverford, Pennsylvania, United States</v>
          </cell>
          <cell r="E8">
            <v>262</v>
          </cell>
          <cell r="F8">
            <v>305</v>
          </cell>
          <cell r="G8">
            <v>104.93</v>
          </cell>
          <cell r="H8">
            <v>104.93</v>
          </cell>
          <cell r="I8">
            <v>77.441900000000004</v>
          </cell>
          <cell r="J8">
            <v>96.641199999999998</v>
          </cell>
          <cell r="K8">
            <v>78.876900000000006</v>
          </cell>
          <cell r="L8">
            <v>89.7012</v>
          </cell>
        </row>
        <row r="9">
          <cell r="A9" t="str">
            <v>200A</v>
          </cell>
          <cell r="B9" t="str">
            <v>LanceBotics - 🍁</v>
          </cell>
          <cell r="C9" t="str">
            <v>Leaside High School</v>
          </cell>
          <cell r="D9" t="str">
            <v>Toronto, Ontario, Canada</v>
          </cell>
          <cell r="E9">
            <v>144</v>
          </cell>
          <cell r="F9">
            <v>189</v>
          </cell>
          <cell r="G9">
            <v>104.59099999999999</v>
          </cell>
          <cell r="H9">
            <v>104.59099999999999</v>
          </cell>
          <cell r="I9">
            <v>96.771299999999997</v>
          </cell>
          <cell r="J9">
            <v>101.545</v>
          </cell>
          <cell r="K9">
            <v>71.581100000000006</v>
          </cell>
          <cell r="L9">
            <v>34.747300000000003</v>
          </cell>
        </row>
        <row r="10">
          <cell r="A10" t="str">
            <v>231X</v>
          </cell>
          <cell r="B10" t="str">
            <v>PASADENA ISD ROBOTICS</v>
          </cell>
          <cell r="C10" t="str">
            <v>PASADENA ISD ROBOTICS</v>
          </cell>
          <cell r="D10" t="str">
            <v>HOUSTON, Texas, United States</v>
          </cell>
          <cell r="E10">
            <v>65</v>
          </cell>
          <cell r="F10">
            <v>81</v>
          </cell>
          <cell r="G10">
            <v>45.8598</v>
          </cell>
          <cell r="H10">
            <v>39.342100000000002</v>
          </cell>
          <cell r="I10">
            <v>37.2333</v>
          </cell>
          <cell r="J10">
            <v>39.482999999999997</v>
          </cell>
          <cell r="K10">
            <v>29.7288</v>
          </cell>
          <cell r="L10">
            <v>45.8598</v>
          </cell>
        </row>
        <row r="11">
          <cell r="A11" t="str">
            <v>266</v>
          </cell>
          <cell r="B11" t="str">
            <v>Meow Meow</v>
          </cell>
          <cell r="C11" t="str">
            <v>Meow Meow</v>
          </cell>
          <cell r="D11" t="str">
            <v>Austin, Texas, United States</v>
          </cell>
          <cell r="E11">
            <v>76</v>
          </cell>
          <cell r="F11">
            <v>0</v>
          </cell>
          <cell r="G11">
            <v>94.887600000000006</v>
          </cell>
          <cell r="H11">
            <v>94.887600000000006</v>
          </cell>
          <cell r="I11">
            <v>83.922499999999999</v>
          </cell>
          <cell r="J11">
            <v>88.667699999999996</v>
          </cell>
          <cell r="K11">
            <v>53.319499999999998</v>
          </cell>
          <cell r="L11">
            <v>21.374300000000002</v>
          </cell>
        </row>
        <row r="12">
          <cell r="A12" t="str">
            <v>333R</v>
          </cell>
          <cell r="B12" t="str">
            <v>Los Robos</v>
          </cell>
          <cell r="C12" t="str">
            <v>Niles North Robotics</v>
          </cell>
          <cell r="D12" t="str">
            <v>Skokie, Illinois, United States</v>
          </cell>
          <cell r="E12">
            <v>266</v>
          </cell>
          <cell r="F12">
            <v>160</v>
          </cell>
          <cell r="G12">
            <v>110.294</v>
          </cell>
          <cell r="H12">
            <v>62.239899999999999</v>
          </cell>
          <cell r="I12">
            <v>110.294</v>
          </cell>
          <cell r="J12">
            <v>99.864699999999999</v>
          </cell>
          <cell r="K12">
            <v>95.008200000000002</v>
          </cell>
          <cell r="L12">
            <v>63.525599999999997</v>
          </cell>
        </row>
        <row r="13">
          <cell r="A13" t="str">
            <v>356B</v>
          </cell>
          <cell r="B13" t="str">
            <v>THE DRAGONS</v>
          </cell>
          <cell r="C13" t="str">
            <v>THE DRAGONS</v>
          </cell>
          <cell r="D13" t="str">
            <v>Brampton, Ontario, Canada</v>
          </cell>
          <cell r="E13">
            <v>2</v>
          </cell>
          <cell r="F13">
            <v>292</v>
          </cell>
          <cell r="G13">
            <v>61.520499999999998</v>
          </cell>
          <cell r="H13">
            <v>61.520499999999998</v>
          </cell>
          <cell r="I13">
            <v>31.004000000000001</v>
          </cell>
          <cell r="J13">
            <v>10.8574</v>
          </cell>
          <cell r="K13">
            <v>-5.9510800000000001</v>
          </cell>
          <cell r="L13">
            <v>46.4619</v>
          </cell>
          <cell r="M13">
            <v>10.047000000000001</v>
          </cell>
        </row>
        <row r="14">
          <cell r="A14" t="str">
            <v>400S</v>
          </cell>
          <cell r="B14" t="str">
            <v>Galveston I.S.D. Robotics</v>
          </cell>
          <cell r="C14" t="str">
            <v>Galveston I.S.D. Robotics</v>
          </cell>
          <cell r="D14" t="str">
            <v>Galveston, Texas, United States</v>
          </cell>
          <cell r="E14">
            <v>240</v>
          </cell>
          <cell r="F14">
            <v>256</v>
          </cell>
          <cell r="G14">
            <v>100.82</v>
          </cell>
          <cell r="H14">
            <v>87.411299999999997</v>
          </cell>
          <cell r="I14">
            <v>74.314300000000003</v>
          </cell>
          <cell r="J14">
            <v>100.82</v>
          </cell>
          <cell r="K14">
            <v>88.004800000000003</v>
          </cell>
          <cell r="L14">
            <v>50.397300000000001</v>
          </cell>
        </row>
        <row r="15">
          <cell r="A15" t="str">
            <v>536C</v>
          </cell>
          <cell r="B15" t="str">
            <v>Life</v>
          </cell>
          <cell r="C15" t="str">
            <v>Xavier High School</v>
          </cell>
          <cell r="D15" t="str">
            <v>Appleton, Wisconsin, United States</v>
          </cell>
          <cell r="E15">
            <v>293</v>
          </cell>
          <cell r="F15">
            <v>311</v>
          </cell>
          <cell r="G15">
            <v>148.916</v>
          </cell>
          <cell r="H15">
            <v>148.916</v>
          </cell>
          <cell r="I15">
            <v>83.472099999999998</v>
          </cell>
          <cell r="J15">
            <v>84.5578</v>
          </cell>
          <cell r="K15">
            <v>50.0867</v>
          </cell>
          <cell r="L15">
            <v>82.779600000000002</v>
          </cell>
          <cell r="M15">
            <v>27.037500000000001</v>
          </cell>
          <cell r="N15">
            <v>0</v>
          </cell>
        </row>
        <row r="16">
          <cell r="A16" t="str">
            <v>586A</v>
          </cell>
          <cell r="B16" t="str">
            <v>PHS A-Team</v>
          </cell>
          <cell r="C16" t="str">
            <v>Plymouth High School</v>
          </cell>
          <cell r="D16" t="str">
            <v>Plymouth, Indiana, United States</v>
          </cell>
          <cell r="E16">
            <v>107</v>
          </cell>
          <cell r="F16">
            <v>253</v>
          </cell>
          <cell r="G16">
            <v>132.64699999999999</v>
          </cell>
          <cell r="H16">
            <v>90.963499999999996</v>
          </cell>
          <cell r="I16">
            <v>123.232</v>
          </cell>
          <cell r="J16">
            <v>112.82299999999999</v>
          </cell>
          <cell r="K16">
            <v>132.64699999999999</v>
          </cell>
          <cell r="L16">
            <v>125.59099999999999</v>
          </cell>
          <cell r="M16">
            <v>112.34099999999999</v>
          </cell>
          <cell r="N16">
            <v>104.749</v>
          </cell>
          <cell r="O16">
            <v>46.073799999999999</v>
          </cell>
        </row>
        <row r="17">
          <cell r="A17" t="str">
            <v>675B</v>
          </cell>
          <cell r="B17" t="str">
            <v>RoboDragons B</v>
          </cell>
          <cell r="C17" t="str">
            <v>Gwinnett School of Mathem, Science, and Technology</v>
          </cell>
          <cell r="D17" t="str">
            <v>Lawrenceville, Georgia, United States</v>
          </cell>
          <cell r="E17">
            <v>153</v>
          </cell>
          <cell r="F17">
            <v>0</v>
          </cell>
          <cell r="G17">
            <v>140.12700000000001</v>
          </cell>
          <cell r="H17">
            <v>97.966999999999999</v>
          </cell>
          <cell r="I17">
            <v>88.053600000000003</v>
          </cell>
          <cell r="J17">
            <v>140.12700000000001</v>
          </cell>
          <cell r="K17">
            <v>104.89</v>
          </cell>
          <cell r="L17">
            <v>92.1892</v>
          </cell>
          <cell r="M17">
            <v>70.372500000000002</v>
          </cell>
          <cell r="N17">
            <v>104.559</v>
          </cell>
        </row>
        <row r="18">
          <cell r="A18" t="str">
            <v>750C</v>
          </cell>
          <cell r="B18" t="str">
            <v>4Chainz</v>
          </cell>
          <cell r="C18" t="str">
            <v>South Brunswick High School</v>
          </cell>
          <cell r="D18" t="str">
            <v>Monmouth Junction, New Jersey, United States</v>
          </cell>
          <cell r="E18">
            <v>255</v>
          </cell>
          <cell r="F18">
            <v>236</v>
          </cell>
          <cell r="G18">
            <v>142.685</v>
          </cell>
          <cell r="H18">
            <v>92.327399999999997</v>
          </cell>
          <cell r="I18">
            <v>142.685</v>
          </cell>
          <cell r="J18">
            <v>108.23699999999999</v>
          </cell>
          <cell r="K18">
            <v>128.423</v>
          </cell>
          <cell r="L18">
            <v>80.612200000000001</v>
          </cell>
          <cell r="M18">
            <v>67.147499999999994</v>
          </cell>
          <cell r="N18">
            <v>14.663</v>
          </cell>
        </row>
        <row r="19">
          <cell r="A19" t="str">
            <v>824B</v>
          </cell>
          <cell r="B19" t="str">
            <v>AHS Robotics</v>
          </cell>
          <cell r="C19" t="str">
            <v>Armijo High School</v>
          </cell>
          <cell r="D19" t="str">
            <v>Fairfield, California, United States</v>
          </cell>
          <cell r="E19">
            <v>188</v>
          </cell>
          <cell r="F19">
            <v>180</v>
          </cell>
          <cell r="G19">
            <v>87.253200000000007</v>
          </cell>
          <cell r="H19">
            <v>87.253200000000007</v>
          </cell>
          <cell r="I19">
            <v>73.114599999999996</v>
          </cell>
          <cell r="J19">
            <v>56.740900000000003</v>
          </cell>
          <cell r="K19">
            <v>72.458100000000002</v>
          </cell>
          <cell r="L19">
            <v>33.3414</v>
          </cell>
        </row>
        <row r="20">
          <cell r="A20" t="str">
            <v>929W</v>
          </cell>
          <cell r="B20" t="str">
            <v>Hereford Zone Robotics</v>
          </cell>
          <cell r="C20" t="str">
            <v>Hereford High School</v>
          </cell>
          <cell r="D20" t="str">
            <v>Parkton, Maryland, United States</v>
          </cell>
          <cell r="E20">
            <v>294</v>
          </cell>
          <cell r="F20">
            <v>287</v>
          </cell>
          <cell r="G20">
            <v>126.083</v>
          </cell>
          <cell r="H20">
            <v>90.029300000000006</v>
          </cell>
          <cell r="I20">
            <v>126.083</v>
          </cell>
          <cell r="J20">
            <v>94.180599999999998</v>
          </cell>
          <cell r="K20">
            <v>94.916799999999995</v>
          </cell>
          <cell r="L20">
            <v>77.675600000000003</v>
          </cell>
          <cell r="M20">
            <v>72.485500000000002</v>
          </cell>
          <cell r="N20">
            <v>42.474499999999999</v>
          </cell>
          <cell r="O20">
            <v>72.3767</v>
          </cell>
        </row>
        <row r="21">
          <cell r="A21" t="str">
            <v>986B</v>
          </cell>
          <cell r="B21" t="str">
            <v>Lancers B</v>
          </cell>
          <cell r="C21" t="str">
            <v>Grace Brethren JH/High School</v>
          </cell>
          <cell r="D21" t="str">
            <v>Simi Valley, California, United States</v>
          </cell>
          <cell r="E21">
            <v>320</v>
          </cell>
          <cell r="F21">
            <v>302</v>
          </cell>
          <cell r="G21">
            <v>161.22200000000001</v>
          </cell>
          <cell r="H21">
            <v>145.33500000000001</v>
          </cell>
          <cell r="I21">
            <v>161.22200000000001</v>
          </cell>
          <cell r="J21">
            <v>160.44900000000001</v>
          </cell>
          <cell r="K21">
            <v>132.45699999999999</v>
          </cell>
          <cell r="L21">
            <v>105.256</v>
          </cell>
        </row>
        <row r="22">
          <cell r="A22" t="str">
            <v>1045D</v>
          </cell>
          <cell r="B22" t="str">
            <v>OPS - The Bunny Overload</v>
          </cell>
          <cell r="C22" t="str">
            <v>Benson High Magnet  School</v>
          </cell>
          <cell r="D22" t="str">
            <v>Omaha, Nebraska, United States</v>
          </cell>
          <cell r="E22">
            <v>265</v>
          </cell>
          <cell r="F22">
            <v>131</v>
          </cell>
          <cell r="G22">
            <v>157.55199999999999</v>
          </cell>
          <cell r="H22">
            <v>157.55199999999999</v>
          </cell>
          <cell r="I22">
            <v>139.41399999999999</v>
          </cell>
          <cell r="J22">
            <v>129.596</v>
          </cell>
          <cell r="K22">
            <v>86.732100000000003</v>
          </cell>
          <cell r="L22">
            <v>102.85899999999999</v>
          </cell>
        </row>
        <row r="23">
          <cell r="A23" t="str">
            <v>1104H</v>
          </cell>
          <cell r="B23" t="str">
            <v>Discobots ჩ - 🍁 #Pray4Harri2k16</v>
          </cell>
          <cell r="C23" t="str">
            <v>Brampton Robotics Education</v>
          </cell>
          <cell r="D23" t="str">
            <v>Brampton, Ontario, Canada</v>
          </cell>
          <cell r="E23">
            <v>356</v>
          </cell>
          <cell r="F23">
            <v>0</v>
          </cell>
        </row>
        <row r="24">
          <cell r="A24" t="str">
            <v>1114M</v>
          </cell>
          <cell r="B24" t="str">
            <v>Simbotics</v>
          </cell>
          <cell r="C24" t="str">
            <v>Governor Simcoe Secondary School</v>
          </cell>
          <cell r="D24" t="str">
            <v>St Catharines, Ontario, Canada</v>
          </cell>
          <cell r="E24">
            <v>320</v>
          </cell>
          <cell r="F24">
            <v>291</v>
          </cell>
          <cell r="G24">
            <v>132.738</v>
          </cell>
          <cell r="H24">
            <v>123.08199999999999</v>
          </cell>
          <cell r="I24">
            <v>31.989899999999999</v>
          </cell>
          <cell r="J24">
            <v>132.738</v>
          </cell>
        </row>
        <row r="25">
          <cell r="A25" t="str">
            <v>1200F</v>
          </cell>
          <cell r="B25" t="str">
            <v>1200F Z-Ballers</v>
          </cell>
          <cell r="C25" t="str">
            <v>St. Mary Catholic High School</v>
          </cell>
          <cell r="D25" t="str">
            <v>Neenah, Wisconsin, United States</v>
          </cell>
          <cell r="E25">
            <v>318</v>
          </cell>
          <cell r="F25">
            <v>155</v>
          </cell>
          <cell r="G25">
            <v>87.565399999999997</v>
          </cell>
          <cell r="H25">
            <v>86.377499999999998</v>
          </cell>
          <cell r="I25">
            <v>71.084500000000006</v>
          </cell>
          <cell r="J25">
            <v>83.334100000000007</v>
          </cell>
          <cell r="K25">
            <v>64.665000000000006</v>
          </cell>
          <cell r="L25">
            <v>87.565399999999997</v>
          </cell>
          <cell r="M25">
            <v>54.281500000000001</v>
          </cell>
          <cell r="N25">
            <v>79.992599999999996</v>
          </cell>
          <cell r="O25">
            <v>47.991399999999999</v>
          </cell>
          <cell r="P25">
            <v>86.453500000000005</v>
          </cell>
          <cell r="Q25">
            <v>49.219900000000003</v>
          </cell>
          <cell r="R25">
            <v>0</v>
          </cell>
        </row>
        <row r="26">
          <cell r="A26" t="str">
            <v>1320C</v>
          </cell>
          <cell r="B26" t="str">
            <v>Tucker High Robotigers</v>
          </cell>
          <cell r="C26" t="str">
            <v>Tucker High School - DeKalb County School Sytem</v>
          </cell>
          <cell r="D26" t="str">
            <v>Tucker, Georgia, United States</v>
          </cell>
          <cell r="E26">
            <v>266</v>
          </cell>
          <cell r="F26">
            <v>173</v>
          </cell>
          <cell r="G26">
            <v>95.037099999999995</v>
          </cell>
          <cell r="H26">
            <v>64.242500000000007</v>
          </cell>
          <cell r="I26">
            <v>61.619700000000002</v>
          </cell>
          <cell r="J26">
            <v>72.203000000000003</v>
          </cell>
          <cell r="K26">
            <v>95.037099999999995</v>
          </cell>
          <cell r="L26">
            <v>80.783900000000003</v>
          </cell>
          <cell r="M26">
            <v>38.0137</v>
          </cell>
        </row>
        <row r="27">
          <cell r="A27" t="str">
            <v>1356B</v>
          </cell>
          <cell r="B27" t="str">
            <v>Parkview Panthers Team B</v>
          </cell>
          <cell r="C27" t="str">
            <v>Parkview High School - Gwinnett</v>
          </cell>
          <cell r="D27" t="str">
            <v>Lilburn, Georgia, United States</v>
          </cell>
          <cell r="E27">
            <v>303</v>
          </cell>
          <cell r="F27">
            <v>10</v>
          </cell>
          <cell r="G27">
            <v>94.680400000000006</v>
          </cell>
          <cell r="H27">
            <v>94.680400000000006</v>
          </cell>
          <cell r="I27">
            <v>38.5809</v>
          </cell>
          <cell r="J27">
            <v>37.7209</v>
          </cell>
          <cell r="K27">
            <v>46.5047</v>
          </cell>
          <cell r="L27">
            <v>58.5548</v>
          </cell>
          <cell r="M27">
            <v>19.010200000000001</v>
          </cell>
          <cell r="N27">
            <v>9.5456699999999994</v>
          </cell>
        </row>
        <row r="28">
          <cell r="A28" t="str">
            <v>1410L</v>
          </cell>
          <cell r="B28" t="str">
            <v>Utopic Unicorns</v>
          </cell>
          <cell r="C28" t="str">
            <v>Newport and Interlake HS</v>
          </cell>
          <cell r="D28" t="str">
            <v>Bellevue, Washington, United States</v>
          </cell>
          <cell r="E28">
            <v>280</v>
          </cell>
          <cell r="F28">
            <v>295</v>
          </cell>
          <cell r="G28">
            <v>119.976</v>
          </cell>
          <cell r="H28">
            <v>114.49</v>
          </cell>
          <cell r="I28">
            <v>96.1798</v>
          </cell>
          <cell r="J28">
            <v>108.34099999999999</v>
          </cell>
          <cell r="K28">
            <v>119.976</v>
          </cell>
          <cell r="L28">
            <v>36.528100000000002</v>
          </cell>
          <cell r="M28">
            <v>52.006999999999998</v>
          </cell>
        </row>
        <row r="29">
          <cell r="A29" t="str">
            <v>1492X</v>
          </cell>
          <cell r="B29" t="str">
            <v>W.A.S.A.B.I.</v>
          </cell>
          <cell r="C29" t="str">
            <v>Big Brains Education</v>
          </cell>
          <cell r="D29" t="str">
            <v>Bellevue, Washington, United States</v>
          </cell>
          <cell r="E29">
            <v>274</v>
          </cell>
          <cell r="F29">
            <v>111</v>
          </cell>
          <cell r="G29">
            <v>81.234700000000004</v>
          </cell>
          <cell r="H29">
            <v>35.572200000000002</v>
          </cell>
          <cell r="I29">
            <v>81.234700000000004</v>
          </cell>
          <cell r="J29">
            <v>62.0122</v>
          </cell>
          <cell r="K29">
            <v>55.885599999999997</v>
          </cell>
          <cell r="L29">
            <v>19.780799999999999</v>
          </cell>
          <cell r="M29">
            <v>35.318399999999997</v>
          </cell>
          <cell r="N29">
            <v>15.5799</v>
          </cell>
        </row>
        <row r="30">
          <cell r="A30" t="str">
            <v>1575A</v>
          </cell>
          <cell r="B30" t="str">
            <v>Athena</v>
          </cell>
          <cell r="C30" t="str">
            <v>Woodbridge Senior High School</v>
          </cell>
          <cell r="D30" t="str">
            <v>Woodbridge, Virginia, United States</v>
          </cell>
          <cell r="E30">
            <v>271</v>
          </cell>
          <cell r="F30">
            <v>250</v>
          </cell>
          <cell r="G30">
            <v>149.38300000000001</v>
          </cell>
          <cell r="H30">
            <v>102.536</v>
          </cell>
          <cell r="I30">
            <v>113.19199999999999</v>
          </cell>
          <cell r="J30">
            <v>149.38300000000001</v>
          </cell>
          <cell r="K30">
            <v>90.935000000000002</v>
          </cell>
          <cell r="L30">
            <v>41.176499999999997</v>
          </cell>
          <cell r="M30">
            <v>65.584900000000005</v>
          </cell>
          <cell r="N30">
            <v>49.987400000000001</v>
          </cell>
        </row>
        <row r="31">
          <cell r="A31" t="str">
            <v>1588B</v>
          </cell>
          <cell r="B31" t="str">
            <v>Wayne Enterprises</v>
          </cell>
          <cell r="C31" t="str">
            <v>Wood River High School</v>
          </cell>
          <cell r="D31" t="str">
            <v>Hailey, Idaho, United States</v>
          </cell>
          <cell r="E31">
            <v>0</v>
          </cell>
          <cell r="F31">
            <v>0</v>
          </cell>
          <cell r="G31">
            <v>118.71899999999999</v>
          </cell>
          <cell r="H31">
            <v>91.709299999999999</v>
          </cell>
          <cell r="I31">
            <v>103.608</v>
          </cell>
          <cell r="J31">
            <v>118.71899999999999</v>
          </cell>
          <cell r="K31">
            <v>76.202699999999993</v>
          </cell>
          <cell r="L31">
            <v>91.826700000000002</v>
          </cell>
          <cell r="M31">
            <v>38.032400000000003</v>
          </cell>
        </row>
        <row r="32">
          <cell r="A32" t="str">
            <v>1826</v>
          </cell>
          <cell r="B32" t="str">
            <v>The Fuse</v>
          </cell>
          <cell r="C32" t="str">
            <v>Faith Christian Academy</v>
          </cell>
          <cell r="D32" t="str">
            <v>Arvada, Colorado, United States</v>
          </cell>
          <cell r="E32">
            <v>286</v>
          </cell>
          <cell r="F32">
            <v>321</v>
          </cell>
          <cell r="G32">
            <v>117.806</v>
          </cell>
          <cell r="H32">
            <v>104.565</v>
          </cell>
          <cell r="I32">
            <v>113.861</v>
          </cell>
          <cell r="J32">
            <v>105.074</v>
          </cell>
          <cell r="K32">
            <v>117.806</v>
          </cell>
          <cell r="L32">
            <v>78.166799999999995</v>
          </cell>
        </row>
        <row r="33">
          <cell r="A33" t="str">
            <v>1970K</v>
          </cell>
          <cell r="B33" t="str">
            <v>Knight Shift</v>
          </cell>
          <cell r="C33" t="str">
            <v>Mount Michael Benedictine High School</v>
          </cell>
          <cell r="D33" t="str">
            <v>Elkhorn, Nebraska, United States</v>
          </cell>
          <cell r="E33">
            <v>297</v>
          </cell>
          <cell r="F33">
            <v>302</v>
          </cell>
          <cell r="G33">
            <v>89.0488</v>
          </cell>
          <cell r="H33">
            <v>88.721800000000002</v>
          </cell>
          <cell r="I33">
            <v>89.0488</v>
          </cell>
          <cell r="J33">
            <v>75.042400000000001</v>
          </cell>
          <cell r="K33">
            <v>47.041699999999999</v>
          </cell>
          <cell r="L33">
            <v>33.590000000000003</v>
          </cell>
          <cell r="M33">
            <v>66.888000000000005</v>
          </cell>
          <cell r="N33">
            <v>51.243099999999998</v>
          </cell>
        </row>
        <row r="34">
          <cell r="A34" t="str">
            <v>2059A</v>
          </cell>
          <cell r="B34" t="str">
            <v>Matadors</v>
          </cell>
          <cell r="C34" t="str">
            <v>Mira Loma High School</v>
          </cell>
          <cell r="D34" t="str">
            <v>Sacramento, California, United States</v>
          </cell>
          <cell r="E34">
            <v>248</v>
          </cell>
          <cell r="F34">
            <v>325</v>
          </cell>
          <cell r="G34">
            <v>63.3688</v>
          </cell>
          <cell r="H34">
            <v>30.977799999999998</v>
          </cell>
          <cell r="I34">
            <v>19.994499999999999</v>
          </cell>
          <cell r="J34">
            <v>42.509500000000003</v>
          </cell>
          <cell r="K34">
            <v>63.3688</v>
          </cell>
        </row>
        <row r="35">
          <cell r="A35" t="str">
            <v>2131E</v>
          </cell>
          <cell r="B35" t="str">
            <v>How do you turn this on?</v>
          </cell>
          <cell r="C35" t="str">
            <v>Davis High School</v>
          </cell>
          <cell r="D35" t="str">
            <v>Kaysville, Utah, United States</v>
          </cell>
          <cell r="E35">
            <v>325</v>
          </cell>
          <cell r="F35">
            <v>296</v>
          </cell>
          <cell r="G35">
            <v>146.57400000000001</v>
          </cell>
          <cell r="H35">
            <v>0</v>
          </cell>
          <cell r="I35">
            <v>71.516499999999994</v>
          </cell>
          <cell r="J35">
            <v>93.179000000000002</v>
          </cell>
          <cell r="K35">
            <v>89.042100000000005</v>
          </cell>
          <cell r="L35">
            <v>113.093</v>
          </cell>
          <cell r="M35">
            <v>126.337</v>
          </cell>
          <cell r="N35">
            <v>123.038</v>
          </cell>
          <cell r="O35">
            <v>111.53700000000001</v>
          </cell>
          <cell r="P35">
            <v>129.94800000000001</v>
          </cell>
          <cell r="Q35">
            <v>146.57400000000001</v>
          </cell>
          <cell r="R35">
            <v>123.547</v>
          </cell>
        </row>
        <row r="36">
          <cell r="A36" t="str">
            <v>2223A</v>
          </cell>
          <cell r="B36" t="str">
            <v>U.H.S. - ADV HS A</v>
          </cell>
          <cell r="C36" t="str">
            <v>U.H.S.</v>
          </cell>
          <cell r="D36" t="str">
            <v>San Juan, Not Applicable or Not Listed, Puerto Rico</v>
          </cell>
          <cell r="E36">
            <v>144</v>
          </cell>
          <cell r="F36">
            <v>86</v>
          </cell>
          <cell r="G36">
            <v>111.355</v>
          </cell>
          <cell r="H36">
            <v>72.239599999999996</v>
          </cell>
          <cell r="I36">
            <v>111.355</v>
          </cell>
          <cell r="J36">
            <v>83.601699999999994</v>
          </cell>
        </row>
        <row r="37">
          <cell r="A37" t="str">
            <v>2398D</v>
          </cell>
          <cell r="B37" t="str">
            <v>AI's - Delta</v>
          </cell>
          <cell r="C37" t="str">
            <v>Sequoyah Schools</v>
          </cell>
          <cell r="D37" t="str">
            <v>Tahlequah, Oklahoma, United States</v>
          </cell>
          <cell r="E37">
            <v>80</v>
          </cell>
          <cell r="F37">
            <v>85</v>
          </cell>
          <cell r="G37">
            <v>102.578</v>
          </cell>
          <cell r="H37">
            <v>58.474299999999999</v>
          </cell>
          <cell r="I37">
            <v>60.206000000000003</v>
          </cell>
          <cell r="J37">
            <v>102.578</v>
          </cell>
          <cell r="K37">
            <v>32.4193</v>
          </cell>
        </row>
        <row r="38">
          <cell r="A38" t="str">
            <v>2501J</v>
          </cell>
          <cell r="B38" t="str">
            <v>Full Metal Jackets</v>
          </cell>
          <cell r="C38" t="str">
            <v>Thomas Jefferson High School</v>
          </cell>
          <cell r="D38" t="str">
            <v>Council Bluffs, Iowa, United States</v>
          </cell>
          <cell r="E38">
            <v>320</v>
          </cell>
          <cell r="F38">
            <v>305</v>
          </cell>
          <cell r="G38">
            <v>159.93700000000001</v>
          </cell>
          <cell r="H38">
            <v>96.953900000000004</v>
          </cell>
          <cell r="I38">
            <v>109.473</v>
          </cell>
          <cell r="J38">
            <v>159.93700000000001</v>
          </cell>
          <cell r="K38">
            <v>103.727</v>
          </cell>
          <cell r="L38">
            <v>67.284599999999998</v>
          </cell>
          <cell r="M38">
            <v>129.785</v>
          </cell>
          <cell r="N38">
            <v>105.926</v>
          </cell>
          <cell r="O38">
            <v>102.877</v>
          </cell>
          <cell r="P38">
            <v>82.574200000000005</v>
          </cell>
          <cell r="Q38">
            <v>68.384500000000003</v>
          </cell>
          <cell r="R38">
            <v>85.137</v>
          </cell>
        </row>
        <row r="39">
          <cell r="A39" t="str">
            <v>2587Z</v>
          </cell>
          <cell r="B39" t="str">
            <v>DiscoBots ℤ - 🍁 #pray4tamas</v>
          </cell>
          <cell r="C39" t="str">
            <v>🏀 DiscoBots 🏀</v>
          </cell>
          <cell r="D39" t="str">
            <v>Houston, Texas, United States</v>
          </cell>
          <cell r="E39">
            <v>457</v>
          </cell>
          <cell r="F39">
            <v>160</v>
          </cell>
          <cell r="G39">
            <v>147.64500000000001</v>
          </cell>
          <cell r="H39">
            <v>123.07</v>
          </cell>
          <cell r="I39">
            <v>147.64500000000001</v>
          </cell>
          <cell r="J39">
            <v>85.149299999999997</v>
          </cell>
        </row>
        <row r="40">
          <cell r="A40" t="str">
            <v>2719C</v>
          </cell>
          <cell r="B40" t="str">
            <v>The Mike Wang Experience</v>
          </cell>
          <cell r="C40" t="str">
            <v>Triton Central High School</v>
          </cell>
          <cell r="D40" t="str">
            <v>Fairland, Indiana, United States</v>
          </cell>
          <cell r="E40">
            <v>325</v>
          </cell>
          <cell r="F40">
            <v>315</v>
          </cell>
          <cell r="G40">
            <v>151.34100000000001</v>
          </cell>
          <cell r="H40">
            <v>96.649199999999993</v>
          </cell>
          <cell r="I40">
            <v>134.45599999999999</v>
          </cell>
          <cell r="J40">
            <v>128.71299999999999</v>
          </cell>
          <cell r="K40">
            <v>151.34100000000001</v>
          </cell>
          <cell r="L40">
            <v>120.943</v>
          </cell>
          <cell r="M40">
            <v>81.594700000000003</v>
          </cell>
          <cell r="N40">
            <v>62.901400000000002</v>
          </cell>
          <cell r="O40">
            <v>23.585599999999999</v>
          </cell>
        </row>
        <row r="41">
          <cell r="A41" t="str">
            <v>2918A</v>
          </cell>
          <cell r="B41" t="str">
            <v>GCEC A</v>
          </cell>
          <cell r="C41" t="str">
            <v>Glenfield College</v>
          </cell>
          <cell r="D41" t="str">
            <v>Glenfield, Not Applicable or Not Listed, New Zealand</v>
          </cell>
          <cell r="E41">
            <v>0</v>
          </cell>
          <cell r="F41">
            <v>0</v>
          </cell>
          <cell r="G41">
            <v>107.33199999999999</v>
          </cell>
          <cell r="H41">
            <v>83.511099999999999</v>
          </cell>
          <cell r="I41">
            <v>107.33199999999999</v>
          </cell>
          <cell r="J41">
            <v>74.302800000000005</v>
          </cell>
        </row>
        <row r="42">
          <cell r="A42" t="str">
            <v>3118A</v>
          </cell>
          <cell r="B42" t="str">
            <v>IVEX</v>
          </cell>
          <cell r="C42" t="str">
            <v>Clear Creek ISD</v>
          </cell>
          <cell r="D42" t="str">
            <v>League City, Texas, United States</v>
          </cell>
          <cell r="E42">
            <v>346</v>
          </cell>
          <cell r="F42">
            <v>145</v>
          </cell>
          <cell r="G42">
            <v>179.071</v>
          </cell>
          <cell r="H42">
            <v>179.071</v>
          </cell>
          <cell r="I42">
            <v>131.09299999999999</v>
          </cell>
          <cell r="J42">
            <v>100.76</v>
          </cell>
          <cell r="K42">
            <v>33.687600000000003</v>
          </cell>
          <cell r="L42">
            <v>36.582999999999998</v>
          </cell>
        </row>
        <row r="43">
          <cell r="A43" t="str">
            <v>3288A</v>
          </cell>
          <cell r="B43" t="str">
            <v>China ROBOTC</v>
          </cell>
          <cell r="C43" t="str">
            <v>ChinaRobotC</v>
          </cell>
          <cell r="D43" t="str">
            <v>Xi'an, Not Applicable or Not Listed, China</v>
          </cell>
          <cell r="E43">
            <v>0</v>
          </cell>
          <cell r="F43">
            <v>316</v>
          </cell>
        </row>
        <row r="44">
          <cell r="A44" t="str">
            <v>3388</v>
          </cell>
          <cell r="B44" t="str">
            <v>Foobar</v>
          </cell>
          <cell r="C44" t="str">
            <v>Sir Winston Churchill High School</v>
          </cell>
          <cell r="D44" t="str">
            <v>Calgary, Alberta, Canada</v>
          </cell>
          <cell r="E44">
            <v>422</v>
          </cell>
          <cell r="F44">
            <v>201</v>
          </cell>
          <cell r="G44">
            <v>150.30000000000001</v>
          </cell>
          <cell r="H44">
            <v>142.435</v>
          </cell>
          <cell r="I44">
            <v>150.30000000000001</v>
          </cell>
          <cell r="J44">
            <v>105.122</v>
          </cell>
          <cell r="K44">
            <v>69.044200000000004</v>
          </cell>
        </row>
        <row r="45">
          <cell r="A45" t="str">
            <v>3702G</v>
          </cell>
          <cell r="B45" t="str">
            <v>Robo-ADS</v>
          </cell>
          <cell r="C45" t="str">
            <v>Danville High School</v>
          </cell>
          <cell r="D45" t="str">
            <v>Danville, Kentucky, United States</v>
          </cell>
          <cell r="E45">
            <v>275</v>
          </cell>
          <cell r="F45">
            <v>150</v>
          </cell>
          <cell r="G45">
            <v>121.375</v>
          </cell>
          <cell r="H45">
            <v>121.375</v>
          </cell>
          <cell r="I45">
            <v>106.051</v>
          </cell>
          <cell r="J45">
            <v>74.806700000000006</v>
          </cell>
        </row>
        <row r="46">
          <cell r="A46" t="str">
            <v>3921C</v>
          </cell>
          <cell r="B46" t="str">
            <v>RoboPhoenix</v>
          </cell>
          <cell r="C46" t="str">
            <v>Carroll County College And Career Academy</v>
          </cell>
          <cell r="D46" t="str">
            <v>Carrollton, Georgia, United States</v>
          </cell>
          <cell r="E46">
            <v>92</v>
          </cell>
          <cell r="F46">
            <v>81</v>
          </cell>
          <cell r="G46">
            <v>91.962800000000001</v>
          </cell>
          <cell r="H46">
            <v>91.962800000000001</v>
          </cell>
          <cell r="I46">
            <v>78.346400000000003</v>
          </cell>
          <cell r="J46">
            <v>51.277700000000003</v>
          </cell>
          <cell r="K46">
            <v>71.2774</v>
          </cell>
          <cell r="L46">
            <v>71.292500000000004</v>
          </cell>
          <cell r="M46">
            <v>57.8155</v>
          </cell>
          <cell r="N46">
            <v>29.249099999999999</v>
          </cell>
          <cell r="O46">
            <v>20.755099999999999</v>
          </cell>
          <cell r="P46">
            <v>38.106099999999998</v>
          </cell>
        </row>
        <row r="47">
          <cell r="A47" t="str">
            <v>4004A</v>
          </cell>
          <cell r="B47" t="str">
            <v>Warrior Robotics</v>
          </cell>
          <cell r="C47" t="str">
            <v>Boone-Apache TSA</v>
          </cell>
          <cell r="D47" t="str">
            <v>Apache, Oklahoma, United States</v>
          </cell>
          <cell r="E47">
            <v>311</v>
          </cell>
          <cell r="F47">
            <v>155</v>
          </cell>
          <cell r="G47">
            <v>159.11500000000001</v>
          </cell>
          <cell r="H47">
            <v>127.383</v>
          </cell>
          <cell r="I47">
            <v>100.32899999999999</v>
          </cell>
          <cell r="J47">
            <v>123.634</v>
          </cell>
          <cell r="K47">
            <v>159.11500000000001</v>
          </cell>
        </row>
        <row r="48">
          <cell r="A48" t="str">
            <v>4142B</v>
          </cell>
          <cell r="B48" t="str">
            <v>Pearl City High School</v>
          </cell>
          <cell r="C48" t="str">
            <v>Pearl City High School</v>
          </cell>
          <cell r="D48" t="str">
            <v>Pearl City, Hawaii, United States</v>
          </cell>
          <cell r="E48">
            <v>291</v>
          </cell>
          <cell r="F48">
            <v>142</v>
          </cell>
          <cell r="G48">
            <v>101.355</v>
          </cell>
          <cell r="H48">
            <v>75.552400000000006</v>
          </cell>
          <cell r="I48">
            <v>94.464600000000004</v>
          </cell>
          <cell r="J48">
            <v>101.355</v>
          </cell>
          <cell r="K48">
            <v>55.485599999999998</v>
          </cell>
        </row>
        <row r="49">
          <cell r="A49" t="str">
            <v>4154C</v>
          </cell>
          <cell r="B49" t="str">
            <v>U.S.S.R.</v>
          </cell>
          <cell r="C49" t="str">
            <v>University School of Nova Southeastern University</v>
          </cell>
          <cell r="D49" t="str">
            <v>Fort Lauderdale, Florida, United States</v>
          </cell>
          <cell r="E49">
            <v>16</v>
          </cell>
          <cell r="F49">
            <v>0</v>
          </cell>
          <cell r="G49">
            <v>34.290599999999998</v>
          </cell>
          <cell r="H49">
            <v>31.085799999999999</v>
          </cell>
          <cell r="I49">
            <v>34.290599999999998</v>
          </cell>
          <cell r="J49">
            <v>17.877199999999998</v>
          </cell>
          <cell r="K49">
            <v>5.9264299999999999</v>
          </cell>
        </row>
        <row r="50">
          <cell r="A50" t="str">
            <v>4334A</v>
          </cell>
          <cell r="B50" t="str">
            <v>YIC 1</v>
          </cell>
          <cell r="C50" t="str">
            <v>Youth Innovation Center</v>
          </cell>
          <cell r="D50" t="str">
            <v>Manama, Not Applicable or Not Listed, Bahrain</v>
          </cell>
          <cell r="E50">
            <v>0</v>
          </cell>
          <cell r="F50">
            <v>0</v>
          </cell>
          <cell r="G50">
            <v>49.713500000000003</v>
          </cell>
          <cell r="H50">
            <v>49.713500000000003</v>
          </cell>
        </row>
        <row r="51">
          <cell r="A51" t="str">
            <v>4478C</v>
          </cell>
          <cell r="B51" t="str">
            <v>VEXED</v>
          </cell>
          <cell r="C51" t="str">
            <v>Masuk High School Robotics Team</v>
          </cell>
          <cell r="D51" t="str">
            <v>Monroe, Connecticut, United States</v>
          </cell>
          <cell r="E51">
            <v>101</v>
          </cell>
          <cell r="F51">
            <v>115</v>
          </cell>
          <cell r="G51">
            <v>96.064800000000005</v>
          </cell>
          <cell r="H51">
            <v>70.293499999999995</v>
          </cell>
          <cell r="I51">
            <v>50.641100000000002</v>
          </cell>
          <cell r="J51">
            <v>96.064800000000005</v>
          </cell>
          <cell r="K51">
            <v>45.6646</v>
          </cell>
          <cell r="L51">
            <v>70.819100000000006</v>
          </cell>
          <cell r="M51">
            <v>61.215499999999999</v>
          </cell>
          <cell r="N51">
            <v>21.430599999999998</v>
          </cell>
        </row>
        <row r="52">
          <cell r="A52" t="str">
            <v>4659D</v>
          </cell>
          <cell r="B52" t="str">
            <v>Warrior Robotix D</v>
          </cell>
          <cell r="C52" t="str">
            <v>Port Credit Secondary School</v>
          </cell>
          <cell r="D52" t="str">
            <v>Mississauga, Ontario, Canada</v>
          </cell>
          <cell r="E52">
            <v>356</v>
          </cell>
          <cell r="F52">
            <v>0</v>
          </cell>
          <cell r="G52">
            <v>140.72200000000001</v>
          </cell>
          <cell r="H52">
            <v>140.72200000000001</v>
          </cell>
          <cell r="I52">
            <v>100.599</v>
          </cell>
          <cell r="J52">
            <v>84.398300000000006</v>
          </cell>
          <cell r="K52">
            <v>24.293399999999998</v>
          </cell>
        </row>
        <row r="53">
          <cell r="A53" t="str">
            <v>4815A</v>
          </cell>
          <cell r="B53" t="str">
            <v>CPC A TEAM</v>
          </cell>
          <cell r="C53" t="str">
            <v>WEO CHANG PUI CHUNG MEMORIAL SCHOOL</v>
          </cell>
          <cell r="D53" t="str">
            <v>TSEUNG KWAN O, Not Applicable or Not Listed, Hong Kong</v>
          </cell>
          <cell r="E53">
            <v>0</v>
          </cell>
          <cell r="F53">
            <v>171</v>
          </cell>
          <cell r="G53">
            <v>53.069400000000002</v>
          </cell>
          <cell r="H53">
            <v>53.069400000000002</v>
          </cell>
        </row>
        <row r="54">
          <cell r="A54" t="str">
            <v>4828S</v>
          </cell>
          <cell r="B54" t="str">
            <v>BrewTech Robotics - S</v>
          </cell>
          <cell r="C54" t="str">
            <v>Brewbaker Technology Magnet High School</v>
          </cell>
          <cell r="D54" t="str">
            <v>Montgomery, Alabama, United States</v>
          </cell>
          <cell r="E54">
            <v>127</v>
          </cell>
          <cell r="F54">
            <v>82</v>
          </cell>
          <cell r="G54">
            <v>85.906199999999998</v>
          </cell>
          <cell r="H54">
            <v>85.906199999999998</v>
          </cell>
          <cell r="I54">
            <v>29.715699999999998</v>
          </cell>
          <cell r="J54">
            <v>36.690199999999997</v>
          </cell>
          <cell r="K54">
            <v>32.0274</v>
          </cell>
        </row>
        <row r="55">
          <cell r="A55" t="str">
            <v>5062A</v>
          </cell>
          <cell r="B55" t="str">
            <v>Red Fox</v>
          </cell>
          <cell r="C55" t="str">
            <v>Fox Valley Lutheran High School</v>
          </cell>
          <cell r="D55" t="str">
            <v>Appleton, Wisconsin, United States</v>
          </cell>
          <cell r="E55">
            <v>290</v>
          </cell>
          <cell r="F55">
            <v>280</v>
          </cell>
          <cell r="G55">
            <v>116.646</v>
          </cell>
          <cell r="H55">
            <v>96.074200000000005</v>
          </cell>
          <cell r="I55">
            <v>101.455</v>
          </cell>
          <cell r="J55">
            <v>113.387</v>
          </cell>
          <cell r="K55">
            <v>80.169899999999998</v>
          </cell>
          <cell r="L55">
            <v>96.9328</v>
          </cell>
          <cell r="M55">
            <v>116.646</v>
          </cell>
          <cell r="N55">
            <v>69.486599999999996</v>
          </cell>
          <cell r="O55">
            <v>75.136600000000001</v>
          </cell>
        </row>
        <row r="56">
          <cell r="A56" t="str">
            <v>5107C</v>
          </cell>
          <cell r="B56" t="str">
            <v>Independencia C</v>
          </cell>
          <cell r="C56" t="str">
            <v>CECYTECH PLANTEL 31 La Independencia</v>
          </cell>
          <cell r="D56" t="str">
            <v>La Concordia, Chiapas, Chiapas, Mexico</v>
          </cell>
          <cell r="E56">
            <v>0</v>
          </cell>
          <cell r="F56">
            <v>0</v>
          </cell>
          <cell r="G56">
            <v>95.600300000000004</v>
          </cell>
          <cell r="H56">
            <v>95.600300000000004</v>
          </cell>
          <cell r="I56">
            <v>37.488900000000001</v>
          </cell>
          <cell r="J56">
            <v>-11.188700000000001</v>
          </cell>
        </row>
        <row r="57">
          <cell r="A57" t="str">
            <v>5221B</v>
          </cell>
          <cell r="B57" t="str">
            <v>Cougar Robotics</v>
          </cell>
          <cell r="C57" t="str">
            <v>Corcoran High School ~ SCSD</v>
          </cell>
          <cell r="D57" t="str">
            <v>Syracuse, New York, United States</v>
          </cell>
          <cell r="E57">
            <v>86</v>
          </cell>
          <cell r="F57">
            <v>49</v>
          </cell>
          <cell r="G57">
            <v>64.179500000000004</v>
          </cell>
          <cell r="H57">
            <v>64.179500000000004</v>
          </cell>
          <cell r="I57">
            <v>24.742100000000001</v>
          </cell>
          <cell r="J57">
            <v>0</v>
          </cell>
          <cell r="K57">
            <v>31.479800000000001</v>
          </cell>
          <cell r="L57">
            <v>26.404900000000001</v>
          </cell>
          <cell r="M57">
            <v>9.5930499999999999</v>
          </cell>
        </row>
        <row r="58">
          <cell r="A58" t="str">
            <v>5327C</v>
          </cell>
          <cell r="B58" t="str">
            <v>Gael Force</v>
          </cell>
          <cell r="C58" t="str">
            <v>Dublin High School</v>
          </cell>
          <cell r="D58" t="str">
            <v>Dublin, California, United States</v>
          </cell>
          <cell r="E58">
            <v>387</v>
          </cell>
          <cell r="F58">
            <v>315</v>
          </cell>
          <cell r="G58">
            <v>130.02799999999999</v>
          </cell>
          <cell r="H58">
            <v>130.02799999999999</v>
          </cell>
          <cell r="I58">
            <v>106.928</v>
          </cell>
          <cell r="J58">
            <v>78.1785</v>
          </cell>
          <cell r="K58">
            <v>87.047200000000004</v>
          </cell>
          <cell r="L58">
            <v>70.007599999999996</v>
          </cell>
        </row>
        <row r="59">
          <cell r="A59" t="str">
            <v>5454B</v>
          </cell>
          <cell r="B59" t="str">
            <v>BOB-OMBS</v>
          </cell>
          <cell r="C59" t="str">
            <v>Elkhorn Crossing School</v>
          </cell>
          <cell r="D59" t="str">
            <v>Georgetown, Kentucky, United States</v>
          </cell>
          <cell r="E59">
            <v>250</v>
          </cell>
          <cell r="F59">
            <v>152</v>
          </cell>
          <cell r="G59">
            <v>110.607</v>
          </cell>
          <cell r="H59">
            <v>100.066</v>
          </cell>
          <cell r="I59">
            <v>71.093800000000002</v>
          </cell>
          <cell r="J59">
            <v>51.025199999999998</v>
          </cell>
          <cell r="K59">
            <v>46.087899999999998</v>
          </cell>
          <cell r="L59">
            <v>95.037199999999999</v>
          </cell>
          <cell r="M59">
            <v>60.565600000000003</v>
          </cell>
          <cell r="N59">
            <v>84.730699999999999</v>
          </cell>
          <cell r="O59">
            <v>110.607</v>
          </cell>
          <cell r="P59">
            <v>73.299400000000006</v>
          </cell>
          <cell r="Q59">
            <v>65.855500000000006</v>
          </cell>
        </row>
        <row r="60">
          <cell r="A60" t="str">
            <v>5482C</v>
          </cell>
          <cell r="B60" t="str">
            <v>CECyTEH Huejutla 3</v>
          </cell>
          <cell r="C60" t="str">
            <v>CECyTEH Plantel Huejutla</v>
          </cell>
          <cell r="D60" t="str">
            <v>Huejutla de Reyes, Hgo., Hidalgo, Mexico</v>
          </cell>
          <cell r="E60">
            <v>0</v>
          </cell>
          <cell r="F60">
            <v>0</v>
          </cell>
          <cell r="G60">
            <v>100.53700000000001</v>
          </cell>
          <cell r="H60">
            <v>94.0441</v>
          </cell>
          <cell r="I60">
            <v>100.53700000000001</v>
          </cell>
          <cell r="J60">
            <v>41.381700000000002</v>
          </cell>
          <cell r="K60">
            <v>10.329599999999999</v>
          </cell>
        </row>
        <row r="61">
          <cell r="A61" t="str">
            <v>5689A</v>
          </cell>
          <cell r="B61" t="str">
            <v>Ares Ballistics</v>
          </cell>
          <cell r="C61" t="str">
            <v>Caldwell High School</v>
          </cell>
          <cell r="D61" t="str">
            <v>Caldwell, Idaho, United States</v>
          </cell>
          <cell r="E61">
            <v>80</v>
          </cell>
          <cell r="F61">
            <v>0</v>
          </cell>
          <cell r="G61">
            <v>75.309600000000003</v>
          </cell>
          <cell r="H61">
            <v>75.309600000000003</v>
          </cell>
          <cell r="I61">
            <v>50.7483</v>
          </cell>
          <cell r="J61">
            <v>28.401</v>
          </cell>
          <cell r="K61">
            <v>27.271000000000001</v>
          </cell>
          <cell r="L61">
            <v>25.040199999999999</v>
          </cell>
          <cell r="M61">
            <v>1.3084800000000001</v>
          </cell>
        </row>
        <row r="62">
          <cell r="A62" t="str">
            <v>5772C</v>
          </cell>
          <cell r="B62" t="str">
            <v>Eaglebots</v>
          </cell>
          <cell r="C62" t="str">
            <v>The Harker School</v>
          </cell>
          <cell r="D62" t="str">
            <v>Santa Clara, California, United States</v>
          </cell>
          <cell r="E62">
            <v>275</v>
          </cell>
          <cell r="F62">
            <v>296</v>
          </cell>
          <cell r="G62">
            <v>103.05200000000001</v>
          </cell>
          <cell r="H62">
            <v>49.258400000000002</v>
          </cell>
          <cell r="I62">
            <v>103.05200000000001</v>
          </cell>
          <cell r="J62">
            <v>17.049399999999999</v>
          </cell>
          <cell r="K62">
            <v>34.848300000000002</v>
          </cell>
          <cell r="L62">
            <v>49.651899999999998</v>
          </cell>
        </row>
        <row r="63">
          <cell r="A63" t="str">
            <v>5776Z</v>
          </cell>
          <cell r="B63" t="str">
            <v>DVHS Robotics</v>
          </cell>
          <cell r="C63" t="str">
            <v>Dougherty Valley High School</v>
          </cell>
          <cell r="D63" t="str">
            <v>San Ramon, California, United States</v>
          </cell>
          <cell r="E63">
            <v>76</v>
          </cell>
          <cell r="F63">
            <v>270</v>
          </cell>
          <cell r="G63">
            <v>36.089399999999998</v>
          </cell>
          <cell r="H63">
            <v>36.089399999999998</v>
          </cell>
          <cell r="I63">
            <v>9.6886200000000002</v>
          </cell>
          <cell r="J63">
            <v>20.522200000000002</v>
          </cell>
          <cell r="K63">
            <v>12.0098</v>
          </cell>
          <cell r="L63">
            <v>24.327300000000001</v>
          </cell>
        </row>
        <row r="64">
          <cell r="A64" t="str">
            <v>5937A</v>
          </cell>
          <cell r="B64" t="str">
            <v>F(net)</v>
          </cell>
          <cell r="C64" t="str">
            <v>Nottingham High School</v>
          </cell>
          <cell r="D64" t="str">
            <v>Syracuse, New York, United States</v>
          </cell>
          <cell r="E64">
            <v>142</v>
          </cell>
          <cell r="F64">
            <v>9</v>
          </cell>
          <cell r="G64">
            <v>78.161100000000005</v>
          </cell>
          <cell r="H64">
            <v>51.434899999999999</v>
          </cell>
          <cell r="I64">
            <v>58.996899999999997</v>
          </cell>
          <cell r="J64">
            <v>0</v>
          </cell>
          <cell r="K64">
            <v>78.161100000000005</v>
          </cell>
          <cell r="L64">
            <v>25.923300000000001</v>
          </cell>
          <cell r="M64">
            <v>76.902699999999996</v>
          </cell>
        </row>
        <row r="65">
          <cell r="A65" t="str">
            <v>6023S</v>
          </cell>
          <cell r="B65" t="str">
            <v>StoweBots</v>
          </cell>
          <cell r="C65" t="str">
            <v>Stowe School</v>
          </cell>
          <cell r="D65" t="str">
            <v>Buckingham, , United Kingdom</v>
          </cell>
          <cell r="E65">
            <v>203</v>
          </cell>
          <cell r="F65">
            <v>97</v>
          </cell>
          <cell r="G65">
            <v>113.30800000000001</v>
          </cell>
          <cell r="H65">
            <v>113.30800000000001</v>
          </cell>
          <cell r="I65">
            <v>60.097299999999997</v>
          </cell>
          <cell r="J65">
            <v>48.5032</v>
          </cell>
          <cell r="K65">
            <v>42.984000000000002</v>
          </cell>
        </row>
        <row r="66">
          <cell r="A66" t="str">
            <v>6106A</v>
          </cell>
          <cell r="B66" t="str">
            <v>Choate Robotics</v>
          </cell>
          <cell r="C66" t="str">
            <v>Choate Rosemary Hall</v>
          </cell>
          <cell r="D66" t="str">
            <v>Wallingford, Connecticut, United States</v>
          </cell>
          <cell r="E66">
            <v>117</v>
          </cell>
          <cell r="F66">
            <v>145</v>
          </cell>
          <cell r="G66">
            <v>124.977</v>
          </cell>
          <cell r="H66">
            <v>76.5304</v>
          </cell>
          <cell r="I66">
            <v>124.977</v>
          </cell>
          <cell r="J66">
            <v>118.92100000000001</v>
          </cell>
          <cell r="K66">
            <v>91.825900000000004</v>
          </cell>
          <cell r="L66">
            <v>25.0335</v>
          </cell>
          <cell r="M66">
            <v>20.563800000000001</v>
          </cell>
          <cell r="N66">
            <v>24.290400000000002</v>
          </cell>
        </row>
        <row r="67">
          <cell r="A67" t="str">
            <v>6135K</v>
          </cell>
          <cell r="B67" t="str">
            <v>CHHS Bruins K</v>
          </cell>
          <cell r="C67" t="str">
            <v>Central Hardin High School PLTW</v>
          </cell>
          <cell r="D67" t="str">
            <v>Cecilia, Kentucky, United States</v>
          </cell>
          <cell r="E67">
            <v>238</v>
          </cell>
          <cell r="F67">
            <v>245</v>
          </cell>
          <cell r="G67">
            <v>76.271900000000002</v>
          </cell>
          <cell r="H67">
            <v>76.271900000000002</v>
          </cell>
          <cell r="I67">
            <v>61.979900000000001</v>
          </cell>
          <cell r="J67">
            <v>35.088999999999999</v>
          </cell>
          <cell r="K67">
            <v>63.208300000000001</v>
          </cell>
          <cell r="L67">
            <v>33.561399999999999</v>
          </cell>
          <cell r="M67">
            <v>26.699100000000001</v>
          </cell>
          <cell r="N67">
            <v>38.849200000000003</v>
          </cell>
          <cell r="O67">
            <v>17.614699999999999</v>
          </cell>
          <cell r="P67">
            <v>27.6327</v>
          </cell>
        </row>
        <row r="68">
          <cell r="A68" t="str">
            <v>6272B</v>
          </cell>
          <cell r="B68" t="str">
            <v>STF 2</v>
          </cell>
          <cell r="C68" t="str">
            <v>SEKOLAH TUN FATIMAH</v>
          </cell>
          <cell r="D68" t="str">
            <v>Johor Bahru, N/A, Malaysia</v>
          </cell>
          <cell r="E68">
            <v>34</v>
          </cell>
          <cell r="F68">
            <v>25</v>
          </cell>
          <cell r="G68">
            <v>56.941200000000002</v>
          </cell>
          <cell r="H68">
            <v>56.941200000000002</v>
          </cell>
        </row>
        <row r="69">
          <cell r="A69" t="str">
            <v>6430B</v>
          </cell>
          <cell r="B69" t="str">
            <v>Trinity Dragons</v>
          </cell>
          <cell r="C69" t="str">
            <v>Trinity Robotics Club</v>
          </cell>
          <cell r="D69" t="str">
            <v>Lutz, Florida, United States</v>
          </cell>
          <cell r="E69">
            <v>277</v>
          </cell>
          <cell r="F69">
            <v>226</v>
          </cell>
          <cell r="G69">
            <v>178.19300000000001</v>
          </cell>
          <cell r="H69">
            <v>133.75800000000001</v>
          </cell>
          <cell r="I69">
            <v>152.06399999999999</v>
          </cell>
          <cell r="J69">
            <v>101.04300000000001</v>
          </cell>
          <cell r="K69">
            <v>178.19300000000001</v>
          </cell>
          <cell r="L69">
            <v>77.030799999999999</v>
          </cell>
          <cell r="M69">
            <v>99.325900000000004</v>
          </cell>
        </row>
        <row r="70">
          <cell r="A70" t="str">
            <v>6659</v>
          </cell>
          <cell r="B70" t="str">
            <v>Jackie Moon</v>
          </cell>
          <cell r="C70" t="str">
            <v>Master's Academy &amp; College</v>
          </cell>
          <cell r="D70" t="str">
            <v>Calgary, Alberta, Canada</v>
          </cell>
          <cell r="E70">
            <v>176</v>
          </cell>
          <cell r="F70">
            <v>301</v>
          </cell>
          <cell r="G70">
            <v>121.7</v>
          </cell>
          <cell r="H70">
            <v>91.950699999999998</v>
          </cell>
          <cell r="I70">
            <v>121.7</v>
          </cell>
          <cell r="J70">
            <v>102.002</v>
          </cell>
          <cell r="K70">
            <v>31.083200000000001</v>
          </cell>
        </row>
        <row r="71">
          <cell r="A71" t="str">
            <v>6740B</v>
          </cell>
          <cell r="B71" t="str">
            <v>Simon</v>
          </cell>
          <cell r="C71" t="str">
            <v>Team Alvin</v>
          </cell>
          <cell r="D71" t="str">
            <v>Glen Allen, Virginia, United States</v>
          </cell>
          <cell r="E71">
            <v>215</v>
          </cell>
          <cell r="F71">
            <v>241</v>
          </cell>
          <cell r="G71">
            <v>96.616299999999995</v>
          </cell>
          <cell r="H71">
            <v>74.914699999999996</v>
          </cell>
          <cell r="I71">
            <v>96.616299999999995</v>
          </cell>
          <cell r="J71">
            <v>79.116200000000006</v>
          </cell>
        </row>
        <row r="72">
          <cell r="A72" t="str">
            <v>6891</v>
          </cell>
          <cell r="B72" t="str">
            <v>Jackpot</v>
          </cell>
          <cell r="C72" t="str">
            <v>Faith Lutheran High School</v>
          </cell>
          <cell r="D72" t="str">
            <v>Las Vegas, Nevada, United States</v>
          </cell>
          <cell r="E72">
            <v>315</v>
          </cell>
          <cell r="F72">
            <v>316</v>
          </cell>
          <cell r="G72">
            <v>143.566</v>
          </cell>
          <cell r="H72">
            <v>71.621200000000002</v>
          </cell>
          <cell r="I72">
            <v>143.566</v>
          </cell>
          <cell r="J72">
            <v>79.794899999999998</v>
          </cell>
          <cell r="K72">
            <v>68.917299999999997</v>
          </cell>
        </row>
        <row r="73">
          <cell r="A73" t="str">
            <v>7001D</v>
          </cell>
          <cell r="B73" t="str">
            <v>CECYTE CHIAPAS</v>
          </cell>
          <cell r="C73" t="str">
            <v>CECYTE CHIAPAS</v>
          </cell>
          <cell r="D73" t="str">
            <v>Tuxtla Gutierrez, Chiapas, Mexico</v>
          </cell>
          <cell r="E73">
            <v>0</v>
          </cell>
          <cell r="F73">
            <v>0</v>
          </cell>
          <cell r="G73">
            <v>37.136800000000001</v>
          </cell>
          <cell r="H73">
            <v>37.136800000000001</v>
          </cell>
          <cell r="I73">
            <v>11.3995</v>
          </cell>
          <cell r="J73">
            <v>27.732299999999999</v>
          </cell>
        </row>
        <row r="74">
          <cell r="A74" t="str">
            <v>7121</v>
          </cell>
          <cell r="B74" t="str">
            <v>Maverick Robotics</v>
          </cell>
          <cell r="C74" t="str">
            <v>Archbishop Edward A. McCarthy High School</v>
          </cell>
          <cell r="D74" t="str">
            <v>Southwest Ranches, Florida, United States</v>
          </cell>
          <cell r="E74">
            <v>123</v>
          </cell>
          <cell r="F74">
            <v>97</v>
          </cell>
          <cell r="G74">
            <v>78.770899999999997</v>
          </cell>
          <cell r="H74">
            <v>42.030099999999997</v>
          </cell>
          <cell r="I74">
            <v>49.448799999999999</v>
          </cell>
          <cell r="J74">
            <v>78.770899999999997</v>
          </cell>
          <cell r="K74">
            <v>16.523499999999999</v>
          </cell>
          <cell r="L74">
            <v>35.896500000000003</v>
          </cell>
          <cell r="M74">
            <v>5.4888199999999996</v>
          </cell>
        </row>
        <row r="75">
          <cell r="A75" t="str">
            <v>7232Z</v>
          </cell>
          <cell r="B75" t="str">
            <v>Cyber Pirates</v>
          </cell>
          <cell r="C75" t="str">
            <v>Belton High School</v>
          </cell>
          <cell r="D75" t="str">
            <v>Belton, Missouri, United States</v>
          </cell>
          <cell r="E75">
            <v>341</v>
          </cell>
          <cell r="F75">
            <v>160</v>
          </cell>
          <cell r="G75">
            <v>142.72900000000001</v>
          </cell>
          <cell r="H75">
            <v>139.12899999999999</v>
          </cell>
          <cell r="I75">
            <v>142.72900000000001</v>
          </cell>
          <cell r="J75">
            <v>76.161500000000004</v>
          </cell>
          <cell r="K75">
            <v>117.514</v>
          </cell>
          <cell r="L75">
            <v>71.346500000000006</v>
          </cell>
          <cell r="M75">
            <v>52.382800000000003</v>
          </cell>
          <cell r="N75">
            <v>44.479700000000001</v>
          </cell>
          <cell r="O75">
            <v>68.893799999999999</v>
          </cell>
          <cell r="P75">
            <v>86.416899999999998</v>
          </cell>
        </row>
        <row r="76">
          <cell r="A76" t="str">
            <v>7439</v>
          </cell>
          <cell r="B76" t="str">
            <v>Berwick Academy</v>
          </cell>
          <cell r="C76" t="str">
            <v>Berwick Academy</v>
          </cell>
          <cell r="D76" t="str">
            <v>South Berwick, Maine, United States</v>
          </cell>
          <cell r="E76">
            <v>116</v>
          </cell>
          <cell r="F76">
            <v>120</v>
          </cell>
          <cell r="G76">
            <v>92.478800000000007</v>
          </cell>
          <cell r="H76">
            <v>92.478800000000007</v>
          </cell>
          <cell r="I76">
            <v>56.442500000000003</v>
          </cell>
          <cell r="J76">
            <v>51.281700000000001</v>
          </cell>
          <cell r="K76">
            <v>12.6731</v>
          </cell>
        </row>
        <row r="77">
          <cell r="A77" t="str">
            <v>7612</v>
          </cell>
          <cell r="B77" t="str">
            <v>Cherokee Co. Career Tech</v>
          </cell>
          <cell r="C77" t="str">
            <v>Cherokee County Career Technical Center</v>
          </cell>
          <cell r="D77" t="str">
            <v>centre, Alabama, United States</v>
          </cell>
          <cell r="E77">
            <v>201</v>
          </cell>
          <cell r="F77">
            <v>183</v>
          </cell>
          <cell r="G77">
            <v>78.817499999999995</v>
          </cell>
          <cell r="H77">
            <v>78.817499999999995</v>
          </cell>
          <cell r="I77">
            <v>33.689399999999999</v>
          </cell>
          <cell r="J77">
            <v>3.6130399999999998</v>
          </cell>
        </row>
        <row r="78">
          <cell r="A78" t="str">
            <v>7682E</v>
          </cell>
          <cell r="B78" t="str">
            <v>Wingus &amp; Dingus</v>
          </cell>
          <cell r="C78" t="str">
            <v>Wingus &amp; Dingus Robotics</v>
          </cell>
          <cell r="D78" t="str">
            <v>Auckland, N/A, New Zealand</v>
          </cell>
          <cell r="E78">
            <v>230</v>
          </cell>
          <cell r="F78">
            <v>285</v>
          </cell>
          <cell r="G78">
            <v>157.851</v>
          </cell>
          <cell r="H78">
            <v>157.851</v>
          </cell>
          <cell r="I78">
            <v>145.33600000000001</v>
          </cell>
          <cell r="J78">
            <v>108.307</v>
          </cell>
          <cell r="K78">
            <v>125.81</v>
          </cell>
        </row>
        <row r="79">
          <cell r="A79" t="str">
            <v>7853</v>
          </cell>
          <cell r="B79" t="str">
            <v>Black Knights-Spectre</v>
          </cell>
          <cell r="C79" t="str">
            <v>Sierra Vista High School</v>
          </cell>
          <cell r="D79" t="str">
            <v>Las Vegas, Nevada, United States</v>
          </cell>
          <cell r="E79">
            <v>296</v>
          </cell>
          <cell r="F79">
            <v>155</v>
          </cell>
          <cell r="G79">
            <v>86.630600000000001</v>
          </cell>
          <cell r="H79">
            <v>50.817300000000003</v>
          </cell>
          <cell r="I79">
            <v>86.630600000000001</v>
          </cell>
          <cell r="J79">
            <v>81.441100000000006</v>
          </cell>
          <cell r="K79">
            <v>55.369100000000003</v>
          </cell>
        </row>
        <row r="80">
          <cell r="A80" t="str">
            <v>7882B</v>
          </cell>
          <cell r="B80" t="str">
            <v>MCCTC #2</v>
          </cell>
          <cell r="C80" t="str">
            <v>Mahoning County Career and Technical Center</v>
          </cell>
          <cell r="D80" t="str">
            <v>Canfield, Ohio, United States</v>
          </cell>
          <cell r="E80">
            <v>100</v>
          </cell>
          <cell r="F80">
            <v>0</v>
          </cell>
          <cell r="G80">
            <v>83.104500000000002</v>
          </cell>
          <cell r="H80">
            <v>83.104500000000002</v>
          </cell>
          <cell r="I80">
            <v>79.819699999999997</v>
          </cell>
          <cell r="J80">
            <v>68.011799999999994</v>
          </cell>
          <cell r="K80">
            <v>61.6873</v>
          </cell>
          <cell r="L80">
            <v>25.730599999999999</v>
          </cell>
          <cell r="M80">
            <v>1.53363</v>
          </cell>
        </row>
        <row r="81">
          <cell r="A81" t="str">
            <v>7972D</v>
          </cell>
          <cell r="B81" t="str">
            <v>Gaoxin NO.1 HSch D</v>
          </cell>
          <cell r="C81" t="str">
            <v>Xi'an Gaoxin NO.1 High School</v>
          </cell>
          <cell r="D81" t="str">
            <v>xi'an, Not Applicable or Not Listed, China</v>
          </cell>
          <cell r="E81">
            <v>300</v>
          </cell>
          <cell r="F81">
            <v>335</v>
          </cell>
          <cell r="G81">
            <v>59.1907</v>
          </cell>
          <cell r="H81">
            <v>59.1907</v>
          </cell>
        </row>
        <row r="82">
          <cell r="A82" t="str">
            <v>8000G</v>
          </cell>
          <cell r="B82" t="str">
            <v>HRS Robohawks</v>
          </cell>
          <cell r="C82" t="str">
            <v>Head-Royce School</v>
          </cell>
          <cell r="D82" t="str">
            <v>Oakland, California, United States</v>
          </cell>
          <cell r="E82">
            <v>175</v>
          </cell>
          <cell r="F82">
            <v>0</v>
          </cell>
          <cell r="G82">
            <v>120.736</v>
          </cell>
          <cell r="H82">
            <v>78.539599999999993</v>
          </cell>
          <cell r="I82">
            <v>120.736</v>
          </cell>
        </row>
        <row r="83">
          <cell r="A83" t="str">
            <v>8086A</v>
          </cell>
          <cell r="B83" t="str">
            <v>Semiconductors</v>
          </cell>
          <cell r="C83" t="str">
            <v>Team Semiconductors</v>
          </cell>
          <cell r="D83" t="str">
            <v>Glen Allen, Virginia, United States</v>
          </cell>
          <cell r="E83">
            <v>223</v>
          </cell>
          <cell r="F83">
            <v>230</v>
          </cell>
          <cell r="G83">
            <v>119.036</v>
          </cell>
          <cell r="H83">
            <v>94.817999999999998</v>
          </cell>
          <cell r="I83">
            <v>119.036</v>
          </cell>
          <cell r="J83">
            <v>37.289400000000001</v>
          </cell>
          <cell r="K83">
            <v>57.082000000000001</v>
          </cell>
          <cell r="L83">
            <v>60.566899999999997</v>
          </cell>
        </row>
        <row r="84">
          <cell r="A84" t="str">
            <v>8227</v>
          </cell>
          <cell r="B84" t="str">
            <v>Pingtan NO.1 High Sch A</v>
          </cell>
          <cell r="C84" t="str">
            <v>Fujian Pingtan NO.1 High School</v>
          </cell>
          <cell r="D84" t="str">
            <v>Fujian, Not Applicable or Not Listed, China</v>
          </cell>
          <cell r="E84">
            <v>0</v>
          </cell>
          <cell r="F84">
            <v>0</v>
          </cell>
        </row>
        <row r="85">
          <cell r="A85" t="str">
            <v>8468B</v>
          </cell>
          <cell r="B85" t="str">
            <v>Urumqi NO.8 MS B</v>
          </cell>
          <cell r="C85" t="str">
            <v>Urumqi NO.8 Middle School</v>
          </cell>
          <cell r="D85" t="str">
            <v>Urumqi, Not Applicable or Not Listed, China</v>
          </cell>
          <cell r="E85">
            <v>0</v>
          </cell>
          <cell r="F85">
            <v>0</v>
          </cell>
          <cell r="G85">
            <v>57.392600000000002</v>
          </cell>
          <cell r="H85">
            <v>57.392600000000002</v>
          </cell>
        </row>
        <row r="86">
          <cell r="A86" t="str">
            <v>8615</v>
          </cell>
          <cell r="B86" t="str">
            <v>The Vexecutors</v>
          </cell>
          <cell r="C86" t="str">
            <v>New Hope</v>
          </cell>
          <cell r="D86" t="str">
            <v>Columbus, Mississippi, United States</v>
          </cell>
          <cell r="E86">
            <v>90</v>
          </cell>
          <cell r="F86">
            <v>0</v>
          </cell>
          <cell r="G86">
            <v>110.789</v>
          </cell>
          <cell r="H86">
            <v>110.789</v>
          </cell>
          <cell r="I86">
            <v>-19.095300000000002</v>
          </cell>
          <cell r="J86">
            <v>71.371899999999997</v>
          </cell>
          <cell r="K86">
            <v>43.491799999999998</v>
          </cell>
          <cell r="L86">
            <v>80.772999999999996</v>
          </cell>
          <cell r="M86">
            <v>66.251400000000004</v>
          </cell>
        </row>
        <row r="87">
          <cell r="A87" t="str">
            <v>8675</v>
          </cell>
          <cell r="B87" t="str">
            <v>Fuzzy Wuzzy 2.0</v>
          </cell>
          <cell r="C87" t="str">
            <v>National Robotics Academy, Inc.</v>
          </cell>
          <cell r="D87" t="str">
            <v>Waterloo, Nebraska, United States</v>
          </cell>
          <cell r="E87">
            <v>106</v>
          </cell>
          <cell r="F87">
            <v>303</v>
          </cell>
          <cell r="G87">
            <v>55.563200000000002</v>
          </cell>
          <cell r="H87">
            <v>26.0364</v>
          </cell>
          <cell r="I87">
            <v>32.0184</v>
          </cell>
          <cell r="J87">
            <v>34.992100000000001</v>
          </cell>
          <cell r="K87">
            <v>55.563200000000002</v>
          </cell>
        </row>
        <row r="88">
          <cell r="A88" t="str">
            <v>8746</v>
          </cell>
          <cell r="B88" t="str">
            <v>Black Knights</v>
          </cell>
          <cell r="C88" t="str">
            <v>Rome Free Academy</v>
          </cell>
          <cell r="D88" t="str">
            <v>Rome, New York, United States</v>
          </cell>
          <cell r="E88">
            <v>62</v>
          </cell>
          <cell r="F88">
            <v>62</v>
          </cell>
          <cell r="G88">
            <v>64.596800000000002</v>
          </cell>
          <cell r="H88">
            <v>64.596800000000002</v>
          </cell>
          <cell r="I88">
            <v>46.479100000000003</v>
          </cell>
          <cell r="J88">
            <v>61.801699999999997</v>
          </cell>
          <cell r="K88">
            <v>0</v>
          </cell>
          <cell r="L88">
            <v>19.822600000000001</v>
          </cell>
          <cell r="M88">
            <v>3.81467</v>
          </cell>
          <cell r="N88">
            <v>25.575500000000002</v>
          </cell>
        </row>
        <row r="89">
          <cell r="A89" t="str">
            <v>8800</v>
          </cell>
          <cell r="B89" t="str">
            <v>Phoenix Lights</v>
          </cell>
          <cell r="C89" t="str">
            <v>East Valley Community Robotics</v>
          </cell>
          <cell r="D89" t="str">
            <v>Phoenix, Arizona, United States</v>
          </cell>
          <cell r="E89">
            <v>131</v>
          </cell>
          <cell r="F89">
            <v>150</v>
          </cell>
          <cell r="G89">
            <v>113.8</v>
          </cell>
          <cell r="H89">
            <v>58.3367</v>
          </cell>
          <cell r="I89">
            <v>25.519300000000001</v>
          </cell>
          <cell r="J89">
            <v>113.8</v>
          </cell>
          <cell r="K89">
            <v>102.675</v>
          </cell>
        </row>
        <row r="90">
          <cell r="A90" t="str">
            <v>8926</v>
          </cell>
          <cell r="B90" t="str">
            <v>Combined IQ</v>
          </cell>
          <cell r="C90" t="str">
            <v>Oakbrook Preparatory School</v>
          </cell>
          <cell r="D90" t="str">
            <v>Spartanburg, South Carolina, United States</v>
          </cell>
          <cell r="E90">
            <v>229</v>
          </cell>
          <cell r="F90">
            <v>256</v>
          </cell>
          <cell r="G90">
            <v>103.383</v>
          </cell>
          <cell r="H90">
            <v>64.453699999999998</v>
          </cell>
          <cell r="I90">
            <v>63.439599999999999</v>
          </cell>
          <cell r="J90">
            <v>56.3095</v>
          </cell>
          <cell r="K90">
            <v>103.383</v>
          </cell>
          <cell r="L90">
            <v>37.821399999999997</v>
          </cell>
          <cell r="M90">
            <v>53.653700000000001</v>
          </cell>
        </row>
        <row r="91">
          <cell r="A91" t="str">
            <v>9031C</v>
          </cell>
          <cell r="B91" t="str">
            <v>Robotigers</v>
          </cell>
          <cell r="C91" t="str">
            <v>Holy Cross School</v>
          </cell>
          <cell r="D91" t="str">
            <v>New Orleans, Louisiana, United States</v>
          </cell>
          <cell r="E91">
            <v>71</v>
          </cell>
          <cell r="F91">
            <v>70</v>
          </cell>
          <cell r="G91">
            <v>99.681700000000006</v>
          </cell>
          <cell r="H91">
            <v>90.902699999999996</v>
          </cell>
          <cell r="I91">
            <v>74.163200000000003</v>
          </cell>
          <cell r="J91">
            <v>99.681700000000006</v>
          </cell>
          <cell r="K91">
            <v>67.584500000000006</v>
          </cell>
          <cell r="L91">
            <v>53.454300000000003</v>
          </cell>
        </row>
        <row r="92">
          <cell r="A92" t="str">
            <v>9142A</v>
          </cell>
          <cell r="B92" t="str">
            <v>Claremore Public Schools</v>
          </cell>
          <cell r="C92" t="str">
            <v>Claremore Public Schools</v>
          </cell>
          <cell r="D92" t="str">
            <v>Claremore, Oklahoma, United States</v>
          </cell>
          <cell r="E92">
            <v>200</v>
          </cell>
          <cell r="F92">
            <v>83</v>
          </cell>
          <cell r="G92">
            <v>140.988</v>
          </cell>
          <cell r="H92">
            <v>90.652699999999996</v>
          </cell>
          <cell r="I92">
            <v>140.988</v>
          </cell>
          <cell r="J92">
            <v>134.58199999999999</v>
          </cell>
          <cell r="K92">
            <v>93.232399999999998</v>
          </cell>
          <cell r="L92">
            <v>81.768699999999995</v>
          </cell>
        </row>
        <row r="93">
          <cell r="A93" t="str">
            <v>9343A</v>
          </cell>
          <cell r="B93" t="str">
            <v>Gearheads</v>
          </cell>
          <cell r="C93" t="str">
            <v>Hampden Academy</v>
          </cell>
          <cell r="D93" t="str">
            <v>Hampden, Maine, United States</v>
          </cell>
          <cell r="E93">
            <v>40</v>
          </cell>
          <cell r="F93">
            <v>0</v>
          </cell>
          <cell r="G93">
            <v>64.891400000000004</v>
          </cell>
          <cell r="H93">
            <v>64.361199999999997</v>
          </cell>
          <cell r="I93">
            <v>64.891400000000004</v>
          </cell>
          <cell r="J93">
            <v>-4.6024500000000002</v>
          </cell>
          <cell r="K93">
            <v>12.2348</v>
          </cell>
        </row>
        <row r="94">
          <cell r="A94" t="str">
            <v>9421X</v>
          </cell>
          <cell r="B94" t="str">
            <v>FHS Robotics X</v>
          </cell>
          <cell r="C94" t="str">
            <v>Framingham High School</v>
          </cell>
          <cell r="D94" t="str">
            <v>Framingham, Massachusetts, United States</v>
          </cell>
          <cell r="E94">
            <v>270</v>
          </cell>
          <cell r="F94">
            <v>115</v>
          </cell>
          <cell r="G94">
            <v>70.030100000000004</v>
          </cell>
          <cell r="H94">
            <v>12.969900000000001</v>
          </cell>
          <cell r="I94">
            <v>24.338999999999999</v>
          </cell>
          <cell r="J94">
            <v>70.030100000000004</v>
          </cell>
          <cell r="K94">
            <v>31.1999</v>
          </cell>
          <cell r="L94">
            <v>54.4236</v>
          </cell>
          <cell r="M94">
            <v>33.117600000000003</v>
          </cell>
        </row>
        <row r="95">
          <cell r="A95" t="str">
            <v>9594C</v>
          </cell>
          <cell r="B95" t="str">
            <v>Mechanical Synergy</v>
          </cell>
          <cell r="C95" t="str">
            <v>Collingwood</v>
          </cell>
          <cell r="D95" t="str">
            <v>West Vancouver, British Columbia, Canada</v>
          </cell>
          <cell r="E95">
            <v>283</v>
          </cell>
          <cell r="F95">
            <v>209</v>
          </cell>
          <cell r="G95">
            <v>153.70699999999999</v>
          </cell>
          <cell r="H95">
            <v>59.813600000000001</v>
          </cell>
          <cell r="I95">
            <v>44.654600000000002</v>
          </cell>
          <cell r="J95">
            <v>153.70699999999999</v>
          </cell>
          <cell r="K95">
            <v>134.161</v>
          </cell>
          <cell r="L95">
            <v>53.292000000000002</v>
          </cell>
          <cell r="M95">
            <v>75.747500000000002</v>
          </cell>
        </row>
        <row r="96">
          <cell r="A96" t="str">
            <v>9727A</v>
          </cell>
          <cell r="B96" t="str">
            <v>OSOS 110</v>
          </cell>
          <cell r="C96" t="str">
            <v>CBTIS 110</v>
          </cell>
          <cell r="D96" t="str">
            <v>Durango, Durango, Mexico</v>
          </cell>
          <cell r="E96">
            <v>270</v>
          </cell>
          <cell r="F96">
            <v>220</v>
          </cell>
          <cell r="G96">
            <v>143.84800000000001</v>
          </cell>
          <cell r="H96">
            <v>143.84800000000001</v>
          </cell>
          <cell r="I96">
            <v>115.693</v>
          </cell>
          <cell r="J96">
            <v>136.88999999999999</v>
          </cell>
          <cell r="K96">
            <v>42.951500000000003</v>
          </cell>
          <cell r="L96">
            <v>77.642099999999999</v>
          </cell>
          <cell r="M96">
            <v>49.655299999999997</v>
          </cell>
        </row>
        <row r="97">
          <cell r="A97" t="str">
            <v>9908W</v>
          </cell>
          <cell r="B97" t="str">
            <v>Windham Whippet Robotics</v>
          </cell>
          <cell r="C97" t="str">
            <v>Windham High School</v>
          </cell>
          <cell r="D97" t="str">
            <v>Willimantic, Connecticut, United States</v>
          </cell>
          <cell r="E97">
            <v>76</v>
          </cell>
          <cell r="F97">
            <v>86</v>
          </cell>
          <cell r="G97">
            <v>89.516999999999996</v>
          </cell>
          <cell r="H97">
            <v>71.617699999999999</v>
          </cell>
          <cell r="I97">
            <v>89.516999999999996</v>
          </cell>
          <cell r="J97">
            <v>68.813599999999994</v>
          </cell>
          <cell r="K97">
            <v>61.268700000000003</v>
          </cell>
          <cell r="L97">
            <v>17.6904</v>
          </cell>
        </row>
        <row r="98">
          <cell r="A98" t="str">
            <v>9973A</v>
          </cell>
          <cell r="B98" t="str">
            <v>Urumqi NO.1 MS A</v>
          </cell>
          <cell r="C98" t="str">
            <v>Urumqi NO.1 Middle School</v>
          </cell>
          <cell r="D98" t="str">
            <v>Urumqi, Not Applicable or Not Listed, China</v>
          </cell>
          <cell r="E98">
            <v>89</v>
          </cell>
          <cell r="F98">
            <v>0</v>
          </cell>
          <cell r="G98">
            <v>135.39400000000001</v>
          </cell>
          <cell r="H98">
            <v>135.39400000000001</v>
          </cell>
        </row>
        <row r="99">
          <cell r="A99" t="str">
            <v>97511</v>
          </cell>
          <cell r="B99" t="str">
            <v>ROBOTIQS</v>
          </cell>
          <cell r="C99" t="str">
            <v>ABA Innovation Lab</v>
          </cell>
          <cell r="D99" t="str">
            <v>Istanbul, N/A, Turkey</v>
          </cell>
          <cell r="E99">
            <v>0</v>
          </cell>
          <cell r="F99">
            <v>0</v>
          </cell>
        </row>
        <row r="100">
          <cell r="A100" t="str">
            <v>99288</v>
          </cell>
          <cell r="B100" t="str">
            <v>MOT Charter School</v>
          </cell>
          <cell r="C100" t="str">
            <v>MOT Charter School</v>
          </cell>
          <cell r="D100" t="str">
            <v>Middletown, Delaware, United States</v>
          </cell>
          <cell r="E100">
            <v>12</v>
          </cell>
          <cell r="F100">
            <v>0</v>
          </cell>
          <cell r="G100">
            <v>15.087400000000001</v>
          </cell>
          <cell r="H100">
            <v>9.7326599999999992</v>
          </cell>
          <cell r="I100">
            <v>15.087400000000001</v>
          </cell>
        </row>
      </sheetData>
      <sheetData sheetId="2">
        <row r="1">
          <cell r="A1" t="str">
            <v>Team</v>
          </cell>
          <cell r="B1" t="str">
            <v>Name</v>
          </cell>
          <cell r="C1" t="str">
            <v>Org</v>
          </cell>
          <cell r="D1" t="str">
            <v>Location</v>
          </cell>
          <cell r="E1" t="str">
            <v>Drv_skills</v>
          </cell>
          <cell r="F1" t="str">
            <v>Prg_skills</v>
          </cell>
          <cell r="G1" t="str">
            <v>Opr_max</v>
          </cell>
          <cell r="H1" t="str">
            <v>Opr_last</v>
          </cell>
          <cell r="I1" t="str">
            <v>Opr-1</v>
          </cell>
          <cell r="J1" t="str">
            <v>Opr-2</v>
          </cell>
          <cell r="K1" t="str">
            <v>Opr-3</v>
          </cell>
          <cell r="L1" t="str">
            <v>Opr-4</v>
          </cell>
          <cell r="M1" t="str">
            <v>Opr-5</v>
          </cell>
        </row>
        <row r="2">
          <cell r="A2" t="str">
            <v>2S</v>
          </cell>
          <cell r="B2" t="str">
            <v>Robosavages S</v>
          </cell>
          <cell r="C2" t="str">
            <v>Gladstone</v>
          </cell>
          <cell r="D2" t="str">
            <v>Vancouver, British Columbia, Canada</v>
          </cell>
          <cell r="E2">
            <v>40</v>
          </cell>
          <cell r="F2">
            <v>0</v>
          </cell>
          <cell r="G2">
            <v>72.793099999999995</v>
          </cell>
          <cell r="H2">
            <v>72.793099999999995</v>
          </cell>
          <cell r="I2">
            <v>10.095800000000001</v>
          </cell>
        </row>
        <row r="3">
          <cell r="A3" t="str">
            <v>24A</v>
          </cell>
          <cell r="B3" t="str">
            <v>Super Sonic Sparks A</v>
          </cell>
          <cell r="C3" t="str">
            <v>SPARKS 4-H Club</v>
          </cell>
          <cell r="D3" t="str">
            <v>Westminster, Maryland, United States</v>
          </cell>
          <cell r="E3">
            <v>265</v>
          </cell>
          <cell r="F3">
            <v>121</v>
          </cell>
          <cell r="G3">
            <v>107.136</v>
          </cell>
          <cell r="H3">
            <v>87.996499999999997</v>
          </cell>
          <cell r="I3">
            <v>107.136</v>
          </cell>
          <cell r="J3">
            <v>60.262599999999999</v>
          </cell>
          <cell r="K3">
            <v>12.3642</v>
          </cell>
          <cell r="L3">
            <v>41.787599999999998</v>
          </cell>
          <cell r="M3">
            <v>39.940300000000001</v>
          </cell>
          <cell r="N3">
            <v>33.211500000000001</v>
          </cell>
        </row>
        <row r="4">
          <cell r="A4" t="str">
            <v>35B</v>
          </cell>
          <cell r="B4" t="str">
            <v>The Baylyfe Brigade</v>
          </cell>
          <cell r="C4" t="str">
            <v>Cranbrook Schools</v>
          </cell>
          <cell r="D4" t="str">
            <v>Bloomfield Hills, Michigan, United States</v>
          </cell>
          <cell r="E4">
            <v>198</v>
          </cell>
          <cell r="F4">
            <v>270</v>
          </cell>
          <cell r="G4">
            <v>97.616</v>
          </cell>
          <cell r="H4">
            <v>97.616</v>
          </cell>
          <cell r="I4">
            <v>54.735199999999999</v>
          </cell>
          <cell r="J4">
            <v>91.7881</v>
          </cell>
          <cell r="K4">
            <v>25.4038</v>
          </cell>
          <cell r="L4">
            <v>42.045000000000002</v>
          </cell>
          <cell r="M4">
            <v>37.795699999999997</v>
          </cell>
        </row>
        <row r="5">
          <cell r="A5" t="str">
            <v>62</v>
          </cell>
          <cell r="B5" t="str">
            <v>Kanagasabapathys</v>
          </cell>
          <cell r="C5" t="str">
            <v>Harvard-Westlake</v>
          </cell>
          <cell r="D5" t="str">
            <v>Studio City, California, United States</v>
          </cell>
          <cell r="E5">
            <v>345</v>
          </cell>
          <cell r="F5">
            <v>160</v>
          </cell>
          <cell r="G5">
            <v>126.161</v>
          </cell>
          <cell r="H5">
            <v>90.535600000000002</v>
          </cell>
          <cell r="I5">
            <v>126.161</v>
          </cell>
          <cell r="J5">
            <v>26.6843</v>
          </cell>
          <cell r="K5">
            <v>84.885999999999996</v>
          </cell>
          <cell r="L5">
            <v>121.535</v>
          </cell>
          <cell r="M5">
            <v>73.419799999999995</v>
          </cell>
        </row>
        <row r="6">
          <cell r="A6" t="str">
            <v>78</v>
          </cell>
          <cell r="B6" t="str">
            <v>AIR Strike</v>
          </cell>
          <cell r="C6" t="str">
            <v>Aquidneck Island Robotics 4-H Club</v>
          </cell>
          <cell r="D6" t="str">
            <v>Middletown, Rhode Island, United States</v>
          </cell>
          <cell r="E6">
            <v>209</v>
          </cell>
          <cell r="F6">
            <v>105</v>
          </cell>
          <cell r="G6">
            <v>139.774</v>
          </cell>
          <cell r="H6">
            <v>139.774</v>
          </cell>
          <cell r="I6">
            <v>101.133</v>
          </cell>
          <cell r="J6">
            <v>70.418599999999998</v>
          </cell>
          <cell r="K6">
            <v>68.198099999999997</v>
          </cell>
          <cell r="L6">
            <v>66.542900000000003</v>
          </cell>
          <cell r="M6">
            <v>59.273899999999998</v>
          </cell>
          <cell r="N6">
            <v>38.919699999999999</v>
          </cell>
        </row>
        <row r="7">
          <cell r="A7" t="str">
            <v>134D</v>
          </cell>
          <cell r="B7" t="str">
            <v>Team Discovery - Delta</v>
          </cell>
          <cell r="C7" t="str">
            <v>Pembroke Academy</v>
          </cell>
          <cell r="D7" t="str">
            <v>Pembroke, New Hampshire, United States</v>
          </cell>
          <cell r="E7">
            <v>114</v>
          </cell>
          <cell r="F7">
            <v>133</v>
          </cell>
          <cell r="G7">
            <v>96.254000000000005</v>
          </cell>
          <cell r="H7">
            <v>96.254000000000005</v>
          </cell>
          <cell r="I7">
            <v>94.664599999999993</v>
          </cell>
          <cell r="J7">
            <v>80.083399999999997</v>
          </cell>
          <cell r="K7">
            <v>79.641099999999994</v>
          </cell>
          <cell r="L7">
            <v>77.951800000000006</v>
          </cell>
          <cell r="M7">
            <v>39.320500000000003</v>
          </cell>
          <cell r="N7">
            <v>35.006999999999998</v>
          </cell>
        </row>
        <row r="8">
          <cell r="A8" t="str">
            <v>177X</v>
          </cell>
          <cell r="B8" t="str">
            <v>Twisted Botz</v>
          </cell>
          <cell r="C8" t="str">
            <v>Hanover Homeschoolers</v>
          </cell>
          <cell r="D8" t="str">
            <v>Ashland, Virginia, United States</v>
          </cell>
          <cell r="E8">
            <v>311</v>
          </cell>
          <cell r="F8">
            <v>217</v>
          </cell>
          <cell r="G8">
            <v>111.157</v>
          </cell>
          <cell r="H8">
            <v>111.157</v>
          </cell>
          <cell r="I8">
            <v>110.562</v>
          </cell>
          <cell r="J8">
            <v>68.711200000000005</v>
          </cell>
          <cell r="K8">
            <v>74.629499999999993</v>
          </cell>
          <cell r="L8">
            <v>93.874499999999998</v>
          </cell>
        </row>
        <row r="9">
          <cell r="A9" t="str">
            <v>212P</v>
          </cell>
          <cell r="B9" t="str">
            <v>The πΤΗΦηs</v>
          </cell>
          <cell r="C9" t="str">
            <v>Pine View School</v>
          </cell>
          <cell r="D9" t="str">
            <v>Osprey, Florida, United States</v>
          </cell>
          <cell r="E9">
            <v>175</v>
          </cell>
          <cell r="F9">
            <v>132</v>
          </cell>
          <cell r="G9">
            <v>77.949100000000001</v>
          </cell>
          <cell r="H9">
            <v>0</v>
          </cell>
          <cell r="I9">
            <v>57.874000000000002</v>
          </cell>
          <cell r="J9">
            <v>77.949100000000001</v>
          </cell>
          <cell r="K9">
            <v>65.598399999999998</v>
          </cell>
        </row>
        <row r="10">
          <cell r="A10" t="str">
            <v>231Z</v>
          </cell>
          <cell r="B10" t="str">
            <v>PASADENA ISD ROBOTICS</v>
          </cell>
          <cell r="C10" t="str">
            <v>PASADENA ISD ROBOTICS</v>
          </cell>
          <cell r="D10" t="str">
            <v>HOUSTON, Texas, United States</v>
          </cell>
          <cell r="E10">
            <v>163</v>
          </cell>
          <cell r="F10">
            <v>120</v>
          </cell>
          <cell r="G10">
            <v>122.67400000000001</v>
          </cell>
          <cell r="H10">
            <v>120.40600000000001</v>
          </cell>
          <cell r="I10">
            <v>105.80200000000001</v>
          </cell>
          <cell r="J10">
            <v>122.67400000000001</v>
          </cell>
          <cell r="K10">
            <v>115.88800000000001</v>
          </cell>
          <cell r="L10">
            <v>118.33</v>
          </cell>
        </row>
        <row r="11">
          <cell r="A11" t="str">
            <v>288A</v>
          </cell>
          <cell r="B11" t="str">
            <v>Robotic Legion</v>
          </cell>
          <cell r="C11" t="str">
            <v>Grandville High School</v>
          </cell>
          <cell r="D11" t="str">
            <v>Grandville, Michigan, United States</v>
          </cell>
          <cell r="E11">
            <v>38</v>
          </cell>
          <cell r="F11">
            <v>12</v>
          </cell>
          <cell r="G11">
            <v>61.6402</v>
          </cell>
          <cell r="H11">
            <v>61.6402</v>
          </cell>
          <cell r="I11">
            <v>19.649999999999999</v>
          </cell>
          <cell r="J11">
            <v>45.9343</v>
          </cell>
          <cell r="K11">
            <v>41.956899999999997</v>
          </cell>
          <cell r="L11">
            <v>17.892900000000001</v>
          </cell>
        </row>
        <row r="12">
          <cell r="A12" t="str">
            <v>333T</v>
          </cell>
          <cell r="B12" t="str">
            <v xml:space="preserve">Inconvenient&amp;Impractical </v>
          </cell>
          <cell r="C12" t="str">
            <v>Niles North Robotics</v>
          </cell>
          <cell r="D12" t="str">
            <v>Skokie, Illinois, United States</v>
          </cell>
          <cell r="E12">
            <v>114</v>
          </cell>
          <cell r="F12">
            <v>0</v>
          </cell>
          <cell r="G12">
            <v>76.807500000000005</v>
          </cell>
          <cell r="H12">
            <v>76.807500000000005</v>
          </cell>
          <cell r="I12">
            <v>32.882100000000001</v>
          </cell>
          <cell r="J12">
            <v>4.8130600000000001</v>
          </cell>
          <cell r="K12">
            <v>9.3081499999999995</v>
          </cell>
        </row>
        <row r="13">
          <cell r="A13" t="str">
            <v>359A</v>
          </cell>
          <cell r="B13" t="str">
            <v>Hawaiian Kids</v>
          </cell>
          <cell r="C13" t="str">
            <v>Waialua High * Intermediate School</v>
          </cell>
          <cell r="D13" t="str">
            <v>Waialua, Hawaii, United States</v>
          </cell>
          <cell r="E13">
            <v>248</v>
          </cell>
          <cell r="F13">
            <v>109</v>
          </cell>
          <cell r="G13">
            <v>117.15300000000001</v>
          </cell>
          <cell r="H13">
            <v>86.387200000000007</v>
          </cell>
          <cell r="I13">
            <v>117.15300000000001</v>
          </cell>
          <cell r="J13">
            <v>114.411</v>
          </cell>
          <cell r="K13">
            <v>103.30800000000001</v>
          </cell>
        </row>
        <row r="14">
          <cell r="A14" t="str">
            <v>400X</v>
          </cell>
          <cell r="B14" t="str">
            <v>Floyd IV - Vesuvius</v>
          </cell>
          <cell r="C14" t="str">
            <v>Galveston I.S.D. Robotics</v>
          </cell>
          <cell r="D14" t="str">
            <v>Galveston, Texas, United States</v>
          </cell>
          <cell r="E14">
            <v>418</v>
          </cell>
          <cell r="F14">
            <v>106</v>
          </cell>
          <cell r="G14">
            <v>187.78299999999999</v>
          </cell>
          <cell r="H14">
            <v>174.571</v>
          </cell>
          <cell r="I14">
            <v>170.553</v>
          </cell>
          <cell r="J14">
            <v>187.78299999999999</v>
          </cell>
          <cell r="K14">
            <v>172.44200000000001</v>
          </cell>
          <cell r="L14">
            <v>156.32</v>
          </cell>
          <cell r="M14">
            <v>127.54600000000001</v>
          </cell>
          <cell r="N14">
            <v>139.81</v>
          </cell>
          <cell r="O14">
            <v>107.895</v>
          </cell>
        </row>
        <row r="15">
          <cell r="A15" t="str">
            <v>563</v>
          </cell>
          <cell r="B15" t="str">
            <v>Titan Robotics</v>
          </cell>
          <cell r="C15" t="str">
            <v>Nipomo High School</v>
          </cell>
          <cell r="D15" t="str">
            <v>Nipomo, California, United States</v>
          </cell>
          <cell r="E15">
            <v>126</v>
          </cell>
          <cell r="F15">
            <v>65</v>
          </cell>
          <cell r="G15">
            <v>116.889</v>
          </cell>
          <cell r="H15">
            <v>97.425600000000003</v>
          </cell>
          <cell r="I15">
            <v>84.377399999999994</v>
          </cell>
          <cell r="J15">
            <v>98.027699999999996</v>
          </cell>
          <cell r="K15">
            <v>116.889</v>
          </cell>
          <cell r="L15">
            <v>94.840900000000005</v>
          </cell>
          <cell r="M15">
            <v>109.651</v>
          </cell>
        </row>
        <row r="16">
          <cell r="A16" t="str">
            <v>590</v>
          </cell>
          <cell r="B16" t="str">
            <v xml:space="preserve">Texas City ✭ Robotics </v>
          </cell>
          <cell r="C16" t="str">
            <v>Texas City High School</v>
          </cell>
          <cell r="D16" t="str">
            <v>Texas City, Texas, United States</v>
          </cell>
          <cell r="E16">
            <v>187</v>
          </cell>
          <cell r="F16">
            <v>131</v>
          </cell>
          <cell r="G16">
            <v>85.793999999999997</v>
          </cell>
          <cell r="H16">
            <v>66.753100000000003</v>
          </cell>
          <cell r="I16">
            <v>46.641599999999997</v>
          </cell>
          <cell r="J16">
            <v>85.793999999999997</v>
          </cell>
          <cell r="K16">
            <v>49.989699999999999</v>
          </cell>
          <cell r="L16">
            <v>33.604500000000002</v>
          </cell>
        </row>
        <row r="17">
          <cell r="A17" t="str">
            <v>675C</v>
          </cell>
          <cell r="B17" t="str">
            <v>RoboDragons C</v>
          </cell>
          <cell r="C17" t="str">
            <v>Gwinnett School of Mathem, Science, and Technology</v>
          </cell>
          <cell r="D17" t="str">
            <v>Lawrenceville, Georgia, United States</v>
          </cell>
          <cell r="E17">
            <v>78</v>
          </cell>
          <cell r="F17">
            <v>20</v>
          </cell>
          <cell r="G17">
            <v>112.68600000000001</v>
          </cell>
          <cell r="H17">
            <v>109.571</v>
          </cell>
          <cell r="I17">
            <v>98.698300000000003</v>
          </cell>
          <cell r="J17">
            <v>75.9392</v>
          </cell>
          <cell r="K17">
            <v>87.627600000000001</v>
          </cell>
          <cell r="L17">
            <v>112.68600000000001</v>
          </cell>
          <cell r="M17">
            <v>95.554900000000004</v>
          </cell>
          <cell r="N17">
            <v>68.699200000000005</v>
          </cell>
        </row>
        <row r="18">
          <cell r="A18" t="str">
            <v>750W</v>
          </cell>
          <cell r="B18" t="str">
            <v>Wolves</v>
          </cell>
          <cell r="C18" t="str">
            <v>South Brunswick High School</v>
          </cell>
          <cell r="D18" t="str">
            <v>Monmouth Junction, New Jersey, United States</v>
          </cell>
          <cell r="E18">
            <v>90</v>
          </cell>
          <cell r="F18">
            <v>84</v>
          </cell>
          <cell r="G18">
            <v>62.814700000000002</v>
          </cell>
          <cell r="H18">
            <v>62.814700000000002</v>
          </cell>
          <cell r="I18">
            <v>21.888999999999999</v>
          </cell>
          <cell r="J18">
            <v>35.762599999999999</v>
          </cell>
          <cell r="K18">
            <v>35.156300000000002</v>
          </cell>
          <cell r="L18">
            <v>4.2846000000000002</v>
          </cell>
        </row>
        <row r="19">
          <cell r="A19" t="str">
            <v>889E</v>
          </cell>
          <cell r="B19" t="str">
            <v>Sarah Heinz House</v>
          </cell>
          <cell r="C19" t="str">
            <v>Sarah Heinz House</v>
          </cell>
          <cell r="D19" t="str">
            <v>Pittsburgh, Pennsylvania, United States</v>
          </cell>
          <cell r="E19">
            <v>0</v>
          </cell>
          <cell r="F19">
            <v>0</v>
          </cell>
          <cell r="G19">
            <v>34.009700000000002</v>
          </cell>
          <cell r="H19">
            <v>34.009700000000002</v>
          </cell>
          <cell r="I19">
            <v>32.383499999999998</v>
          </cell>
        </row>
        <row r="20">
          <cell r="A20" t="str">
            <v>929Y</v>
          </cell>
          <cell r="B20" t="str">
            <v>Hereford Zone Robotics</v>
          </cell>
          <cell r="C20" t="str">
            <v>Hereford High School</v>
          </cell>
          <cell r="D20" t="str">
            <v>Parkton, Maryland, United States</v>
          </cell>
          <cell r="E20">
            <v>81</v>
          </cell>
          <cell r="F20">
            <v>246</v>
          </cell>
          <cell r="G20">
            <v>57.278300000000002</v>
          </cell>
          <cell r="H20">
            <v>56.841099999999997</v>
          </cell>
          <cell r="I20">
            <v>46.202100000000002</v>
          </cell>
          <cell r="J20">
            <v>57.278300000000002</v>
          </cell>
          <cell r="K20">
            <v>30.563700000000001</v>
          </cell>
          <cell r="L20">
            <v>50.9739</v>
          </cell>
          <cell r="M20">
            <v>21.792100000000001</v>
          </cell>
          <cell r="N20">
            <v>16.838799999999999</v>
          </cell>
        </row>
        <row r="21">
          <cell r="A21" t="str">
            <v>1007H</v>
          </cell>
          <cell r="B21" t="str">
            <v>VARC High School</v>
          </cell>
          <cell r="C21" t="str">
            <v>Vermillion Area Robotics Club</v>
          </cell>
          <cell r="D21" t="str">
            <v>Vermillion, South Dakota, United States</v>
          </cell>
          <cell r="E21">
            <v>0</v>
          </cell>
          <cell r="F21">
            <v>0</v>
          </cell>
          <cell r="G21">
            <v>136.34299999999999</v>
          </cell>
          <cell r="H21">
            <v>97.197699999999998</v>
          </cell>
          <cell r="I21">
            <v>136.34299999999999</v>
          </cell>
        </row>
        <row r="22">
          <cell r="A22" t="str">
            <v>1064A</v>
          </cell>
          <cell r="B22" t="str">
            <v>OPS - Nebraska Nerd Herd</v>
          </cell>
          <cell r="C22" t="str">
            <v>Omaha North Magnet High School</v>
          </cell>
          <cell r="D22" t="str">
            <v>Omaha, Nebraska, United States</v>
          </cell>
          <cell r="E22">
            <v>295</v>
          </cell>
          <cell r="F22">
            <v>160</v>
          </cell>
          <cell r="G22">
            <v>150.851</v>
          </cell>
          <cell r="H22">
            <v>145.79499999999999</v>
          </cell>
          <cell r="I22">
            <v>134.976</v>
          </cell>
          <cell r="J22">
            <v>132.99199999999999</v>
          </cell>
          <cell r="K22">
            <v>150.851</v>
          </cell>
          <cell r="L22">
            <v>108.76900000000001</v>
          </cell>
          <cell r="M22">
            <v>63.1111</v>
          </cell>
          <cell r="N22">
            <v>47.601999999999997</v>
          </cell>
        </row>
        <row r="23">
          <cell r="A23" t="str">
            <v>1104M</v>
          </cell>
          <cell r="B23" t="str">
            <v>Discobots Ⓜ - 🍁 #PrayForThomas2k16</v>
          </cell>
          <cell r="C23" t="str">
            <v>Brampton Robotics Education</v>
          </cell>
          <cell r="D23" t="str">
            <v>Brampton, Ontario, Canada</v>
          </cell>
          <cell r="E23">
            <v>439</v>
          </cell>
          <cell r="F23">
            <v>0</v>
          </cell>
          <cell r="G23">
            <v>155.43299999999999</v>
          </cell>
          <cell r="H23">
            <v>155.43299999999999</v>
          </cell>
          <cell r="I23">
            <v>119.089</v>
          </cell>
        </row>
        <row r="24">
          <cell r="A24" t="str">
            <v>1114Z</v>
          </cell>
          <cell r="B24" t="str">
            <v>Simbotics</v>
          </cell>
          <cell r="C24" t="str">
            <v>Governor Simcoe Secondary School</v>
          </cell>
          <cell r="D24" t="str">
            <v>St Catharines, Ontario, Canada</v>
          </cell>
          <cell r="E24">
            <v>224</v>
          </cell>
          <cell r="F24">
            <v>115</v>
          </cell>
          <cell r="G24">
            <v>121.893</v>
          </cell>
          <cell r="H24">
            <v>121.893</v>
          </cell>
          <cell r="I24">
            <v>94.248199999999997</v>
          </cell>
          <cell r="J24">
            <v>113.78400000000001</v>
          </cell>
        </row>
        <row r="25">
          <cell r="A25" t="str">
            <v>1233A</v>
          </cell>
          <cell r="B25" t="str">
            <v>UnderDogs</v>
          </cell>
          <cell r="C25" t="str">
            <v>Crown Point High School</v>
          </cell>
          <cell r="D25" t="str">
            <v>Crown Point, Indiana, United States</v>
          </cell>
          <cell r="E25">
            <v>236</v>
          </cell>
          <cell r="F25">
            <v>141</v>
          </cell>
          <cell r="G25">
            <v>109.902</v>
          </cell>
          <cell r="H25">
            <v>92.043300000000002</v>
          </cell>
          <cell r="I25">
            <v>63.863900000000001</v>
          </cell>
          <cell r="J25">
            <v>109.902</v>
          </cell>
          <cell r="K25">
            <v>89.919499999999999</v>
          </cell>
          <cell r="L25">
            <v>53.512300000000003</v>
          </cell>
          <cell r="M25">
            <v>84.398300000000006</v>
          </cell>
          <cell r="N25">
            <v>54.042400000000001</v>
          </cell>
          <cell r="O25">
            <v>68.332800000000006</v>
          </cell>
          <cell r="P25">
            <v>54.723300000000002</v>
          </cell>
          <cell r="Q25">
            <v>51.338700000000003</v>
          </cell>
        </row>
        <row r="26">
          <cell r="A26" t="str">
            <v>1320D</v>
          </cell>
          <cell r="B26" t="str">
            <v>Tucker High Robotigers</v>
          </cell>
          <cell r="C26" t="str">
            <v>Tucker High School - DeKalb County School Sytem</v>
          </cell>
          <cell r="D26" t="str">
            <v>Tucker, Georgia, United States</v>
          </cell>
          <cell r="E26">
            <v>234</v>
          </cell>
          <cell r="F26">
            <v>57</v>
          </cell>
          <cell r="G26">
            <v>47.071399999999997</v>
          </cell>
          <cell r="H26">
            <v>45.526299999999999</v>
          </cell>
          <cell r="I26">
            <v>47.071399999999997</v>
          </cell>
          <cell r="J26">
            <v>15.896100000000001</v>
          </cell>
          <cell r="K26">
            <v>16.486899999999999</v>
          </cell>
          <cell r="L26">
            <v>13.768700000000001</v>
          </cell>
        </row>
        <row r="27">
          <cell r="A27" t="str">
            <v>1356C</v>
          </cell>
          <cell r="B27" t="str">
            <v>Parkview Panthers Team C</v>
          </cell>
          <cell r="C27" t="str">
            <v>Parkview High School - Gwinnett</v>
          </cell>
          <cell r="D27" t="str">
            <v>Lilburn, Georgia, United States</v>
          </cell>
          <cell r="E27">
            <v>298</v>
          </cell>
          <cell r="F27">
            <v>150</v>
          </cell>
          <cell r="G27">
            <v>124.67100000000001</v>
          </cell>
          <cell r="H27">
            <v>112.67</v>
          </cell>
          <cell r="I27">
            <v>124.67100000000001</v>
          </cell>
          <cell r="J27">
            <v>96.465599999999995</v>
          </cell>
          <cell r="K27">
            <v>54.965600000000002</v>
          </cell>
          <cell r="L27">
            <v>25.523800000000001</v>
          </cell>
          <cell r="M27">
            <v>54.368499999999997</v>
          </cell>
          <cell r="N27">
            <v>44.743699999999997</v>
          </cell>
        </row>
        <row r="28">
          <cell r="A28" t="str">
            <v>1429P</v>
          </cell>
          <cell r="B28" t="str">
            <v>KAOS   ►ö</v>
          </cell>
          <cell r="C28" t="str">
            <v>Galena Park High School</v>
          </cell>
          <cell r="D28" t="str">
            <v>Galena Park, Texas, United States</v>
          </cell>
          <cell r="E28">
            <v>4</v>
          </cell>
          <cell r="F28">
            <v>0</v>
          </cell>
          <cell r="G28">
            <v>116.209</v>
          </cell>
          <cell r="H28">
            <v>116.209</v>
          </cell>
          <cell r="I28">
            <v>39.122500000000002</v>
          </cell>
          <cell r="J28">
            <v>38.046700000000001</v>
          </cell>
          <cell r="K28">
            <v>11.446</v>
          </cell>
        </row>
        <row r="29">
          <cell r="A29" t="str">
            <v>1492Y</v>
          </cell>
          <cell r="B29" t="str">
            <v>W.A.S.A.B.I.</v>
          </cell>
          <cell r="C29" t="str">
            <v>Big Brains Education</v>
          </cell>
          <cell r="D29" t="str">
            <v>Bellevue, Washington, United States</v>
          </cell>
          <cell r="E29">
            <v>219</v>
          </cell>
          <cell r="F29">
            <v>240</v>
          </cell>
          <cell r="G29">
            <v>102.09699999999999</v>
          </cell>
          <cell r="H29">
            <v>70.155600000000007</v>
          </cell>
          <cell r="I29">
            <v>53.765999999999998</v>
          </cell>
          <cell r="J29">
            <v>60.601999999999997</v>
          </cell>
          <cell r="K29">
            <v>62.368899999999996</v>
          </cell>
          <cell r="L29">
            <v>102.09699999999999</v>
          </cell>
          <cell r="M29">
            <v>67.354699999999994</v>
          </cell>
          <cell r="N29">
            <v>83.266800000000003</v>
          </cell>
        </row>
        <row r="30">
          <cell r="A30" t="str">
            <v>1575B</v>
          </cell>
          <cell r="B30" t="str">
            <v>Bifrost</v>
          </cell>
          <cell r="C30" t="str">
            <v>Woodbridge Senior High School</v>
          </cell>
          <cell r="D30" t="str">
            <v>Woodbridge, Virginia, United States</v>
          </cell>
          <cell r="E30">
            <v>251</v>
          </cell>
          <cell r="F30">
            <v>153</v>
          </cell>
          <cell r="G30">
            <v>102.548</v>
          </cell>
          <cell r="H30">
            <v>90.414100000000005</v>
          </cell>
          <cell r="I30">
            <v>75.868399999999994</v>
          </cell>
          <cell r="J30">
            <v>47.656100000000002</v>
          </cell>
          <cell r="K30">
            <v>102.548</v>
          </cell>
          <cell r="L30">
            <v>52.654699999999998</v>
          </cell>
          <cell r="M30">
            <v>25.3125</v>
          </cell>
          <cell r="N30">
            <v>21.375599999999999</v>
          </cell>
        </row>
        <row r="31">
          <cell r="A31" t="str">
            <v>1623A</v>
          </cell>
          <cell r="B31" t="str">
            <v>William Penn A</v>
          </cell>
          <cell r="C31" t="str">
            <v>William Penn High School</v>
          </cell>
          <cell r="D31" t="str">
            <v>New Castle, Delaware, United States</v>
          </cell>
          <cell r="E31">
            <v>0</v>
          </cell>
          <cell r="F31">
            <v>0</v>
          </cell>
          <cell r="G31">
            <v>4.9701899999999997</v>
          </cell>
          <cell r="H31">
            <v>4.9701899999999997</v>
          </cell>
        </row>
        <row r="32">
          <cell r="A32" t="str">
            <v>1841A</v>
          </cell>
          <cell r="B32" t="str">
            <v>Buff 'n Blue</v>
          </cell>
          <cell r="C32" t="str">
            <v>Punahou School</v>
          </cell>
          <cell r="D32" t="str">
            <v>Honolulu, Hawaii, United States</v>
          </cell>
          <cell r="E32">
            <v>67</v>
          </cell>
          <cell r="F32">
            <v>80</v>
          </cell>
          <cell r="G32">
            <v>83.081199999999995</v>
          </cell>
          <cell r="H32">
            <v>51.180999999999997</v>
          </cell>
          <cell r="I32">
            <v>83.081199999999995</v>
          </cell>
          <cell r="J32">
            <v>42.198700000000002</v>
          </cell>
        </row>
        <row r="33">
          <cell r="A33" t="str">
            <v>1983A</v>
          </cell>
          <cell r="B33" t="str">
            <v>Alpha Skunks</v>
          </cell>
          <cell r="C33" t="str">
            <v>Raisbeck Aviation High School</v>
          </cell>
          <cell r="D33" t="str">
            <v>Seattle, Washington, United States</v>
          </cell>
          <cell r="E33">
            <v>47</v>
          </cell>
          <cell r="F33">
            <v>52</v>
          </cell>
          <cell r="G33">
            <v>71.231800000000007</v>
          </cell>
          <cell r="H33">
            <v>71.231800000000007</v>
          </cell>
          <cell r="I33">
            <v>38.522500000000001</v>
          </cell>
          <cell r="J33">
            <v>26.110800000000001</v>
          </cell>
          <cell r="K33">
            <v>43.106299999999997</v>
          </cell>
          <cell r="L33">
            <v>19.6313</v>
          </cell>
          <cell r="M33">
            <v>10.756500000000001</v>
          </cell>
        </row>
        <row r="34">
          <cell r="A34" t="str">
            <v>2105A</v>
          </cell>
          <cell r="B34" t="str">
            <v>Swampbotics</v>
          </cell>
          <cell r="C34" t="str">
            <v>Ware County High School</v>
          </cell>
          <cell r="D34" t="str">
            <v>Waycross, Georgia, United States</v>
          </cell>
          <cell r="E34">
            <v>314</v>
          </cell>
          <cell r="F34">
            <v>330</v>
          </cell>
          <cell r="G34">
            <v>136.68</v>
          </cell>
          <cell r="H34">
            <v>136.68</v>
          </cell>
          <cell r="I34">
            <v>58.663600000000002</v>
          </cell>
          <cell r="J34">
            <v>58.347099999999998</v>
          </cell>
          <cell r="K34">
            <v>68.696299999999994</v>
          </cell>
          <cell r="L34">
            <v>57.115600000000001</v>
          </cell>
          <cell r="M34">
            <v>75.795500000000004</v>
          </cell>
        </row>
        <row r="35">
          <cell r="A35" t="str">
            <v>2131G</v>
          </cell>
          <cell r="B35" t="str">
            <v>Golden StallionZ</v>
          </cell>
          <cell r="C35" t="str">
            <v>Davis High School</v>
          </cell>
          <cell r="D35" t="str">
            <v>Kaysville, Utah, United States</v>
          </cell>
          <cell r="E35">
            <v>277</v>
          </cell>
          <cell r="F35">
            <v>280</v>
          </cell>
          <cell r="G35">
            <v>142.321</v>
          </cell>
          <cell r="H35">
            <v>142.321</v>
          </cell>
          <cell r="I35">
            <v>121.52</v>
          </cell>
          <cell r="J35">
            <v>122.584</v>
          </cell>
          <cell r="K35">
            <v>121.661</v>
          </cell>
          <cell r="L35">
            <v>36.493899999999996</v>
          </cell>
          <cell r="M35">
            <v>88.694199999999995</v>
          </cell>
          <cell r="N35">
            <v>134.239</v>
          </cell>
        </row>
        <row r="36">
          <cell r="A36" t="str">
            <v>2250F</v>
          </cell>
          <cell r="B36" t="str">
            <v>Brigida Alvarez-HS ADV</v>
          </cell>
          <cell r="C36" t="str">
            <v>Brigida Alvarez Rodriguez</v>
          </cell>
          <cell r="D36" t="str">
            <v>Vega Baja, Not Applicable or Not Listed, Puerto Rico</v>
          </cell>
          <cell r="E36">
            <v>211</v>
          </cell>
          <cell r="F36">
            <v>123</v>
          </cell>
          <cell r="G36">
            <v>103.84099999999999</v>
          </cell>
          <cell r="H36">
            <v>93.130700000000004</v>
          </cell>
          <cell r="I36">
            <v>103.84099999999999</v>
          </cell>
          <cell r="J36">
            <v>22.650300000000001</v>
          </cell>
        </row>
        <row r="37">
          <cell r="A37" t="str">
            <v>2442B</v>
          </cell>
          <cell r="B37" t="str">
            <v>Bancroft Robodogs B</v>
          </cell>
          <cell r="C37" t="str">
            <v>Bancroft School</v>
          </cell>
          <cell r="D37" t="str">
            <v>Worcester, Massachusetts, United States</v>
          </cell>
          <cell r="E37">
            <v>160</v>
          </cell>
          <cell r="F37">
            <v>116</v>
          </cell>
          <cell r="G37">
            <v>79.793999999999997</v>
          </cell>
          <cell r="H37">
            <v>79.793999999999997</v>
          </cell>
          <cell r="I37">
            <v>76.956500000000005</v>
          </cell>
          <cell r="J37">
            <v>17.279299999999999</v>
          </cell>
          <cell r="K37">
            <v>16.935199999999998</v>
          </cell>
          <cell r="L37">
            <v>39.614100000000001</v>
          </cell>
        </row>
        <row r="38">
          <cell r="A38" t="str">
            <v>2567A</v>
          </cell>
          <cell r="B38" t="str">
            <v>Porta-Botz!</v>
          </cell>
          <cell r="C38" t="str">
            <v>Portage High School PLTW</v>
          </cell>
          <cell r="D38" t="str">
            <v>Portage, Indiana, United States</v>
          </cell>
          <cell r="E38">
            <v>217</v>
          </cell>
          <cell r="F38">
            <v>135</v>
          </cell>
          <cell r="G38">
            <v>108.62</v>
          </cell>
          <cell r="H38">
            <v>105.48699999999999</v>
          </cell>
          <cell r="I38">
            <v>100.172</v>
          </cell>
          <cell r="J38">
            <v>108.62</v>
          </cell>
          <cell r="K38">
            <v>96.934399999999997</v>
          </cell>
          <cell r="L38">
            <v>80.688500000000005</v>
          </cell>
          <cell r="M38">
            <v>17.560700000000001</v>
          </cell>
          <cell r="N38">
            <v>6.1615399999999996</v>
          </cell>
          <cell r="O38">
            <v>10.694699999999999</v>
          </cell>
        </row>
        <row r="39">
          <cell r="A39" t="str">
            <v>2605A</v>
          </cell>
          <cell r="B39" t="str">
            <v>Sehome Sea Monsters A</v>
          </cell>
          <cell r="C39" t="str">
            <v>Sehome High School</v>
          </cell>
          <cell r="D39" t="str">
            <v>Bellingham, Washington, United States</v>
          </cell>
          <cell r="E39">
            <v>242</v>
          </cell>
          <cell r="F39">
            <v>57</v>
          </cell>
          <cell r="G39">
            <v>164.81299999999999</v>
          </cell>
          <cell r="H39">
            <v>164.81299999999999</v>
          </cell>
          <cell r="I39">
            <v>125.831</v>
          </cell>
          <cell r="J39">
            <v>91.517200000000003</v>
          </cell>
          <cell r="K39">
            <v>33.1875</v>
          </cell>
        </row>
        <row r="40">
          <cell r="A40" t="str">
            <v>2777N</v>
          </cell>
          <cell r="B40" t="str">
            <v>2andthree7'sthenaN</v>
          </cell>
          <cell r="C40" t="str">
            <v>McMichael HS</v>
          </cell>
          <cell r="D40" t="str">
            <v>Mayodan, North Carolina, United States</v>
          </cell>
          <cell r="E40">
            <v>43</v>
          </cell>
          <cell r="F40">
            <v>7</v>
          </cell>
          <cell r="G40">
            <v>34.226599999999998</v>
          </cell>
          <cell r="H40">
            <v>27.181000000000001</v>
          </cell>
          <cell r="I40">
            <v>34.226599999999998</v>
          </cell>
          <cell r="J40">
            <v>22.118200000000002</v>
          </cell>
        </row>
        <row r="41">
          <cell r="A41" t="str">
            <v>2918E</v>
          </cell>
          <cell r="B41" t="str">
            <v>GCEC E</v>
          </cell>
          <cell r="C41" t="str">
            <v>Glenfield College</v>
          </cell>
          <cell r="D41" t="str">
            <v>Glenfield, Not Applicable or Not Listed, New Zealand</v>
          </cell>
          <cell r="E41">
            <v>220</v>
          </cell>
          <cell r="F41">
            <v>0</v>
          </cell>
          <cell r="G41">
            <v>98.222300000000004</v>
          </cell>
          <cell r="H41">
            <v>86.288899999999998</v>
          </cell>
          <cell r="I41">
            <v>98.222300000000004</v>
          </cell>
          <cell r="J41">
            <v>32.287599999999998</v>
          </cell>
        </row>
        <row r="42">
          <cell r="A42" t="str">
            <v>3211H</v>
          </cell>
          <cell r="B42" t="str">
            <v>BeatBotz</v>
          </cell>
          <cell r="C42" t="str">
            <v>Boy Scouts   Troop 211</v>
          </cell>
          <cell r="D42" t="str">
            <v>Sartell, Minnesota, United States</v>
          </cell>
          <cell r="E42">
            <v>280</v>
          </cell>
          <cell r="F42">
            <v>126</v>
          </cell>
          <cell r="G42">
            <v>85.185900000000004</v>
          </cell>
          <cell r="H42">
            <v>85.185900000000004</v>
          </cell>
          <cell r="I42">
            <v>49.811100000000003</v>
          </cell>
          <cell r="J42">
            <v>59.941400000000002</v>
          </cell>
          <cell r="K42">
            <v>67.316599999999994</v>
          </cell>
          <cell r="L42">
            <v>23.5138</v>
          </cell>
        </row>
        <row r="43">
          <cell r="A43" t="str">
            <v>3288C</v>
          </cell>
          <cell r="B43" t="str">
            <v>China ROBOTC</v>
          </cell>
          <cell r="C43" t="str">
            <v>ChinaRobotC</v>
          </cell>
          <cell r="D43" t="str">
            <v>Xi'an, N/A, China</v>
          </cell>
          <cell r="E43">
            <v>0</v>
          </cell>
          <cell r="F43">
            <v>320</v>
          </cell>
        </row>
        <row r="44">
          <cell r="A44" t="str">
            <v>3388T</v>
          </cell>
          <cell r="B44" t="str">
            <v>TurboTech</v>
          </cell>
          <cell r="C44" t="str">
            <v>Sir Winston Churchill High School</v>
          </cell>
          <cell r="D44" t="str">
            <v>Calgary, Alberta, Canada</v>
          </cell>
          <cell r="E44">
            <v>305</v>
          </cell>
          <cell r="F44">
            <v>145</v>
          </cell>
          <cell r="G44">
            <v>138.31899999999999</v>
          </cell>
          <cell r="H44">
            <v>138.31899999999999</v>
          </cell>
          <cell r="I44">
            <v>95.3</v>
          </cell>
          <cell r="J44">
            <v>124.664</v>
          </cell>
          <cell r="K44">
            <v>73.139600000000002</v>
          </cell>
        </row>
        <row r="45">
          <cell r="A45" t="str">
            <v>3767B</v>
          </cell>
          <cell r="B45" t="str">
            <v>Titan Robotics</v>
          </cell>
          <cell r="C45" t="str">
            <v>West Senior High School</v>
          </cell>
          <cell r="D45" t="str">
            <v>Traverse City, Michigan, United States</v>
          </cell>
          <cell r="E45">
            <v>139</v>
          </cell>
          <cell r="F45">
            <v>137</v>
          </cell>
          <cell r="G45">
            <v>114.527</v>
          </cell>
          <cell r="H45">
            <v>114.527</v>
          </cell>
          <cell r="I45">
            <v>113.779</v>
          </cell>
          <cell r="J45">
            <v>-5.69231</v>
          </cell>
        </row>
        <row r="46">
          <cell r="A46" t="str">
            <v>3946A</v>
          </cell>
          <cell r="B46" t="str">
            <v>Sun Devils</v>
          </cell>
          <cell r="C46" t="str">
            <v>Kent Denver School</v>
          </cell>
          <cell r="D46" t="str">
            <v>Englewood, Colorado, United States</v>
          </cell>
          <cell r="E46">
            <v>359</v>
          </cell>
          <cell r="F46">
            <v>148</v>
          </cell>
          <cell r="G46">
            <v>104.44199999999999</v>
          </cell>
          <cell r="H46">
            <v>96.911000000000001</v>
          </cell>
          <cell r="I46">
            <v>69.733599999999996</v>
          </cell>
          <cell r="J46">
            <v>68.135000000000005</v>
          </cell>
          <cell r="K46">
            <v>104.44199999999999</v>
          </cell>
          <cell r="L46">
            <v>50.923400000000001</v>
          </cell>
          <cell r="M46">
            <v>73.137</v>
          </cell>
        </row>
        <row r="47">
          <cell r="A47" t="str">
            <v>4029A</v>
          </cell>
          <cell r="B47" t="str">
            <v>Excalibots</v>
          </cell>
          <cell r="C47" t="str">
            <v xml:space="preserve">Leesburg Robotics Alliance </v>
          </cell>
          <cell r="D47" t="str">
            <v>Leesburg, Florida, United States</v>
          </cell>
          <cell r="E47">
            <v>167</v>
          </cell>
          <cell r="F47">
            <v>231</v>
          </cell>
          <cell r="G47">
            <v>119.961</v>
          </cell>
          <cell r="H47">
            <v>119.961</v>
          </cell>
          <cell r="I47">
            <v>80.898799999999994</v>
          </cell>
          <cell r="J47">
            <v>96.556899999999999</v>
          </cell>
          <cell r="K47">
            <v>14.337300000000001</v>
          </cell>
        </row>
        <row r="48">
          <cell r="A48" t="str">
            <v>4146V</v>
          </cell>
          <cell r="B48" t="str">
            <v>Sabercat Robotics</v>
          </cell>
          <cell r="C48" t="str">
            <v>Scottsdale Unified Schools-- Saguaro High School</v>
          </cell>
          <cell r="D48" t="str">
            <v>Scottsdale, Arizona, United States</v>
          </cell>
          <cell r="E48">
            <v>130</v>
          </cell>
          <cell r="F48">
            <v>77</v>
          </cell>
          <cell r="G48">
            <v>118.139</v>
          </cell>
          <cell r="H48">
            <v>118.139</v>
          </cell>
          <cell r="I48">
            <v>88.537400000000005</v>
          </cell>
          <cell r="J48">
            <v>75.010599999999997</v>
          </cell>
          <cell r="K48">
            <v>70.727900000000005</v>
          </cell>
        </row>
        <row r="49">
          <cell r="A49" t="str">
            <v>4194E</v>
          </cell>
          <cell r="B49" t="str">
            <v>TAS E</v>
          </cell>
          <cell r="C49" t="str">
            <v>Taipei American School</v>
          </cell>
          <cell r="D49" t="str">
            <v>Taipei, Not Applicable or Not Listed, Taiwan</v>
          </cell>
          <cell r="E49">
            <v>166</v>
          </cell>
          <cell r="F49">
            <v>153</v>
          </cell>
          <cell r="G49">
            <v>66.361900000000006</v>
          </cell>
          <cell r="H49">
            <v>66.361900000000006</v>
          </cell>
        </row>
        <row r="50">
          <cell r="A50" t="str">
            <v>4393R</v>
          </cell>
          <cell r="B50" t="str">
            <v>Penguins B</v>
          </cell>
          <cell r="C50" t="str">
            <v>Maine School of Science and Mathematics</v>
          </cell>
          <cell r="D50" t="str">
            <v>Limestone, Maine, United States</v>
          </cell>
          <cell r="E50">
            <v>29</v>
          </cell>
          <cell r="F50">
            <v>20</v>
          </cell>
          <cell r="G50">
            <v>29.907499999999999</v>
          </cell>
          <cell r="H50">
            <v>29.907499999999999</v>
          </cell>
          <cell r="I50">
            <v>13.946999999999999</v>
          </cell>
        </row>
        <row r="51">
          <cell r="A51" t="str">
            <v>4478F</v>
          </cell>
          <cell r="B51" t="str">
            <v>Vex Hunters</v>
          </cell>
          <cell r="C51" t="str">
            <v>Masuk High School Robotics Team</v>
          </cell>
          <cell r="D51" t="str">
            <v>Monroe, Connecticut, United States</v>
          </cell>
          <cell r="E51">
            <v>103</v>
          </cell>
          <cell r="F51">
            <v>81</v>
          </cell>
          <cell r="G51">
            <v>102.669</v>
          </cell>
          <cell r="H51">
            <v>92.849500000000006</v>
          </cell>
          <cell r="I51">
            <v>89.517099999999999</v>
          </cell>
          <cell r="J51">
            <v>54.122500000000002</v>
          </cell>
          <cell r="K51">
            <v>102.669</v>
          </cell>
          <cell r="L51">
            <v>33.683900000000001</v>
          </cell>
          <cell r="M51">
            <v>1.4581999999999999</v>
          </cell>
          <cell r="N51">
            <v>13.5002</v>
          </cell>
        </row>
        <row r="52">
          <cell r="A52" t="str">
            <v>4716D</v>
          </cell>
          <cell r="B52" t="str">
            <v>Pingree Servomatics</v>
          </cell>
          <cell r="C52" t="str">
            <v>Pingree School</v>
          </cell>
          <cell r="D52" t="str">
            <v>S. Hamilton, Massachusetts, United States</v>
          </cell>
          <cell r="E52">
            <v>105</v>
          </cell>
          <cell r="F52">
            <v>150</v>
          </cell>
          <cell r="G52">
            <v>88.680400000000006</v>
          </cell>
          <cell r="H52">
            <v>84.113200000000006</v>
          </cell>
          <cell r="I52">
            <v>88.680400000000006</v>
          </cell>
          <cell r="J52">
            <v>67.422200000000004</v>
          </cell>
          <cell r="K52">
            <v>29.464300000000001</v>
          </cell>
          <cell r="L52">
            <v>15.8947</v>
          </cell>
        </row>
        <row r="53">
          <cell r="A53" t="str">
            <v>4815B</v>
          </cell>
          <cell r="B53" t="str">
            <v>CPC B Team</v>
          </cell>
          <cell r="C53" t="str">
            <v>WEO CHANG PUI CHUNG MEMORIAL SCHOOL</v>
          </cell>
          <cell r="D53" t="str">
            <v>TSEUNG KWAN O, Not Applicable or Not Listed, Hong Kong</v>
          </cell>
          <cell r="E53">
            <v>295</v>
          </cell>
          <cell r="F53">
            <v>263</v>
          </cell>
          <cell r="G53">
            <v>91.036600000000007</v>
          </cell>
          <cell r="H53">
            <v>91.036600000000007</v>
          </cell>
        </row>
        <row r="54">
          <cell r="A54" t="str">
            <v>4886A</v>
          </cell>
          <cell r="B54" t="str">
            <v>Black Mesa</v>
          </cell>
          <cell r="C54" t="str">
            <v>Thetford Academy</v>
          </cell>
          <cell r="D54" t="str">
            <v>Thetford, Vermont, United States</v>
          </cell>
          <cell r="E54">
            <v>163</v>
          </cell>
          <cell r="F54">
            <v>146</v>
          </cell>
          <cell r="G54">
            <v>125.179</v>
          </cell>
          <cell r="H54">
            <v>125.179</v>
          </cell>
          <cell r="I54">
            <v>71.413799999999995</v>
          </cell>
          <cell r="J54">
            <v>84.884299999999996</v>
          </cell>
          <cell r="K54">
            <v>43.179400000000001</v>
          </cell>
          <cell r="L54">
            <v>31.5123</v>
          </cell>
        </row>
        <row r="55">
          <cell r="A55" t="str">
            <v>5062B</v>
          </cell>
          <cell r="B55" t="str">
            <v>Black Fox</v>
          </cell>
          <cell r="C55" t="str">
            <v>Fox Valley Lutheran High School</v>
          </cell>
          <cell r="D55" t="str">
            <v>Appleton, Wisconsin, United States</v>
          </cell>
          <cell r="E55">
            <v>300</v>
          </cell>
          <cell r="F55">
            <v>140</v>
          </cell>
          <cell r="G55">
            <v>81.725999999999999</v>
          </cell>
          <cell r="H55">
            <v>50.772500000000001</v>
          </cell>
          <cell r="I55">
            <v>74.109300000000005</v>
          </cell>
          <cell r="J55">
            <v>81.725999999999999</v>
          </cell>
          <cell r="K55">
            <v>75.759799999999998</v>
          </cell>
          <cell r="L55">
            <v>48.0244</v>
          </cell>
          <cell r="M55">
            <v>0</v>
          </cell>
        </row>
        <row r="56">
          <cell r="A56" t="str">
            <v>5139A</v>
          </cell>
          <cell r="B56" t="str">
            <v>Robinson Bulldogs</v>
          </cell>
          <cell r="C56" t="str">
            <v>Jay M Robinson High School</v>
          </cell>
          <cell r="D56" t="str">
            <v>Concord, North Carolina, United States</v>
          </cell>
          <cell r="E56">
            <v>70</v>
          </cell>
          <cell r="F56">
            <v>121</v>
          </cell>
          <cell r="G56">
            <v>74.551500000000004</v>
          </cell>
          <cell r="H56">
            <v>74.551500000000004</v>
          </cell>
          <cell r="I56">
            <v>49.181699999999999</v>
          </cell>
          <cell r="J56">
            <v>42.923400000000001</v>
          </cell>
          <cell r="K56">
            <v>22.5715</v>
          </cell>
        </row>
        <row r="57">
          <cell r="A57" t="str">
            <v>5225A</v>
          </cell>
          <cell r="B57" t="str">
            <v>E-Bots Pilons</v>
          </cell>
          <cell r="C57" t="str">
            <v>E-Bots</v>
          </cell>
          <cell r="D57" t="str">
            <v>Oakville, Ontario, Canada</v>
          </cell>
          <cell r="E57">
            <v>227</v>
          </cell>
          <cell r="F57">
            <v>320</v>
          </cell>
          <cell r="G57">
            <v>84.736699999999999</v>
          </cell>
          <cell r="H57">
            <v>61.508400000000002</v>
          </cell>
          <cell r="I57">
            <v>84.736699999999999</v>
          </cell>
          <cell r="J57">
            <v>59.034799999999997</v>
          </cell>
        </row>
        <row r="58">
          <cell r="A58" t="str">
            <v>5327D</v>
          </cell>
          <cell r="B58" t="str">
            <v>Gael Force</v>
          </cell>
          <cell r="C58" t="str">
            <v>Dublin High School</v>
          </cell>
          <cell r="D58" t="str">
            <v>Dublin, California, United States</v>
          </cell>
          <cell r="E58">
            <v>270</v>
          </cell>
          <cell r="F58">
            <v>321</v>
          </cell>
          <cell r="G58">
            <v>86.104200000000006</v>
          </cell>
          <cell r="H58">
            <v>71.400400000000005</v>
          </cell>
          <cell r="I58">
            <v>86.104200000000006</v>
          </cell>
          <cell r="J58">
            <v>14.3674</v>
          </cell>
          <cell r="K58">
            <v>84.800799999999995</v>
          </cell>
          <cell r="L58">
            <v>51.688899999999997</v>
          </cell>
          <cell r="M58">
            <v>36.859099999999998</v>
          </cell>
          <cell r="N58">
            <v>4.01694</v>
          </cell>
        </row>
        <row r="59">
          <cell r="A59" t="str">
            <v>5454F</v>
          </cell>
          <cell r="B59" t="str">
            <v>FLAMINGOS</v>
          </cell>
          <cell r="C59" t="str">
            <v>Elkhorn Crossing School</v>
          </cell>
          <cell r="D59" t="str">
            <v>Georgetown, Kentucky, United States</v>
          </cell>
          <cell r="E59">
            <v>290</v>
          </cell>
          <cell r="F59">
            <v>160</v>
          </cell>
          <cell r="G59">
            <v>122.809</v>
          </cell>
          <cell r="H59">
            <v>114.095</v>
          </cell>
          <cell r="I59">
            <v>116.666</v>
          </cell>
          <cell r="J59">
            <v>122.809</v>
          </cell>
          <cell r="K59">
            <v>52.152000000000001</v>
          </cell>
          <cell r="L59">
            <v>31.690200000000001</v>
          </cell>
          <cell r="M59">
            <v>9.6425400000000003</v>
          </cell>
          <cell r="N59">
            <v>14.485099999999999</v>
          </cell>
          <cell r="O59">
            <v>14.7494</v>
          </cell>
        </row>
        <row r="60">
          <cell r="A60" t="str">
            <v>5509A</v>
          </cell>
          <cell r="B60" t="str">
            <v>VHS Crusaders</v>
          </cell>
          <cell r="C60" t="str">
            <v>Valley Home Schoolers</v>
          </cell>
          <cell r="D60" t="str">
            <v>Greenville, Wisconsin, United States</v>
          </cell>
          <cell r="E60">
            <v>216</v>
          </cell>
          <cell r="F60">
            <v>206</v>
          </cell>
          <cell r="G60">
            <v>106.464</v>
          </cell>
          <cell r="H60">
            <v>106.464</v>
          </cell>
          <cell r="I60">
            <v>88.784400000000005</v>
          </cell>
          <cell r="J60">
            <v>85.892300000000006</v>
          </cell>
          <cell r="K60">
            <v>63.3521</v>
          </cell>
          <cell r="L60">
            <v>22.5182</v>
          </cell>
          <cell r="M60">
            <v>74.718800000000002</v>
          </cell>
        </row>
        <row r="61">
          <cell r="A61" t="str">
            <v>5691X</v>
          </cell>
          <cell r="B61" t="str">
            <v>BHE Skunkworks Division</v>
          </cell>
          <cell r="C61" t="str">
            <v>Bryant High School</v>
          </cell>
          <cell r="D61" t="str">
            <v>Bryant, Arkansas, United States</v>
          </cell>
          <cell r="E61">
            <v>227</v>
          </cell>
          <cell r="F61">
            <v>0</v>
          </cell>
          <cell r="G61">
            <v>122.761</v>
          </cell>
          <cell r="H61">
            <v>122.761</v>
          </cell>
        </row>
        <row r="62">
          <cell r="A62" t="str">
            <v>5776</v>
          </cell>
          <cell r="B62" t="str">
            <v>DVHS Robotics</v>
          </cell>
          <cell r="C62" t="str">
            <v>Dougherty Valley High School</v>
          </cell>
          <cell r="D62" t="str">
            <v>San Ramon, California, United States</v>
          </cell>
          <cell r="E62">
            <v>309</v>
          </cell>
          <cell r="F62">
            <v>273</v>
          </cell>
          <cell r="G62">
            <v>93.028599999999997</v>
          </cell>
          <cell r="H62">
            <v>93.028599999999997</v>
          </cell>
          <cell r="I62">
            <v>81.656599999999997</v>
          </cell>
          <cell r="J62">
            <v>62.527999999999999</v>
          </cell>
          <cell r="K62">
            <v>89.557699999999997</v>
          </cell>
          <cell r="L62">
            <v>55.154000000000003</v>
          </cell>
          <cell r="M62">
            <v>64.810699999999997</v>
          </cell>
        </row>
        <row r="63">
          <cell r="A63" t="str">
            <v>5801</v>
          </cell>
          <cell r="B63" t="str">
            <v>Robo Storm</v>
          </cell>
          <cell r="C63" t="str">
            <v>T.E.A.C.H. Homeschool</v>
          </cell>
          <cell r="D63" t="str">
            <v>Grawn, Michigan, United States</v>
          </cell>
          <cell r="E63">
            <v>153</v>
          </cell>
          <cell r="F63">
            <v>125</v>
          </cell>
          <cell r="G63">
            <v>133.18</v>
          </cell>
          <cell r="H63">
            <v>93.208500000000001</v>
          </cell>
          <cell r="I63">
            <v>113.197</v>
          </cell>
          <cell r="J63">
            <v>133.18</v>
          </cell>
          <cell r="K63">
            <v>59.2866</v>
          </cell>
          <cell r="L63">
            <v>5.69231</v>
          </cell>
        </row>
        <row r="64">
          <cell r="A64" t="str">
            <v>5956B</v>
          </cell>
          <cell r="B64" t="str">
            <v>Bangarang</v>
          </cell>
          <cell r="C64" t="str">
            <v>Timber Creek High School</v>
          </cell>
          <cell r="D64" t="str">
            <v>Orlando, Florida, United States</v>
          </cell>
          <cell r="E64">
            <v>250</v>
          </cell>
          <cell r="F64">
            <v>173</v>
          </cell>
          <cell r="G64">
            <v>75.522099999999995</v>
          </cell>
          <cell r="H64">
            <v>0</v>
          </cell>
          <cell r="I64">
            <v>32.737000000000002</v>
          </cell>
          <cell r="J64">
            <v>75.522099999999995</v>
          </cell>
          <cell r="K64">
            <v>61.689</v>
          </cell>
          <cell r="L64">
            <v>36.724299999999999</v>
          </cell>
        </row>
        <row r="65">
          <cell r="A65" t="str">
            <v>6024B</v>
          </cell>
          <cell r="B65" t="str">
            <v>Bruhsiden</v>
          </cell>
          <cell r="C65" t="str">
            <v>Fosston High School</v>
          </cell>
          <cell r="D65" t="str">
            <v>Fosston, Minnesota, United States</v>
          </cell>
          <cell r="E65">
            <v>137</v>
          </cell>
          <cell r="F65">
            <v>108</v>
          </cell>
          <cell r="G65">
            <v>59.362900000000003</v>
          </cell>
          <cell r="H65">
            <v>59.362900000000003</v>
          </cell>
          <cell r="I65">
            <v>23.5596</v>
          </cell>
          <cell r="J65">
            <v>19.370899999999999</v>
          </cell>
          <cell r="K65">
            <v>9.3122900000000008</v>
          </cell>
        </row>
        <row r="66">
          <cell r="A66" t="str">
            <v>6116D</v>
          </cell>
          <cell r="B66" t="str">
            <v>Fluffy</v>
          </cell>
          <cell r="C66" t="str">
            <v>Star Valley High School</v>
          </cell>
          <cell r="D66" t="str">
            <v>Afton, Wyoming, United States</v>
          </cell>
          <cell r="E66">
            <v>0</v>
          </cell>
          <cell r="F66">
            <v>0</v>
          </cell>
          <cell r="G66">
            <v>71.0608</v>
          </cell>
          <cell r="H66">
            <v>54.820700000000002</v>
          </cell>
          <cell r="I66">
            <v>71.0608</v>
          </cell>
        </row>
        <row r="67">
          <cell r="A67" t="str">
            <v>6165S</v>
          </cell>
          <cell r="B67" t="str">
            <v>Salvauth Park</v>
          </cell>
          <cell r="C67" t="str">
            <v>El Raco dels Robotaires</v>
          </cell>
          <cell r="D67" t="str">
            <v>Girona, Girona, Spain</v>
          </cell>
          <cell r="E67">
            <v>0</v>
          </cell>
          <cell r="F67">
            <v>0</v>
          </cell>
          <cell r="G67">
            <v>104.044</v>
          </cell>
          <cell r="H67">
            <v>104.044</v>
          </cell>
        </row>
        <row r="68">
          <cell r="A68" t="str">
            <v>6297E</v>
          </cell>
          <cell r="B68" t="str">
            <v>FCS Paladins</v>
          </cell>
          <cell r="C68" t="str">
            <v>Fellowship Christian High School</v>
          </cell>
          <cell r="D68" t="str">
            <v>Roswell, Georgia, United States</v>
          </cell>
          <cell r="E68">
            <v>121</v>
          </cell>
          <cell r="F68">
            <v>32</v>
          </cell>
          <cell r="G68">
            <v>88.700999999999993</v>
          </cell>
          <cell r="H68">
            <v>88.700999999999993</v>
          </cell>
          <cell r="I68">
            <v>43.420999999999999</v>
          </cell>
          <cell r="J68">
            <v>48.035400000000003</v>
          </cell>
          <cell r="K68">
            <v>55.786499999999997</v>
          </cell>
          <cell r="L68">
            <v>75.762200000000007</v>
          </cell>
          <cell r="M68">
            <v>62.820099999999996</v>
          </cell>
          <cell r="N68">
            <v>15.883900000000001</v>
          </cell>
        </row>
        <row r="69">
          <cell r="A69" t="str">
            <v>6460</v>
          </cell>
          <cell r="B69" t="str">
            <v>MAGNOBOTS</v>
          </cell>
          <cell r="C69" t="str">
            <v>magnolia science academy 1</v>
          </cell>
          <cell r="D69" t="str">
            <v>reseda, California, United States</v>
          </cell>
          <cell r="E69">
            <v>291</v>
          </cell>
          <cell r="F69">
            <v>117</v>
          </cell>
          <cell r="G69">
            <v>80.387200000000007</v>
          </cell>
          <cell r="H69">
            <v>80.387200000000007</v>
          </cell>
          <cell r="I69">
            <v>52.203899999999997</v>
          </cell>
          <cell r="J69">
            <v>0</v>
          </cell>
        </row>
        <row r="70">
          <cell r="A70" t="str">
            <v>6661A</v>
          </cell>
          <cell r="B70" t="str">
            <v>Davis College</v>
          </cell>
          <cell r="C70" t="str">
            <v>Davis College</v>
          </cell>
          <cell r="D70" t="str">
            <v>Co. Cork, N/A, Ireland</v>
          </cell>
          <cell r="E70">
            <v>0</v>
          </cell>
          <cell r="F70">
            <v>0</v>
          </cell>
        </row>
        <row r="71">
          <cell r="A71" t="str">
            <v>6813B</v>
          </cell>
          <cell r="B71" t="str">
            <v>MW M^3</v>
          </cell>
          <cell r="C71" t="str">
            <v>MILLARD WEST HIGH SCHOOL</v>
          </cell>
          <cell r="D71" t="str">
            <v>OMAHA, Nebraska, United States</v>
          </cell>
          <cell r="E71">
            <v>306</v>
          </cell>
          <cell r="F71">
            <v>141</v>
          </cell>
          <cell r="G71">
            <v>107.57599999999999</v>
          </cell>
          <cell r="H71">
            <v>93.349800000000002</v>
          </cell>
          <cell r="I71">
            <v>34.460500000000003</v>
          </cell>
          <cell r="J71">
            <v>67.002300000000005</v>
          </cell>
          <cell r="K71">
            <v>90.234099999999998</v>
          </cell>
          <cell r="L71">
            <v>107.57599999999999</v>
          </cell>
          <cell r="M71">
            <v>88.331800000000001</v>
          </cell>
        </row>
        <row r="72">
          <cell r="A72" t="str">
            <v>6916A</v>
          </cell>
          <cell r="B72" t="str">
            <v>BVT VEX Robotics</v>
          </cell>
          <cell r="C72" t="str">
            <v>Blackstone Valley Regional High School</v>
          </cell>
          <cell r="D72" t="str">
            <v>Upton, Massachusetts, United States</v>
          </cell>
          <cell r="E72">
            <v>96</v>
          </cell>
          <cell r="F72">
            <v>0</v>
          </cell>
          <cell r="G72">
            <v>75.540199999999999</v>
          </cell>
          <cell r="H72">
            <v>53.038499999999999</v>
          </cell>
          <cell r="I72">
            <v>24.377400000000002</v>
          </cell>
          <cell r="J72">
            <v>75.540199999999999</v>
          </cell>
          <cell r="K72">
            <v>47.092300000000002</v>
          </cell>
        </row>
        <row r="73">
          <cell r="A73" t="str">
            <v>7010A</v>
          </cell>
          <cell r="B73" t="str">
            <v>Conalep Chiapas A</v>
          </cell>
          <cell r="C73" t="str">
            <v>Colegio Nacional de Educación Profesional Técnica (Conalep Chiapas)</v>
          </cell>
          <cell r="D73" t="str">
            <v>Tuxtal Gutierrez , Chiapas, Chiapas, Mexico</v>
          </cell>
          <cell r="E73">
            <v>93</v>
          </cell>
          <cell r="F73">
            <v>61</v>
          </cell>
          <cell r="G73">
            <v>105.673</v>
          </cell>
          <cell r="H73">
            <v>87.343599999999995</v>
          </cell>
          <cell r="I73">
            <v>105.673</v>
          </cell>
          <cell r="J73">
            <v>68.730900000000005</v>
          </cell>
          <cell r="K73">
            <v>89.027699999999996</v>
          </cell>
        </row>
        <row r="74">
          <cell r="A74" t="str">
            <v>7192</v>
          </cell>
          <cell r="B74" t="str">
            <v>Windom Eagles A Team</v>
          </cell>
          <cell r="C74" t="str">
            <v>Windom MS &amp; HS</v>
          </cell>
          <cell r="D74" t="str">
            <v>Windom, Minnesota, United States</v>
          </cell>
          <cell r="E74">
            <v>182</v>
          </cell>
          <cell r="F74">
            <v>105</v>
          </cell>
          <cell r="G74">
            <v>93.274799999999999</v>
          </cell>
          <cell r="H74">
            <v>93.274799999999999</v>
          </cell>
          <cell r="I74">
            <v>50.068300000000001</v>
          </cell>
          <cell r="J74">
            <v>43.6616</v>
          </cell>
          <cell r="K74">
            <v>60.573099999999997</v>
          </cell>
          <cell r="L74">
            <v>49.757399999999997</v>
          </cell>
          <cell r="M74">
            <v>4.8033700000000001</v>
          </cell>
          <cell r="N74">
            <v>44.098700000000001</v>
          </cell>
        </row>
        <row r="75">
          <cell r="A75" t="str">
            <v>7238</v>
          </cell>
          <cell r="B75" t="str">
            <v>Xiamen FLSch A</v>
          </cell>
          <cell r="C75" t="str">
            <v>Xiamen Foreign Language School</v>
          </cell>
          <cell r="D75" t="str">
            <v>xiamen, Not Applicable or Not Listed, China</v>
          </cell>
          <cell r="E75">
            <v>0</v>
          </cell>
          <cell r="F75">
            <v>0</v>
          </cell>
          <cell r="G75">
            <v>58.991799999999998</v>
          </cell>
          <cell r="H75">
            <v>58.991799999999998</v>
          </cell>
        </row>
        <row r="76">
          <cell r="A76" t="str">
            <v>7479</v>
          </cell>
          <cell r="B76" t="str">
            <v>Hillcrest</v>
          </cell>
          <cell r="C76" t="str">
            <v>Hillcrest Christian College</v>
          </cell>
          <cell r="D76" t="str">
            <v>Beaconsfield, N/A, Australia</v>
          </cell>
          <cell r="E76">
            <v>97</v>
          </cell>
          <cell r="F76">
            <v>0</v>
          </cell>
          <cell r="G76">
            <v>91.844099999999997</v>
          </cell>
          <cell r="H76">
            <v>91.844099999999997</v>
          </cell>
        </row>
        <row r="77">
          <cell r="A77" t="str">
            <v>7618A</v>
          </cell>
          <cell r="B77" t="str">
            <v>Xiangming HSch A</v>
          </cell>
          <cell r="C77" t="str">
            <v>Shanghai Xiangming High School</v>
          </cell>
          <cell r="D77" t="str">
            <v>Shanghai, Not Applicable or Not Listed, China</v>
          </cell>
          <cell r="E77">
            <v>0</v>
          </cell>
          <cell r="F77">
            <v>0</v>
          </cell>
          <cell r="G77">
            <v>109.654</v>
          </cell>
          <cell r="H77">
            <v>109.654</v>
          </cell>
        </row>
        <row r="78">
          <cell r="A78" t="str">
            <v>7700R</v>
          </cell>
          <cell r="B78" t="str">
            <v>Rolling Robots</v>
          </cell>
          <cell r="C78" t="str">
            <v>Rolling Robots</v>
          </cell>
          <cell r="D78" t="str">
            <v>Rolling Hills Estates, California, United States</v>
          </cell>
          <cell r="E78">
            <v>154</v>
          </cell>
          <cell r="F78">
            <v>209</v>
          </cell>
          <cell r="G78">
            <v>100.035</v>
          </cell>
          <cell r="H78">
            <v>100.035</v>
          </cell>
          <cell r="I78">
            <v>64.263599999999997</v>
          </cell>
          <cell r="J78">
            <v>89.839699999999993</v>
          </cell>
          <cell r="K78">
            <v>60.7712</v>
          </cell>
          <cell r="L78">
            <v>2.0360900000000002</v>
          </cell>
          <cell r="M78">
            <v>57.265000000000001</v>
          </cell>
          <cell r="N78">
            <v>47.5458</v>
          </cell>
          <cell r="O78">
            <v>21.274799999999999</v>
          </cell>
        </row>
        <row r="79">
          <cell r="A79" t="str">
            <v>7853D</v>
          </cell>
          <cell r="B79" t="str">
            <v>Black Knights-NCC-1701</v>
          </cell>
          <cell r="C79" t="str">
            <v>Sierra Vista High School</v>
          </cell>
          <cell r="D79" t="str">
            <v>Las Vegas, Nevada, United States</v>
          </cell>
          <cell r="E79">
            <v>121</v>
          </cell>
          <cell r="F79">
            <v>140</v>
          </cell>
          <cell r="G79">
            <v>96.869100000000003</v>
          </cell>
          <cell r="H79">
            <v>96.869100000000003</v>
          </cell>
          <cell r="I79">
            <v>70.109899999999996</v>
          </cell>
          <cell r="J79">
            <v>67.726799999999997</v>
          </cell>
          <cell r="K79">
            <v>-5.1007699999999998</v>
          </cell>
        </row>
        <row r="80">
          <cell r="A80" t="str">
            <v>7884A</v>
          </cell>
          <cell r="B80" t="str">
            <v>HF NO.1 HS A</v>
          </cell>
          <cell r="C80" t="str">
            <v>Hefei NO.1 High School</v>
          </cell>
          <cell r="D80" t="str">
            <v>hefei, Not Applicable or Not Listed, China</v>
          </cell>
          <cell r="E80">
            <v>0</v>
          </cell>
          <cell r="F80">
            <v>0</v>
          </cell>
        </row>
        <row r="81">
          <cell r="A81" t="str">
            <v>7983G</v>
          </cell>
          <cell r="B81" t="str">
            <v>Centennial CyberHawks</v>
          </cell>
          <cell r="C81" t="str">
            <v>Centennial High School</v>
          </cell>
          <cell r="D81" t="str">
            <v>Bakersfield, California, United States</v>
          </cell>
          <cell r="E81">
            <v>331</v>
          </cell>
          <cell r="F81">
            <v>297</v>
          </cell>
          <cell r="G81">
            <v>154.762</v>
          </cell>
          <cell r="H81">
            <v>114.123</v>
          </cell>
          <cell r="I81">
            <v>104.84699999999999</v>
          </cell>
          <cell r="J81">
            <v>154.762</v>
          </cell>
          <cell r="K81">
            <v>144.589</v>
          </cell>
          <cell r="L81">
            <v>78.489199999999997</v>
          </cell>
          <cell r="M81">
            <v>0</v>
          </cell>
        </row>
        <row r="82">
          <cell r="A82" t="str">
            <v>8044</v>
          </cell>
          <cell r="B82" t="str">
            <v>Gear Geeks</v>
          </cell>
          <cell r="C82" t="str">
            <v>Mountain Farm Robotics</v>
          </cell>
          <cell r="D82" t="str">
            <v>Broad Run, Virginia, United States</v>
          </cell>
          <cell r="E82">
            <v>256</v>
          </cell>
          <cell r="F82">
            <v>227</v>
          </cell>
          <cell r="G82">
            <v>126.711</v>
          </cell>
          <cell r="H82">
            <v>82.661299999999997</v>
          </cell>
          <cell r="I82">
            <v>83.185400000000001</v>
          </cell>
          <cell r="J82">
            <v>118.23699999999999</v>
          </cell>
          <cell r="K82">
            <v>71.727400000000003</v>
          </cell>
          <cell r="L82">
            <v>126.711</v>
          </cell>
          <cell r="M82">
            <v>13.5869</v>
          </cell>
        </row>
        <row r="83">
          <cell r="A83" t="str">
            <v>8110B</v>
          </cell>
          <cell r="B83" t="str">
            <v>Team KaBuum</v>
          </cell>
          <cell r="C83" t="str">
            <v>Mankato West High School</v>
          </cell>
          <cell r="D83" t="str">
            <v>Mankato, Minnesota, United States</v>
          </cell>
          <cell r="E83">
            <v>105</v>
          </cell>
          <cell r="F83">
            <v>156</v>
          </cell>
          <cell r="G83">
            <v>74.887799999999999</v>
          </cell>
          <cell r="H83">
            <v>59.094000000000001</v>
          </cell>
          <cell r="I83">
            <v>74.887799999999999</v>
          </cell>
          <cell r="J83">
            <v>73.078599999999994</v>
          </cell>
          <cell r="K83">
            <v>67.443299999999994</v>
          </cell>
        </row>
        <row r="84">
          <cell r="A84" t="str">
            <v>8229</v>
          </cell>
          <cell r="B84" t="str">
            <v>NO.1 HS AT ECNU A</v>
          </cell>
          <cell r="C84" t="str">
            <v>NO.1 High School Affiliated to East China Normal U</v>
          </cell>
          <cell r="D84" t="str">
            <v>Shanghai, Not Applicable or Not Listed, China</v>
          </cell>
          <cell r="E84">
            <v>0</v>
          </cell>
          <cell r="F84">
            <v>0</v>
          </cell>
          <cell r="G84">
            <v>128.98599999999999</v>
          </cell>
          <cell r="H84">
            <v>128.98599999999999</v>
          </cell>
        </row>
        <row r="85">
          <cell r="A85" t="str">
            <v>8505X</v>
          </cell>
          <cell r="B85" t="str">
            <v>SPX Gold</v>
          </cell>
          <cell r="C85" t="str">
            <v>St. Pius X High School</v>
          </cell>
          <cell r="D85" t="str">
            <v>Albuquerque, New Mexico, United States</v>
          </cell>
          <cell r="E85">
            <v>33</v>
          </cell>
          <cell r="F85">
            <v>0</v>
          </cell>
          <cell r="G85">
            <v>34.165500000000002</v>
          </cell>
          <cell r="H85">
            <v>34.165500000000002</v>
          </cell>
          <cell r="I85">
            <v>15.296099999999999</v>
          </cell>
        </row>
        <row r="86">
          <cell r="A86" t="str">
            <v>8615C</v>
          </cell>
          <cell r="B86" t="str">
            <v>The Vexecutors</v>
          </cell>
          <cell r="C86" t="str">
            <v>New Hope High School</v>
          </cell>
          <cell r="D86" t="str">
            <v>Columbus, Mississippi, United States</v>
          </cell>
          <cell r="E86">
            <v>63</v>
          </cell>
          <cell r="F86">
            <v>0</v>
          </cell>
          <cell r="G86">
            <v>70.462599999999995</v>
          </cell>
          <cell r="H86">
            <v>49.458300000000001</v>
          </cell>
          <cell r="I86">
            <v>70.462599999999995</v>
          </cell>
          <cell r="J86">
            <v>38.732700000000001</v>
          </cell>
          <cell r="K86">
            <v>41.4636</v>
          </cell>
          <cell r="L86">
            <v>7.6658799999999996</v>
          </cell>
          <cell r="M86">
            <v>22.927600000000002</v>
          </cell>
        </row>
        <row r="87">
          <cell r="A87" t="str">
            <v>8691C</v>
          </cell>
          <cell r="B87" t="str">
            <v>hefei NO.8 SMSch C</v>
          </cell>
          <cell r="C87" t="str">
            <v>Hefei No.8 Senior Middle School</v>
          </cell>
          <cell r="D87" t="str">
            <v>hefei, Not Applicable or Not Listed, China</v>
          </cell>
          <cell r="E87">
            <v>244</v>
          </cell>
          <cell r="F87">
            <v>0</v>
          </cell>
          <cell r="G87">
            <v>122.401</v>
          </cell>
          <cell r="H87">
            <v>122.401</v>
          </cell>
        </row>
        <row r="88">
          <cell r="A88" t="str">
            <v>8757</v>
          </cell>
          <cell r="B88" t="str">
            <v>House of Science</v>
          </cell>
          <cell r="C88" t="str">
            <v>House of Science TAURANGA</v>
          </cell>
          <cell r="D88" t="str">
            <v>Tauranga, Not Applicable or Not Listed, New Zealand</v>
          </cell>
          <cell r="E88">
            <v>104</v>
          </cell>
          <cell r="F88">
            <v>90</v>
          </cell>
          <cell r="G88">
            <v>89.425799999999995</v>
          </cell>
          <cell r="H88">
            <v>89.425799999999995</v>
          </cell>
          <cell r="I88">
            <v>74.573800000000006</v>
          </cell>
          <cell r="J88">
            <v>28.487400000000001</v>
          </cell>
        </row>
        <row r="89">
          <cell r="A89" t="str">
            <v>8855</v>
          </cell>
          <cell r="B89" t="str">
            <v>INT. DE EST. SUP. DE MTY.</v>
          </cell>
          <cell r="C89" t="str">
            <v>INT. DE EST. SUP. DE MONTERREY (CAMPUS SALTILLO)</v>
          </cell>
          <cell r="D89" t="str">
            <v>SALTILLO, Coahuila, Mexico</v>
          </cell>
          <cell r="E89">
            <v>59</v>
          </cell>
          <cell r="F89">
            <v>0</v>
          </cell>
          <cell r="G89">
            <v>53.118200000000002</v>
          </cell>
          <cell r="H89">
            <v>53.118200000000002</v>
          </cell>
          <cell r="I89">
            <v>45.713500000000003</v>
          </cell>
          <cell r="J89">
            <v>20.406099999999999</v>
          </cell>
          <cell r="K89">
            <v>48.7956</v>
          </cell>
        </row>
        <row r="90">
          <cell r="A90" t="str">
            <v>8931A</v>
          </cell>
          <cell r="B90" t="str">
            <v>V-Bots The 5 Guys</v>
          </cell>
          <cell r="C90" t="str">
            <v>Lake Stevens High</v>
          </cell>
          <cell r="D90" t="str">
            <v>Lake Stevens, Washington, United States</v>
          </cell>
          <cell r="E90">
            <v>30</v>
          </cell>
          <cell r="F90">
            <v>88</v>
          </cell>
          <cell r="G90">
            <v>66.414500000000004</v>
          </cell>
          <cell r="H90">
            <v>66.414500000000004</v>
          </cell>
          <cell r="I90">
            <v>36.633499999999998</v>
          </cell>
          <cell r="J90">
            <v>18.855</v>
          </cell>
          <cell r="K90">
            <v>19.968499999999999</v>
          </cell>
          <cell r="L90">
            <v>26.578600000000002</v>
          </cell>
        </row>
        <row r="91">
          <cell r="A91" t="str">
            <v>9064A</v>
          </cell>
          <cell r="B91" t="str">
            <v>Web Slingers</v>
          </cell>
          <cell r="C91" t="str">
            <v>J.M. Morehead High School</v>
          </cell>
          <cell r="D91" t="str">
            <v>Eden, North Carolina, United States</v>
          </cell>
          <cell r="E91">
            <v>113</v>
          </cell>
          <cell r="F91">
            <v>110</v>
          </cell>
          <cell r="G91">
            <v>85.036000000000001</v>
          </cell>
          <cell r="H91">
            <v>85.036000000000001</v>
          </cell>
          <cell r="I91">
            <v>18.703299999999999</v>
          </cell>
          <cell r="J91">
            <v>3.9861399999999998E-2</v>
          </cell>
        </row>
        <row r="92">
          <cell r="A92" t="str">
            <v>9181B</v>
          </cell>
          <cell r="B92" t="str">
            <v>Seaquam Seahawks</v>
          </cell>
          <cell r="C92" t="str">
            <v>Seaquam Secondary</v>
          </cell>
          <cell r="D92" t="str">
            <v>Delta, British Columbia, Canada</v>
          </cell>
          <cell r="E92">
            <v>315</v>
          </cell>
          <cell r="F92">
            <v>259</v>
          </cell>
          <cell r="G92">
            <v>113.373</v>
          </cell>
          <cell r="H92">
            <v>113.373</v>
          </cell>
          <cell r="I92">
            <v>93.694299999999998</v>
          </cell>
          <cell r="J92">
            <v>28.156099999999999</v>
          </cell>
          <cell r="K92">
            <v>67.011899999999997</v>
          </cell>
          <cell r="L92">
            <v>48.703600000000002</v>
          </cell>
        </row>
        <row r="93">
          <cell r="A93" t="str">
            <v>9364</v>
          </cell>
          <cell r="B93" t="str">
            <v>Iron Eagles</v>
          </cell>
          <cell r="C93" t="str">
            <v>Brentwood Academy</v>
          </cell>
          <cell r="D93" t="str">
            <v>Brentwood, Tennessee, United States</v>
          </cell>
          <cell r="E93">
            <v>245</v>
          </cell>
          <cell r="F93">
            <v>160</v>
          </cell>
          <cell r="G93">
            <v>104.468</v>
          </cell>
          <cell r="H93">
            <v>104.468</v>
          </cell>
          <cell r="I93">
            <v>81.416799999999995</v>
          </cell>
          <cell r="J93">
            <v>88.412199999999999</v>
          </cell>
          <cell r="K93">
            <v>103.43899999999999</v>
          </cell>
          <cell r="L93">
            <v>51.926000000000002</v>
          </cell>
          <cell r="M93">
            <v>26.883099999999999</v>
          </cell>
          <cell r="N93">
            <v>61.805500000000002</v>
          </cell>
          <cell r="O93">
            <v>57.299199999999999</v>
          </cell>
        </row>
        <row r="94">
          <cell r="A94" t="str">
            <v>9457A</v>
          </cell>
          <cell r="B94" t="str">
            <v>MEHS Robotics</v>
          </cell>
          <cell r="C94" t="str">
            <v>Mankato East High School</v>
          </cell>
          <cell r="D94" t="str">
            <v>Mankato, Minnesota, United States</v>
          </cell>
          <cell r="E94">
            <v>93</v>
          </cell>
          <cell r="F94">
            <v>86</v>
          </cell>
          <cell r="G94">
            <v>107.681</v>
          </cell>
          <cell r="H94">
            <v>98.941999999999993</v>
          </cell>
          <cell r="I94">
            <v>107.681</v>
          </cell>
          <cell r="J94">
            <v>65.904600000000002</v>
          </cell>
          <cell r="K94">
            <v>26.8203</v>
          </cell>
        </row>
        <row r="95">
          <cell r="A95" t="str">
            <v>9623B</v>
          </cell>
          <cell r="B95" t="str">
            <v>WARP Drive</v>
          </cell>
          <cell r="C95" t="str">
            <v>West Ashley High School</v>
          </cell>
          <cell r="D95" t="str">
            <v>Charleston, South Carolina, United States</v>
          </cell>
          <cell r="E95">
            <v>148</v>
          </cell>
          <cell r="F95">
            <v>141</v>
          </cell>
          <cell r="G95">
            <v>94.595399999999998</v>
          </cell>
          <cell r="H95">
            <v>94.595399999999998</v>
          </cell>
          <cell r="I95">
            <v>84.184299999999993</v>
          </cell>
          <cell r="J95">
            <v>75.329599999999999</v>
          </cell>
          <cell r="K95">
            <v>48.988100000000003</v>
          </cell>
          <cell r="L95">
            <v>72.926199999999994</v>
          </cell>
        </row>
        <row r="96">
          <cell r="A96" t="str">
            <v>9727B</v>
          </cell>
          <cell r="B96" t="str">
            <v>CBTIS 110_B</v>
          </cell>
          <cell r="C96" t="str">
            <v>CBTIS 110</v>
          </cell>
          <cell r="D96" t="str">
            <v>Durango, Durango, Mexico</v>
          </cell>
          <cell r="E96">
            <v>12</v>
          </cell>
          <cell r="F96">
            <v>71</v>
          </cell>
          <cell r="G96">
            <v>106.756</v>
          </cell>
          <cell r="H96">
            <v>106.756</v>
          </cell>
          <cell r="I96">
            <v>75.142799999999994</v>
          </cell>
          <cell r="J96">
            <v>64.145799999999994</v>
          </cell>
          <cell r="K96">
            <v>56.624400000000001</v>
          </cell>
          <cell r="L96">
            <v>95.110600000000005</v>
          </cell>
          <cell r="M96">
            <v>90.411000000000001</v>
          </cell>
        </row>
        <row r="97">
          <cell r="A97" t="str">
            <v>9920</v>
          </cell>
          <cell r="B97" t="str">
            <v>Sailor Robotics</v>
          </cell>
          <cell r="C97" t="str">
            <v>Sarasota High School</v>
          </cell>
          <cell r="D97" t="str">
            <v>Sarasota, Florida, United States</v>
          </cell>
          <cell r="E97">
            <v>300</v>
          </cell>
          <cell r="F97">
            <v>146</v>
          </cell>
          <cell r="G97">
            <v>79.531999999999996</v>
          </cell>
          <cell r="H97">
            <v>0</v>
          </cell>
          <cell r="I97">
            <v>79.531999999999996</v>
          </cell>
          <cell r="J97">
            <v>66.351299999999995</v>
          </cell>
        </row>
        <row r="98">
          <cell r="A98" t="str">
            <v>19771</v>
          </cell>
          <cell r="B98" t="str">
            <v xml:space="preserve">IKEN ETHIOPIA </v>
          </cell>
          <cell r="C98" t="str">
            <v>iken ethiopia</v>
          </cell>
          <cell r="D98" t="str">
            <v>ADDIS ABABA, N/A, Ethiopia</v>
          </cell>
          <cell r="E98">
            <v>0</v>
          </cell>
          <cell r="F98">
            <v>0</v>
          </cell>
        </row>
        <row r="99">
          <cell r="A99" t="str">
            <v>98472</v>
          </cell>
          <cell r="B99" t="str">
            <v xml:space="preserve">M_A  Team </v>
          </cell>
          <cell r="C99" t="str">
            <v>Suez Advanced Technical Schools</v>
          </cell>
          <cell r="D99" t="str">
            <v>Suez, N/A, Egypt</v>
          </cell>
          <cell r="E99">
            <v>0</v>
          </cell>
          <cell r="F99">
            <v>0</v>
          </cell>
        </row>
        <row r="100">
          <cell r="A100" t="str">
            <v>99484</v>
          </cell>
          <cell r="B100" t="str">
            <v>Knights</v>
          </cell>
          <cell r="C100" t="str">
            <v>Christian Academy in Japan</v>
          </cell>
          <cell r="D100" t="str">
            <v>Higashi Kurume, Tokyo, Japan</v>
          </cell>
          <cell r="E100">
            <v>45</v>
          </cell>
          <cell r="F100">
            <v>80</v>
          </cell>
          <cell r="G100">
            <v>68.050200000000004</v>
          </cell>
          <cell r="H100">
            <v>68.050200000000004</v>
          </cell>
        </row>
      </sheetData>
      <sheetData sheetId="3">
        <row r="1">
          <cell r="A1" t="str">
            <v>Team</v>
          </cell>
          <cell r="B1" t="str">
            <v>Name</v>
          </cell>
          <cell r="C1" t="str">
            <v>Org</v>
          </cell>
          <cell r="D1" t="str">
            <v>Location</v>
          </cell>
          <cell r="E1" t="str">
            <v>Drv_skills</v>
          </cell>
          <cell r="F1" t="str">
            <v>Prg_skills</v>
          </cell>
          <cell r="G1" t="str">
            <v>Opr_max</v>
          </cell>
          <cell r="H1" t="str">
            <v>Opr_last</v>
          </cell>
          <cell r="I1" t="str">
            <v>Opr-1</v>
          </cell>
          <cell r="J1" t="str">
            <v>Opr-2</v>
          </cell>
          <cell r="K1" t="str">
            <v>Opr-3</v>
          </cell>
          <cell r="L1" t="str">
            <v>Opr-4</v>
          </cell>
          <cell r="M1" t="str">
            <v>Opr-5</v>
          </cell>
        </row>
        <row r="2">
          <cell r="A2" t="str">
            <v>2Z</v>
          </cell>
          <cell r="B2" t="str">
            <v>Robosavages Z</v>
          </cell>
          <cell r="C2" t="str">
            <v>Gladstone</v>
          </cell>
          <cell r="D2" t="str">
            <v>Vancouver, British Columbia, Canada</v>
          </cell>
          <cell r="E2">
            <v>260</v>
          </cell>
          <cell r="F2">
            <v>135</v>
          </cell>
          <cell r="G2">
            <v>103.771</v>
          </cell>
          <cell r="H2">
            <v>103.771</v>
          </cell>
          <cell r="I2">
            <v>80.842600000000004</v>
          </cell>
          <cell r="J2">
            <v>98.807299999999998</v>
          </cell>
          <cell r="K2">
            <v>87.034899999999993</v>
          </cell>
          <cell r="L2">
            <v>67.794300000000007</v>
          </cell>
        </row>
        <row r="3">
          <cell r="A3" t="str">
            <v>24B</v>
          </cell>
          <cell r="B3" t="str">
            <v>Super Sonic Sparks B</v>
          </cell>
          <cell r="C3" t="str">
            <v>SPARKS 4-H Club</v>
          </cell>
          <cell r="D3" t="str">
            <v>Westminster, Maryland, United States</v>
          </cell>
          <cell r="E3">
            <v>360</v>
          </cell>
          <cell r="F3">
            <v>160</v>
          </cell>
          <cell r="G3">
            <v>95.878</v>
          </cell>
          <cell r="H3">
            <v>88.948099999999997</v>
          </cell>
          <cell r="I3">
            <v>45.969200000000001</v>
          </cell>
          <cell r="J3">
            <v>45.494300000000003</v>
          </cell>
          <cell r="K3">
            <v>95.878</v>
          </cell>
          <cell r="L3">
            <v>51.261200000000002</v>
          </cell>
        </row>
        <row r="4">
          <cell r="A4" t="str">
            <v>39</v>
          </cell>
          <cell r="B4" t="str">
            <v>The Zip Ties</v>
          </cell>
          <cell r="C4" t="str">
            <v>Cranbrook Schools</v>
          </cell>
          <cell r="D4" t="str">
            <v>Bloomfield Hills, Michigan, United States</v>
          </cell>
          <cell r="E4">
            <v>55</v>
          </cell>
          <cell r="F4">
            <v>0</v>
          </cell>
          <cell r="G4">
            <v>85.960700000000003</v>
          </cell>
          <cell r="H4">
            <v>85.960700000000003</v>
          </cell>
          <cell r="I4">
            <v>17.209099999999999</v>
          </cell>
          <cell r="J4">
            <v>37.121600000000001</v>
          </cell>
          <cell r="K4">
            <v>12.2263</v>
          </cell>
        </row>
        <row r="5">
          <cell r="A5" t="str">
            <v>64</v>
          </cell>
          <cell r="B5" t="str">
            <v>Double Down</v>
          </cell>
          <cell r="C5" t="str">
            <v>Ed W. Clark High School</v>
          </cell>
          <cell r="D5" t="str">
            <v>Las Vegas, Nevada, United States</v>
          </cell>
          <cell r="E5">
            <v>79</v>
          </cell>
          <cell r="F5">
            <v>0</v>
          </cell>
          <cell r="G5">
            <v>93.138000000000005</v>
          </cell>
          <cell r="H5">
            <v>93.138000000000005</v>
          </cell>
          <cell r="I5">
            <v>59.061300000000003</v>
          </cell>
          <cell r="J5">
            <v>64.892700000000005</v>
          </cell>
          <cell r="K5">
            <v>60.905700000000003</v>
          </cell>
        </row>
        <row r="6">
          <cell r="A6" t="str">
            <v>82M</v>
          </cell>
          <cell r="B6" t="str">
            <v>T-Raptors M</v>
          </cell>
          <cell r="C6" t="str">
            <v>Tianjin International School</v>
          </cell>
          <cell r="D6" t="str">
            <v>Tianjin, N/A, China</v>
          </cell>
          <cell r="E6">
            <v>146</v>
          </cell>
          <cell r="F6">
            <v>160</v>
          </cell>
          <cell r="G6">
            <v>97.378399999999999</v>
          </cell>
          <cell r="H6">
            <v>44.066899999999997</v>
          </cell>
          <cell r="I6">
            <v>97.378399999999999</v>
          </cell>
        </row>
        <row r="7">
          <cell r="A7" t="str">
            <v>169A</v>
          </cell>
          <cell r="B7" t="str">
            <v>The Cavalry</v>
          </cell>
          <cell r="C7" t="str">
            <v>Haverford School Robotics</v>
          </cell>
          <cell r="D7" t="str">
            <v>Haverford, Pennsylvania, United States</v>
          </cell>
          <cell r="E7">
            <v>347</v>
          </cell>
          <cell r="F7">
            <v>129</v>
          </cell>
          <cell r="G7">
            <v>154.89500000000001</v>
          </cell>
          <cell r="H7">
            <v>144.47300000000001</v>
          </cell>
          <cell r="I7">
            <v>154.89500000000001</v>
          </cell>
          <cell r="J7">
            <v>86.415199999999999</v>
          </cell>
          <cell r="K7">
            <v>111.363</v>
          </cell>
        </row>
        <row r="8">
          <cell r="A8" t="str">
            <v>180</v>
          </cell>
          <cell r="B8" t="str">
            <v>Born to Bot</v>
          </cell>
          <cell r="C8" t="str">
            <v>O.G. Robotics</v>
          </cell>
          <cell r="D8" t="str">
            <v>Haymarket, Virginia, United States</v>
          </cell>
          <cell r="E8">
            <v>295</v>
          </cell>
          <cell r="F8">
            <v>261</v>
          </cell>
          <cell r="G8">
            <v>143.226</v>
          </cell>
          <cell r="H8">
            <v>143.226</v>
          </cell>
          <cell r="I8">
            <v>94.762299999999996</v>
          </cell>
          <cell r="J8">
            <v>104.351</v>
          </cell>
          <cell r="K8">
            <v>88.797700000000006</v>
          </cell>
          <cell r="L8">
            <v>24.397600000000001</v>
          </cell>
          <cell r="M8">
            <v>69.854100000000003</v>
          </cell>
          <cell r="N8">
            <v>58.885100000000001</v>
          </cell>
          <cell r="O8">
            <v>62.192900000000002</v>
          </cell>
        </row>
        <row r="9">
          <cell r="A9" t="str">
            <v>217D</v>
          </cell>
          <cell r="B9" t="str">
            <v>ThunderChickens</v>
          </cell>
          <cell r="C9" t="str">
            <v>Utica Community Schools</v>
          </cell>
          <cell r="D9" t="str">
            <v>Macomb, Michigan, United States</v>
          </cell>
          <cell r="E9">
            <v>135</v>
          </cell>
          <cell r="F9">
            <v>135</v>
          </cell>
          <cell r="G9">
            <v>94.864800000000002</v>
          </cell>
          <cell r="H9">
            <v>94.864800000000002</v>
          </cell>
          <cell r="I9">
            <v>79.559700000000007</v>
          </cell>
          <cell r="J9">
            <v>52.672899999999998</v>
          </cell>
          <cell r="K9">
            <v>24.758900000000001</v>
          </cell>
          <cell r="L9">
            <v>1.06107</v>
          </cell>
          <cell r="M9">
            <v>60.176200000000001</v>
          </cell>
          <cell r="N9">
            <v>44.522799999999997</v>
          </cell>
        </row>
        <row r="10">
          <cell r="A10" t="str">
            <v>241N</v>
          </cell>
          <cell r="B10" t="str">
            <v>241N Nautilus</v>
          </cell>
          <cell r="C10" t="str">
            <v>Pinkerton Academy</v>
          </cell>
          <cell r="D10" t="str">
            <v>Derry, New Hampshire, United States</v>
          </cell>
          <cell r="E10">
            <v>267</v>
          </cell>
          <cell r="F10">
            <v>229</v>
          </cell>
          <cell r="G10">
            <v>89.062100000000001</v>
          </cell>
          <cell r="H10">
            <v>66.001300000000001</v>
          </cell>
          <cell r="I10">
            <v>37.150300000000001</v>
          </cell>
          <cell r="J10">
            <v>48.124699999999997</v>
          </cell>
          <cell r="K10">
            <v>82.692499999999995</v>
          </cell>
          <cell r="L10">
            <v>89.062100000000001</v>
          </cell>
        </row>
        <row r="11">
          <cell r="A11" t="str">
            <v>321A</v>
          </cell>
          <cell r="B11" t="str">
            <v>Wolves A</v>
          </cell>
          <cell r="C11" t="str">
            <v>Niles West High School</v>
          </cell>
          <cell r="D11" t="str">
            <v>Skokie, Illinois, United States</v>
          </cell>
          <cell r="E11">
            <v>257</v>
          </cell>
          <cell r="F11">
            <v>160</v>
          </cell>
          <cell r="G11">
            <v>97.822000000000003</v>
          </cell>
          <cell r="H11">
            <v>82.062299999999993</v>
          </cell>
          <cell r="I11">
            <v>97.822000000000003</v>
          </cell>
          <cell r="J11">
            <v>71.445599999999999</v>
          </cell>
          <cell r="K11">
            <v>37.102600000000002</v>
          </cell>
        </row>
        <row r="12">
          <cell r="A12" t="str">
            <v>333X</v>
          </cell>
          <cell r="B12" t="str">
            <v>Mokito</v>
          </cell>
          <cell r="C12" t="str">
            <v>Niles North Robotics</v>
          </cell>
          <cell r="D12" t="str">
            <v>Skokie, Illinois, United States</v>
          </cell>
          <cell r="E12">
            <v>313</v>
          </cell>
          <cell r="F12">
            <v>256</v>
          </cell>
          <cell r="G12">
            <v>145.50200000000001</v>
          </cell>
          <cell r="H12">
            <v>129.76400000000001</v>
          </cell>
          <cell r="I12">
            <v>145.50200000000001</v>
          </cell>
          <cell r="J12">
            <v>107.155</v>
          </cell>
          <cell r="K12">
            <v>92.940799999999996</v>
          </cell>
          <cell r="L12">
            <v>95.076700000000002</v>
          </cell>
        </row>
        <row r="13">
          <cell r="A13" t="str">
            <v>360</v>
          </cell>
          <cell r="B13" t="str">
            <v>Enderphase - ★</v>
          </cell>
          <cell r="C13" t="str">
            <v>Evan's Garage</v>
          </cell>
          <cell r="D13" t="str">
            <v>Rowlett, Texas, United States</v>
          </cell>
          <cell r="E13">
            <v>397</v>
          </cell>
          <cell r="F13">
            <v>100</v>
          </cell>
          <cell r="G13">
            <v>203.97499999999999</v>
          </cell>
          <cell r="H13">
            <v>144.75200000000001</v>
          </cell>
          <cell r="I13">
            <v>203.97499999999999</v>
          </cell>
          <cell r="J13">
            <v>162.16999999999999</v>
          </cell>
          <cell r="K13">
            <v>120.804</v>
          </cell>
          <cell r="L13">
            <v>119.206</v>
          </cell>
        </row>
        <row r="14">
          <cell r="A14" t="str">
            <v>464F</v>
          </cell>
          <cell r="B14" t="str">
            <v>Bad Mama Jama</v>
          </cell>
          <cell r="C14" t="str">
            <v>Forest Hills High School</v>
          </cell>
          <cell r="D14" t="str">
            <v>Sidman, Pennsylvania, United States</v>
          </cell>
          <cell r="E14">
            <v>0</v>
          </cell>
          <cell r="F14">
            <v>0</v>
          </cell>
          <cell r="G14">
            <v>73.130700000000004</v>
          </cell>
          <cell r="H14">
            <v>73.130700000000004</v>
          </cell>
        </row>
        <row r="15">
          <cell r="A15" t="str">
            <v>569B</v>
          </cell>
          <cell r="B15" t="str">
            <v>NightHawk Robotics Club</v>
          </cell>
          <cell r="C15" t="str">
            <v>Murrieta Valley High School</v>
          </cell>
          <cell r="D15" t="str">
            <v>Murrieta, California, United States</v>
          </cell>
          <cell r="E15">
            <v>71</v>
          </cell>
          <cell r="F15">
            <v>20</v>
          </cell>
          <cell r="G15">
            <v>84.920299999999997</v>
          </cell>
          <cell r="H15">
            <v>52.005800000000001</v>
          </cell>
          <cell r="I15">
            <v>84.920299999999997</v>
          </cell>
          <cell r="J15">
            <v>63.797899999999998</v>
          </cell>
          <cell r="K15">
            <v>66.973500000000001</v>
          </cell>
          <cell r="L15">
            <v>49.2</v>
          </cell>
        </row>
        <row r="16">
          <cell r="A16" t="str">
            <v>598A</v>
          </cell>
          <cell r="B16" t="str">
            <v>Loudonville High School A</v>
          </cell>
          <cell r="C16" t="str">
            <v>Loudonville High School</v>
          </cell>
          <cell r="D16" t="str">
            <v>Loudonville, Ohio, United States</v>
          </cell>
          <cell r="E16">
            <v>195</v>
          </cell>
          <cell r="F16">
            <v>130</v>
          </cell>
          <cell r="G16">
            <v>152.39699999999999</v>
          </cell>
          <cell r="H16">
            <v>152.39699999999999</v>
          </cell>
          <cell r="I16">
            <v>47.497300000000003</v>
          </cell>
          <cell r="J16">
            <v>93.283500000000004</v>
          </cell>
          <cell r="K16">
            <v>63.713200000000001</v>
          </cell>
          <cell r="L16">
            <v>97.198700000000002</v>
          </cell>
          <cell r="M16">
            <v>75.5809</v>
          </cell>
          <cell r="N16">
            <v>0</v>
          </cell>
          <cell r="O16">
            <v>47.491999999999997</v>
          </cell>
          <cell r="P16">
            <v>12.593</v>
          </cell>
        </row>
        <row r="17">
          <cell r="A17" t="str">
            <v>675D</v>
          </cell>
          <cell r="B17" t="str">
            <v>RoboDragons D</v>
          </cell>
          <cell r="C17" t="str">
            <v>Gwinnett School of Mathem, Science, and Technology</v>
          </cell>
          <cell r="D17" t="str">
            <v>Lawrenceville, Georgia, United States</v>
          </cell>
          <cell r="E17">
            <v>0</v>
          </cell>
          <cell r="F17">
            <v>0</v>
          </cell>
          <cell r="G17">
            <v>94.185000000000002</v>
          </cell>
          <cell r="H17">
            <v>94.185000000000002</v>
          </cell>
          <cell r="I17">
            <v>62.691899999999997</v>
          </cell>
          <cell r="J17">
            <v>50.228099999999998</v>
          </cell>
          <cell r="K17">
            <v>20.548300000000001</v>
          </cell>
        </row>
        <row r="18">
          <cell r="A18" t="str">
            <v>765A</v>
          </cell>
          <cell r="B18" t="str">
            <v>HTHS - Fury</v>
          </cell>
          <cell r="C18" t="str">
            <v>High Technology High School</v>
          </cell>
          <cell r="D18" t="str">
            <v>Lincroft, New Jersey, United States</v>
          </cell>
          <cell r="E18">
            <v>311</v>
          </cell>
          <cell r="F18">
            <v>130</v>
          </cell>
          <cell r="G18">
            <v>103.339</v>
          </cell>
          <cell r="H18">
            <v>76.120999999999995</v>
          </cell>
          <cell r="I18">
            <v>103.339</v>
          </cell>
          <cell r="J18">
            <v>45.863199999999999</v>
          </cell>
        </row>
        <row r="19">
          <cell r="A19" t="str">
            <v>901Y</v>
          </cell>
          <cell r="B19" t="str">
            <v>Ninjabotics</v>
          </cell>
          <cell r="C19" t="str">
            <v>The American School in Japan</v>
          </cell>
          <cell r="D19" t="str">
            <v>Tokyo, N/A, Japan</v>
          </cell>
          <cell r="E19">
            <v>0</v>
          </cell>
          <cell r="F19">
            <v>37</v>
          </cell>
          <cell r="G19">
            <v>34.162199999999999</v>
          </cell>
          <cell r="H19">
            <v>34.162199999999999</v>
          </cell>
        </row>
        <row r="20">
          <cell r="A20" t="str">
            <v>973G</v>
          </cell>
          <cell r="B20" t="str">
            <v>GreyDoges</v>
          </cell>
          <cell r="C20" t="str">
            <v>Atascadero Robotics</v>
          </cell>
          <cell r="D20" t="str">
            <v>Atascadero, California, United States</v>
          </cell>
          <cell r="E20">
            <v>0</v>
          </cell>
          <cell r="F20">
            <v>0</v>
          </cell>
          <cell r="G20">
            <v>105.39400000000001</v>
          </cell>
          <cell r="H20">
            <v>105.39400000000001</v>
          </cell>
          <cell r="I20">
            <v>5.7781900000000004</v>
          </cell>
          <cell r="J20">
            <v>66.602000000000004</v>
          </cell>
          <cell r="K20">
            <v>68.020200000000003</v>
          </cell>
          <cell r="L20">
            <v>30.698699999999999</v>
          </cell>
          <cell r="M20">
            <v>27.466200000000001</v>
          </cell>
        </row>
        <row r="21">
          <cell r="A21" t="str">
            <v>1028A</v>
          </cell>
          <cell r="B21" t="str">
            <v xml:space="preserve">C:\DOS\RUN </v>
          </cell>
          <cell r="C21" t="str">
            <v>Brownell-Talbot</v>
          </cell>
          <cell r="D21" t="str">
            <v>Omaha, Nebraska, United States</v>
          </cell>
          <cell r="E21">
            <v>307</v>
          </cell>
          <cell r="F21">
            <v>197</v>
          </cell>
          <cell r="G21">
            <v>129.333</v>
          </cell>
          <cell r="H21">
            <v>62.459400000000002</v>
          </cell>
          <cell r="I21">
            <v>103.405</v>
          </cell>
          <cell r="J21">
            <v>113.84</v>
          </cell>
          <cell r="K21">
            <v>78.4268</v>
          </cell>
          <cell r="L21">
            <v>112.033</v>
          </cell>
          <cell r="M21">
            <v>129.333</v>
          </cell>
          <cell r="N21">
            <v>92.391300000000001</v>
          </cell>
          <cell r="O21">
            <v>93.462500000000006</v>
          </cell>
          <cell r="P21">
            <v>41.063699999999997</v>
          </cell>
        </row>
        <row r="22">
          <cell r="A22" t="str">
            <v>1064P</v>
          </cell>
          <cell r="B22" t="str">
            <v>OPS - Almost HD</v>
          </cell>
          <cell r="C22" t="str">
            <v>Omaha North Magnet High School</v>
          </cell>
          <cell r="D22" t="str">
            <v>Omaha, Nebraska, United States</v>
          </cell>
          <cell r="E22">
            <v>190</v>
          </cell>
          <cell r="F22">
            <v>60</v>
          </cell>
          <cell r="G22">
            <v>106.61</v>
          </cell>
          <cell r="H22">
            <v>80.028700000000001</v>
          </cell>
          <cell r="I22">
            <v>100.932</v>
          </cell>
          <cell r="J22">
            <v>106.61</v>
          </cell>
          <cell r="K22">
            <v>72.363600000000005</v>
          </cell>
          <cell r="L22">
            <v>35.6676</v>
          </cell>
          <cell r="M22">
            <v>64.250500000000002</v>
          </cell>
        </row>
        <row r="23">
          <cell r="A23" t="str">
            <v>1104V</v>
          </cell>
          <cell r="B23" t="str">
            <v>Discobots ℣ - 🍁 #PrayForThomas2k16</v>
          </cell>
          <cell r="C23" t="str">
            <v>Brampton Robotics Education</v>
          </cell>
          <cell r="D23" t="str">
            <v>Brampton, Ontario, Canada</v>
          </cell>
          <cell r="E23">
            <v>400</v>
          </cell>
          <cell r="F23">
            <v>0</v>
          </cell>
          <cell r="G23">
            <v>155.88999999999999</v>
          </cell>
          <cell r="H23">
            <v>97.639300000000006</v>
          </cell>
          <cell r="I23">
            <v>155.88999999999999</v>
          </cell>
          <cell r="J23">
            <v>96.428299999999993</v>
          </cell>
          <cell r="K23">
            <v>74.928899999999999</v>
          </cell>
          <cell r="L23">
            <v>80.825999999999993</v>
          </cell>
          <cell r="M23">
            <v>80.305000000000007</v>
          </cell>
          <cell r="N23">
            <v>74.325599999999994</v>
          </cell>
        </row>
        <row r="24">
          <cell r="A24" t="str">
            <v>1138</v>
          </cell>
          <cell r="B24" t="str">
            <v>Eagle Engineering</v>
          </cell>
          <cell r="C24" t="str">
            <v>Chaminade College Preparatory</v>
          </cell>
          <cell r="D24" t="str">
            <v>West Hills, California, United States</v>
          </cell>
          <cell r="E24">
            <v>140</v>
          </cell>
          <cell r="F24">
            <v>88</v>
          </cell>
          <cell r="G24">
            <v>78.505300000000005</v>
          </cell>
          <cell r="H24">
            <v>58.832500000000003</v>
          </cell>
          <cell r="I24">
            <v>55.856200000000001</v>
          </cell>
          <cell r="J24">
            <v>61.929699999999997</v>
          </cell>
          <cell r="K24">
            <v>78.505300000000005</v>
          </cell>
          <cell r="L24">
            <v>27.729500000000002</v>
          </cell>
          <cell r="M24">
            <v>26.423100000000002</v>
          </cell>
        </row>
        <row r="25">
          <cell r="A25" t="str">
            <v>1233C</v>
          </cell>
          <cell r="B25" t="str">
            <v>UnderDogs</v>
          </cell>
          <cell r="C25" t="str">
            <v>Crown Point High School</v>
          </cell>
          <cell r="D25" t="str">
            <v>Crown Point, Indiana, United States</v>
          </cell>
          <cell r="E25">
            <v>109</v>
          </cell>
          <cell r="F25">
            <v>61</v>
          </cell>
          <cell r="G25">
            <v>95.705500000000001</v>
          </cell>
          <cell r="H25">
            <v>86.209500000000006</v>
          </cell>
          <cell r="I25">
            <v>95.705500000000001</v>
          </cell>
          <cell r="J25">
            <v>65.963999999999999</v>
          </cell>
          <cell r="K25">
            <v>18.799900000000001</v>
          </cell>
          <cell r="L25">
            <v>72.849400000000003</v>
          </cell>
          <cell r="M25">
            <v>61.650500000000001</v>
          </cell>
          <cell r="N25">
            <v>15.347899999999999</v>
          </cell>
          <cell r="O25">
            <v>39.049399999999999</v>
          </cell>
          <cell r="P25">
            <v>13.045500000000001</v>
          </cell>
          <cell r="Q25">
            <v>-3.6117400000000002</v>
          </cell>
          <cell r="R25">
            <v>2.1463899999999998</v>
          </cell>
        </row>
        <row r="26">
          <cell r="A26" t="str">
            <v>1344</v>
          </cell>
          <cell r="B26" t="str">
            <v>James Ford Rhodes</v>
          </cell>
          <cell r="C26" t="str">
            <v>James Ford Rhodes</v>
          </cell>
          <cell r="D26" t="str">
            <v>Cleveland, Ohio, United States</v>
          </cell>
          <cell r="E26">
            <v>216</v>
          </cell>
          <cell r="F26">
            <v>89</v>
          </cell>
          <cell r="G26">
            <v>119.217</v>
          </cell>
          <cell r="H26">
            <v>85.357799999999997</v>
          </cell>
          <cell r="I26">
            <v>119.217</v>
          </cell>
          <cell r="J26">
            <v>78.787300000000002</v>
          </cell>
          <cell r="K26">
            <v>70.790800000000004</v>
          </cell>
          <cell r="L26">
            <v>53.155900000000003</v>
          </cell>
          <cell r="M26">
            <v>12.987299999999999</v>
          </cell>
        </row>
        <row r="27">
          <cell r="A27" t="str">
            <v>1366</v>
          </cell>
          <cell r="B27" t="str">
            <v>Berkner Fearless Robotics</v>
          </cell>
          <cell r="C27" t="str">
            <v>Berkner STEM Academy</v>
          </cell>
          <cell r="D27" t="str">
            <v>Richardson, Texas, United States</v>
          </cell>
          <cell r="E27">
            <v>330</v>
          </cell>
          <cell r="F27">
            <v>129</v>
          </cell>
          <cell r="G27">
            <v>181.03700000000001</v>
          </cell>
          <cell r="H27">
            <v>158.482</v>
          </cell>
          <cell r="I27">
            <v>181.03700000000001</v>
          </cell>
          <cell r="J27">
            <v>108.468</v>
          </cell>
          <cell r="K27">
            <v>80.251000000000005</v>
          </cell>
        </row>
        <row r="28">
          <cell r="A28" t="str">
            <v>1460A</v>
          </cell>
          <cell r="B28" t="str">
            <v>THE LIBERATORRRR</v>
          </cell>
          <cell r="C28" t="str">
            <v>Sandy Robotics Club</v>
          </cell>
          <cell r="D28" t="str">
            <v>Sandy, Oregon, United States</v>
          </cell>
          <cell r="E28">
            <v>0</v>
          </cell>
          <cell r="F28">
            <v>0</v>
          </cell>
          <cell r="G28">
            <v>24.678100000000001</v>
          </cell>
          <cell r="H28">
            <v>12.748900000000001</v>
          </cell>
          <cell r="I28">
            <v>24.678100000000001</v>
          </cell>
          <cell r="J28">
            <v>17.5943</v>
          </cell>
          <cell r="K28">
            <v>9.1215799999999998</v>
          </cell>
        </row>
        <row r="29">
          <cell r="A29" t="str">
            <v>1497K</v>
          </cell>
          <cell r="B29" t="str">
            <v>Design Academy</v>
          </cell>
          <cell r="C29" t="str">
            <v>Utah State University//Design Academy</v>
          </cell>
          <cell r="D29" t="str">
            <v>Logan, Utah, United States</v>
          </cell>
          <cell r="E29">
            <v>229</v>
          </cell>
          <cell r="F29">
            <v>326</v>
          </cell>
          <cell r="G29">
            <v>157.73699999999999</v>
          </cell>
          <cell r="H29">
            <v>109.684</v>
          </cell>
          <cell r="I29">
            <v>60.592399999999998</v>
          </cell>
          <cell r="J29">
            <v>157.73699999999999</v>
          </cell>
          <cell r="K29">
            <v>138.79900000000001</v>
          </cell>
          <cell r="L29">
            <v>80.434299999999993</v>
          </cell>
          <cell r="M29">
            <v>104.747</v>
          </cell>
          <cell r="N29">
            <v>49.601700000000001</v>
          </cell>
          <cell r="O29">
            <v>37.124400000000001</v>
          </cell>
          <cell r="P29">
            <v>26.6127</v>
          </cell>
        </row>
        <row r="30">
          <cell r="A30" t="str">
            <v>1575C</v>
          </cell>
          <cell r="B30" t="str">
            <v>Carnage</v>
          </cell>
          <cell r="C30" t="str">
            <v>Woodbridge Senior High School</v>
          </cell>
          <cell r="D30" t="str">
            <v>Woodbridge, Virginia, United States</v>
          </cell>
          <cell r="E30">
            <v>107</v>
          </cell>
          <cell r="F30">
            <v>0</v>
          </cell>
          <cell r="G30">
            <v>54.712000000000003</v>
          </cell>
          <cell r="H30">
            <v>54.712000000000003</v>
          </cell>
          <cell r="I30">
            <v>20.7425</v>
          </cell>
          <cell r="J30">
            <v>42.848300000000002</v>
          </cell>
          <cell r="K30">
            <v>34.240900000000003</v>
          </cell>
          <cell r="L30">
            <v>17.9329</v>
          </cell>
          <cell r="M30">
            <v>44.639200000000002</v>
          </cell>
          <cell r="N30">
            <v>34.584000000000003</v>
          </cell>
        </row>
        <row r="31">
          <cell r="A31" t="str">
            <v>1670A</v>
          </cell>
          <cell r="B31" t="str">
            <v>The A-Team</v>
          </cell>
          <cell r="C31" t="str">
            <v>Calvert High School</v>
          </cell>
          <cell r="D31" t="str">
            <v>Prince Frederick, Maryland, United States</v>
          </cell>
          <cell r="E31">
            <v>132</v>
          </cell>
          <cell r="F31">
            <v>116</v>
          </cell>
          <cell r="G31">
            <v>94.677700000000002</v>
          </cell>
          <cell r="H31">
            <v>57.414000000000001</v>
          </cell>
          <cell r="I31">
            <v>73.281800000000004</v>
          </cell>
          <cell r="J31">
            <v>94.677700000000002</v>
          </cell>
        </row>
        <row r="32">
          <cell r="A32" t="str">
            <v>1879B</v>
          </cell>
          <cell r="B32" t="str">
            <v>Sultana Autoshop 1</v>
          </cell>
          <cell r="C32" t="str">
            <v>Sultana High School</v>
          </cell>
          <cell r="D32" t="str">
            <v>Hesperia, California, United States</v>
          </cell>
          <cell r="E32">
            <v>282</v>
          </cell>
          <cell r="F32">
            <v>20</v>
          </cell>
          <cell r="G32">
            <v>59.354599999999998</v>
          </cell>
          <cell r="H32">
            <v>49.929699999999997</v>
          </cell>
          <cell r="I32">
            <v>59.354599999999998</v>
          </cell>
          <cell r="J32">
            <v>19.422599999999999</v>
          </cell>
          <cell r="K32">
            <v>0</v>
          </cell>
        </row>
        <row r="33">
          <cell r="A33" t="str">
            <v>2011B</v>
          </cell>
          <cell r="B33" t="str">
            <v>Brecksville Robotics</v>
          </cell>
          <cell r="C33" t="str">
            <v>Brecksville-Broadview Heights</v>
          </cell>
          <cell r="D33" t="str">
            <v>Broadview Heights, Ohio, United States</v>
          </cell>
          <cell r="E33">
            <v>278</v>
          </cell>
          <cell r="F33">
            <v>135</v>
          </cell>
          <cell r="G33">
            <v>133.714</v>
          </cell>
          <cell r="H33">
            <v>133.714</v>
          </cell>
          <cell r="I33">
            <v>93.238</v>
          </cell>
          <cell r="J33">
            <v>116.755</v>
          </cell>
          <cell r="K33">
            <v>132.34899999999999</v>
          </cell>
          <cell r="L33">
            <v>87.656999999999996</v>
          </cell>
          <cell r="M33">
            <v>99.972499999999997</v>
          </cell>
          <cell r="N33">
            <v>57.228299999999997</v>
          </cell>
          <cell r="O33">
            <v>27.655899999999999</v>
          </cell>
        </row>
        <row r="34">
          <cell r="A34" t="str">
            <v>2105C</v>
          </cell>
          <cell r="B34" t="str">
            <v>Swampbotics</v>
          </cell>
          <cell r="C34" t="str">
            <v>Ware County High School</v>
          </cell>
          <cell r="D34" t="str">
            <v>Waycross, Georgia, United States</v>
          </cell>
          <cell r="E34">
            <v>279</v>
          </cell>
          <cell r="F34">
            <v>320</v>
          </cell>
          <cell r="G34">
            <v>96.957400000000007</v>
          </cell>
          <cell r="H34">
            <v>61.325899999999997</v>
          </cell>
          <cell r="I34">
            <v>92.936700000000002</v>
          </cell>
          <cell r="J34">
            <v>95.884699999999995</v>
          </cell>
          <cell r="K34">
            <v>96.957400000000007</v>
          </cell>
          <cell r="L34">
            <v>51.7883</v>
          </cell>
        </row>
        <row r="35">
          <cell r="A35" t="str">
            <v>2131W</v>
          </cell>
          <cell r="B35" t="str">
            <v>Radioactive Bananas</v>
          </cell>
          <cell r="C35" t="str">
            <v>Davis High School</v>
          </cell>
          <cell r="D35" t="str">
            <v>Kaysville, Utah, United States</v>
          </cell>
          <cell r="E35">
            <v>332</v>
          </cell>
          <cell r="F35">
            <v>130</v>
          </cell>
          <cell r="G35">
            <v>146.41</v>
          </cell>
          <cell r="H35">
            <v>96.929900000000004</v>
          </cell>
          <cell r="I35">
            <v>36.279600000000002</v>
          </cell>
          <cell r="J35">
            <v>87.758200000000002</v>
          </cell>
          <cell r="K35">
            <v>109.092</v>
          </cell>
          <cell r="L35">
            <v>146.41</v>
          </cell>
          <cell r="M35">
            <v>48.508299999999998</v>
          </cell>
        </row>
        <row r="36">
          <cell r="A36" t="str">
            <v>2335</v>
          </cell>
          <cell r="B36" t="str">
            <v>Redhead Robotics</v>
          </cell>
          <cell r="C36" t="str">
            <v>Clear Creek ISD</v>
          </cell>
          <cell r="D36" t="str">
            <v>League City, Texas, United States</v>
          </cell>
          <cell r="E36">
            <v>272</v>
          </cell>
          <cell r="F36">
            <v>108</v>
          </cell>
          <cell r="G36">
            <v>118.932</v>
          </cell>
          <cell r="H36">
            <v>82.659899999999993</v>
          </cell>
          <cell r="I36">
            <v>118.932</v>
          </cell>
          <cell r="J36">
            <v>94.398600000000002</v>
          </cell>
          <cell r="K36">
            <v>88.313000000000002</v>
          </cell>
        </row>
        <row r="37">
          <cell r="A37" t="str">
            <v>2442C</v>
          </cell>
          <cell r="B37" t="str">
            <v>Bancroft Robodogs C</v>
          </cell>
          <cell r="C37" t="str">
            <v>Bancroft School</v>
          </cell>
          <cell r="D37" t="str">
            <v>Worcester, Massachusetts, United States</v>
          </cell>
          <cell r="E37">
            <v>225</v>
          </cell>
          <cell r="F37">
            <v>163</v>
          </cell>
          <cell r="G37">
            <v>91.221199999999996</v>
          </cell>
          <cell r="H37">
            <v>81.444800000000001</v>
          </cell>
          <cell r="I37">
            <v>91.221199999999996</v>
          </cell>
          <cell r="J37">
            <v>76.431299999999993</v>
          </cell>
          <cell r="K37">
            <v>81.802800000000005</v>
          </cell>
          <cell r="L37">
            <v>74.227900000000005</v>
          </cell>
        </row>
        <row r="38">
          <cell r="A38" t="str">
            <v>2576A</v>
          </cell>
          <cell r="B38" t="str">
            <v>Corazón de Chileno</v>
          </cell>
          <cell r="C38" t="str">
            <v>Fundación Corazón de Chileno</v>
          </cell>
          <cell r="D38" t="str">
            <v>Santiago, N/A, Chile</v>
          </cell>
          <cell r="E38">
            <v>16</v>
          </cell>
          <cell r="F38">
            <v>4</v>
          </cell>
          <cell r="G38">
            <v>34.003799999999998</v>
          </cell>
          <cell r="H38">
            <v>34.003799999999998</v>
          </cell>
        </row>
        <row r="39">
          <cell r="A39" t="str">
            <v>2616F</v>
          </cell>
          <cell r="B39" t="str">
            <v>Frightning Lightning</v>
          </cell>
          <cell r="C39" t="str">
            <v>Cherry Hill High School East</v>
          </cell>
          <cell r="D39" t="str">
            <v>Cherry Hill, New Jersey, United States</v>
          </cell>
          <cell r="E39">
            <v>58</v>
          </cell>
          <cell r="F39">
            <v>35</v>
          </cell>
          <cell r="G39">
            <v>74.244600000000005</v>
          </cell>
          <cell r="H39">
            <v>49.890799999999999</v>
          </cell>
          <cell r="I39">
            <v>52.1126</v>
          </cell>
          <cell r="J39">
            <v>65.079700000000003</v>
          </cell>
          <cell r="K39">
            <v>74.244600000000005</v>
          </cell>
          <cell r="L39">
            <v>38.698900000000002</v>
          </cell>
          <cell r="M39">
            <v>73.369299999999996</v>
          </cell>
          <cell r="N39">
            <v>59.762599999999999</v>
          </cell>
        </row>
        <row r="40">
          <cell r="A40" t="str">
            <v>2886A</v>
          </cell>
          <cell r="B40" t="str">
            <v>Bull Dawgs A</v>
          </cell>
          <cell r="C40" t="str">
            <v>John Hardin High School PLTW</v>
          </cell>
          <cell r="D40" t="str">
            <v>Elizabethtown, Kentucky, United States</v>
          </cell>
          <cell r="E40">
            <v>270</v>
          </cell>
          <cell r="F40">
            <v>267</v>
          </cell>
          <cell r="G40">
            <v>141.874</v>
          </cell>
          <cell r="H40">
            <v>141.874</v>
          </cell>
          <cell r="I40">
            <v>128.85599999999999</v>
          </cell>
          <cell r="J40">
            <v>92.710300000000004</v>
          </cell>
          <cell r="K40">
            <v>99.960700000000003</v>
          </cell>
          <cell r="L40">
            <v>124.953</v>
          </cell>
          <cell r="M40">
            <v>99.876099999999994</v>
          </cell>
          <cell r="N40">
            <v>139.50399999999999</v>
          </cell>
        </row>
        <row r="41">
          <cell r="A41" t="str">
            <v>2941A</v>
          </cell>
          <cell r="B41" t="str">
            <v>Oats Robotics</v>
          </cell>
          <cell r="C41" t="str">
            <v>Otumoetai College</v>
          </cell>
          <cell r="D41" t="str">
            <v>Tauranga, Not Applicable or Not Listed, New Zealand</v>
          </cell>
          <cell r="E41">
            <v>0</v>
          </cell>
          <cell r="F41">
            <v>0</v>
          </cell>
          <cell r="G41">
            <v>22.438199999999998</v>
          </cell>
          <cell r="H41">
            <v>22.438199999999998</v>
          </cell>
          <cell r="I41">
            <v>11.0185</v>
          </cell>
        </row>
        <row r="42">
          <cell r="A42" t="str">
            <v>3273B</v>
          </cell>
          <cell r="B42" t="str">
            <v>One Kelvin</v>
          </cell>
          <cell r="C42" t="str">
            <v>Wayne High School</v>
          </cell>
          <cell r="D42" t="str">
            <v>Wayne, West Virginia, United States</v>
          </cell>
          <cell r="E42">
            <v>60</v>
          </cell>
          <cell r="F42">
            <v>0</v>
          </cell>
          <cell r="G42">
            <v>109.548</v>
          </cell>
          <cell r="H42">
            <v>97.816699999999997</v>
          </cell>
          <cell r="I42">
            <v>61.923099999999998</v>
          </cell>
          <cell r="J42">
            <v>109.548</v>
          </cell>
          <cell r="K42">
            <v>43.940399999999997</v>
          </cell>
          <cell r="L42">
            <v>34.785899999999998</v>
          </cell>
        </row>
        <row r="43">
          <cell r="A43" t="str">
            <v>3309A</v>
          </cell>
          <cell r="B43" t="str">
            <v>Friarbots A</v>
          </cell>
          <cell r="C43" t="str">
            <v>Servite High School</v>
          </cell>
          <cell r="D43" t="str">
            <v>Anaheim, California, United States</v>
          </cell>
          <cell r="E43">
            <v>227</v>
          </cell>
          <cell r="F43">
            <v>160</v>
          </cell>
          <cell r="G43">
            <v>83.291899999999998</v>
          </cell>
          <cell r="H43">
            <v>83.291899999999998</v>
          </cell>
          <cell r="I43">
            <v>52.331600000000002</v>
          </cell>
          <cell r="J43">
            <v>43.8628</v>
          </cell>
          <cell r="K43">
            <v>20.8841</v>
          </cell>
          <cell r="L43">
            <v>36.772500000000001</v>
          </cell>
          <cell r="M43">
            <v>58.417200000000001</v>
          </cell>
          <cell r="N43">
            <v>22.155999999999999</v>
          </cell>
          <cell r="O43">
            <v>38.387599999999999</v>
          </cell>
        </row>
        <row r="44">
          <cell r="A44" t="str">
            <v>3396</v>
          </cell>
          <cell r="B44" t="str">
            <v>The Galaxies</v>
          </cell>
          <cell r="C44" t="str">
            <v>The Harker School</v>
          </cell>
          <cell r="D44" t="str">
            <v>Los Gatos , California, United States</v>
          </cell>
          <cell r="E44">
            <v>191</v>
          </cell>
          <cell r="F44">
            <v>306</v>
          </cell>
          <cell r="G44">
            <v>116.67</v>
          </cell>
          <cell r="H44">
            <v>102.101</v>
          </cell>
          <cell r="I44">
            <v>88.612799999999993</v>
          </cell>
          <cell r="J44">
            <v>104.77500000000001</v>
          </cell>
          <cell r="K44">
            <v>68.983999999999995</v>
          </cell>
          <cell r="L44">
            <v>97.607100000000003</v>
          </cell>
          <cell r="M44">
            <v>116.67</v>
          </cell>
          <cell r="N44">
            <v>78.343400000000003</v>
          </cell>
        </row>
        <row r="45">
          <cell r="A45" t="str">
            <v>3815J</v>
          </cell>
          <cell r="B45" t="str">
            <v>Incursio</v>
          </cell>
          <cell r="C45" t="str">
            <v>Ranney</v>
          </cell>
          <cell r="D45" t="str">
            <v>Tinton Falls, New Jersey, United States</v>
          </cell>
          <cell r="E45">
            <v>186</v>
          </cell>
          <cell r="F45">
            <v>126</v>
          </cell>
          <cell r="G45">
            <v>99.9255</v>
          </cell>
          <cell r="H45">
            <v>58.521099999999997</v>
          </cell>
          <cell r="I45">
            <v>97.573300000000003</v>
          </cell>
          <cell r="J45">
            <v>99.9255</v>
          </cell>
          <cell r="K45">
            <v>60.705500000000001</v>
          </cell>
          <cell r="L45">
            <v>60.6633</v>
          </cell>
          <cell r="M45">
            <v>64.836399999999998</v>
          </cell>
        </row>
        <row r="46">
          <cell r="A46" t="str">
            <v>3946E</v>
          </cell>
          <cell r="B46" t="str">
            <v>Sun Devils</v>
          </cell>
          <cell r="C46" t="str">
            <v>Kent Denver School</v>
          </cell>
          <cell r="D46" t="str">
            <v>Englewood, Colorado, United States</v>
          </cell>
          <cell r="E46">
            <v>363</v>
          </cell>
          <cell r="F46">
            <v>315</v>
          </cell>
          <cell r="G46">
            <v>142.22200000000001</v>
          </cell>
          <cell r="H46">
            <v>142.22200000000001</v>
          </cell>
          <cell r="I46">
            <v>103.527</v>
          </cell>
          <cell r="J46">
            <v>95.291700000000006</v>
          </cell>
          <cell r="K46">
            <v>16.667000000000002</v>
          </cell>
          <cell r="L46">
            <v>68.207499999999996</v>
          </cell>
        </row>
        <row r="47">
          <cell r="A47" t="str">
            <v>4104A</v>
          </cell>
          <cell r="B47" t="str">
            <v>Trojan Pride A</v>
          </cell>
          <cell r="C47" t="str">
            <v>North Hardin High School PLTW</v>
          </cell>
          <cell r="D47" t="str">
            <v>Radcliff, Kentucky, United States</v>
          </cell>
          <cell r="E47">
            <v>320</v>
          </cell>
          <cell r="F47">
            <v>320</v>
          </cell>
          <cell r="G47">
            <v>122.85899999999999</v>
          </cell>
          <cell r="H47">
            <v>122.85899999999999</v>
          </cell>
          <cell r="I47">
            <v>90.794700000000006</v>
          </cell>
          <cell r="J47">
            <v>75.221999999999994</v>
          </cell>
          <cell r="K47">
            <v>109.41200000000001</v>
          </cell>
          <cell r="L47">
            <v>26.7666</v>
          </cell>
        </row>
        <row r="48">
          <cell r="A48" t="str">
            <v>4148A</v>
          </cell>
          <cell r="B48" t="str">
            <v>Iron Cowboys</v>
          </cell>
          <cell r="C48" t="str">
            <v>Greenville High School</v>
          </cell>
          <cell r="D48" t="str">
            <v>Greenville, Texas, United States</v>
          </cell>
          <cell r="E48">
            <v>257</v>
          </cell>
          <cell r="F48">
            <v>130</v>
          </cell>
          <cell r="G48">
            <v>107.127</v>
          </cell>
          <cell r="H48">
            <v>91.912400000000005</v>
          </cell>
          <cell r="I48">
            <v>107.127</v>
          </cell>
          <cell r="J48">
            <v>84.268500000000003</v>
          </cell>
          <cell r="K48">
            <v>89.802000000000007</v>
          </cell>
          <cell r="L48">
            <v>69.767399999999995</v>
          </cell>
          <cell r="M48">
            <v>87.231800000000007</v>
          </cell>
          <cell r="N48">
            <v>0</v>
          </cell>
        </row>
        <row r="49">
          <cell r="A49" t="str">
            <v>4256B</v>
          </cell>
          <cell r="B49" t="str">
            <v>Gear Monkey Robotics</v>
          </cell>
          <cell r="C49" t="str">
            <v>Madison Career and Technical Center</v>
          </cell>
          <cell r="D49" t="str">
            <v>Madison, Mississippi, United States</v>
          </cell>
          <cell r="E49">
            <v>288</v>
          </cell>
          <cell r="F49">
            <v>184</v>
          </cell>
          <cell r="G49">
            <v>172.536</v>
          </cell>
          <cell r="H49">
            <v>92.507300000000001</v>
          </cell>
          <cell r="I49">
            <v>140.334</v>
          </cell>
          <cell r="J49">
            <v>172.536</v>
          </cell>
          <cell r="K49">
            <v>95.552800000000005</v>
          </cell>
          <cell r="L49">
            <v>71.743399999999994</v>
          </cell>
        </row>
        <row r="50">
          <cell r="A50" t="str">
            <v>4410A</v>
          </cell>
          <cell r="B50" t="str">
            <v>Technocracy</v>
          </cell>
          <cell r="C50" t="str">
            <v>South Eden Robotics Club</v>
          </cell>
          <cell r="D50" t="str">
            <v>Fond du Lac, Wisconsin, United States</v>
          </cell>
          <cell r="E50">
            <v>151</v>
          </cell>
          <cell r="F50">
            <v>151</v>
          </cell>
          <cell r="G50">
            <v>113.627</v>
          </cell>
          <cell r="H50">
            <v>71.320400000000006</v>
          </cell>
          <cell r="I50">
            <v>113.627</v>
          </cell>
          <cell r="J50">
            <v>42.824100000000001</v>
          </cell>
          <cell r="K50">
            <v>73.821100000000001</v>
          </cell>
        </row>
        <row r="51">
          <cell r="A51" t="str">
            <v>4502G</v>
          </cell>
          <cell r="B51" t="str">
            <v>Masters Gamma</v>
          </cell>
          <cell r="C51" t="str">
            <v>San Pedro Claver</v>
          </cell>
          <cell r="D51" t="str">
            <v>Bucaramanga, Santander, Colombia</v>
          </cell>
          <cell r="E51">
            <v>177</v>
          </cell>
          <cell r="F51">
            <v>0</v>
          </cell>
          <cell r="G51">
            <v>113.483</v>
          </cell>
          <cell r="H51">
            <v>113.483</v>
          </cell>
          <cell r="I51">
            <v>82.038499999999999</v>
          </cell>
        </row>
        <row r="52">
          <cell r="A52" t="str">
            <v>4800</v>
          </cell>
          <cell r="B52" t="str">
            <v>Brobot</v>
          </cell>
          <cell r="C52" t="str">
            <v>St. Francis High School</v>
          </cell>
          <cell r="D52" t="str">
            <v>La Canada, California, United States</v>
          </cell>
          <cell r="E52">
            <v>199</v>
          </cell>
          <cell r="F52">
            <v>44</v>
          </cell>
          <cell r="G52">
            <v>58.962299999999999</v>
          </cell>
          <cell r="H52">
            <v>58.962299999999999</v>
          </cell>
          <cell r="I52">
            <v>17.427600000000002</v>
          </cell>
          <cell r="J52">
            <v>21.586200000000002</v>
          </cell>
          <cell r="K52">
            <v>-3.1076000000000001</v>
          </cell>
        </row>
        <row r="53">
          <cell r="A53" t="str">
            <v>4825A</v>
          </cell>
          <cell r="B53" t="str">
            <v>Full Metal Robotics</v>
          </cell>
          <cell r="C53" t="str">
            <v>Royal Live Oaks Academy Charter School</v>
          </cell>
          <cell r="D53" t="str">
            <v>Hardeeville, South Carolina, United States</v>
          </cell>
          <cell r="E53">
            <v>218</v>
          </cell>
          <cell r="F53">
            <v>203</v>
          </cell>
          <cell r="G53">
            <v>78.689899999999994</v>
          </cell>
          <cell r="H53">
            <v>68.914100000000005</v>
          </cell>
          <cell r="I53">
            <v>78.689899999999994</v>
          </cell>
          <cell r="J53">
            <v>47.624899999999997</v>
          </cell>
          <cell r="K53">
            <v>39.673699999999997</v>
          </cell>
        </row>
        <row r="54">
          <cell r="A54" t="str">
            <v>4906A</v>
          </cell>
          <cell r="B54" t="str">
            <v>The Collective</v>
          </cell>
          <cell r="C54" t="str">
            <v>Mid-Maine Technical Center</v>
          </cell>
          <cell r="D54" t="str">
            <v>Waterville, Maine, United States</v>
          </cell>
          <cell r="E54">
            <v>25</v>
          </cell>
          <cell r="F54">
            <v>12</v>
          </cell>
          <cell r="G54">
            <v>65.862499999999997</v>
          </cell>
          <cell r="H54">
            <v>65.862499999999997</v>
          </cell>
          <cell r="I54">
            <v>31.6799</v>
          </cell>
          <cell r="J54">
            <v>35.819800000000001</v>
          </cell>
        </row>
        <row r="55">
          <cell r="A55" t="str">
            <v>5081C</v>
          </cell>
          <cell r="B55" t="str">
            <v>ZABRISKIE</v>
          </cell>
          <cell r="C55" t="str">
            <v>Institución Educativa Roberto Velandia</v>
          </cell>
          <cell r="D55" t="str">
            <v>Mosquera, Cundinamarca, Colombia</v>
          </cell>
          <cell r="E55">
            <v>0</v>
          </cell>
          <cell r="F55">
            <v>0</v>
          </cell>
          <cell r="G55">
            <v>71.8065</v>
          </cell>
          <cell r="H55">
            <v>71.8065</v>
          </cell>
          <cell r="I55">
            <v>0</v>
          </cell>
        </row>
        <row r="56">
          <cell r="A56" t="str">
            <v>5150F</v>
          </cell>
          <cell r="B56" t="str">
            <v>Mad Hatters</v>
          </cell>
          <cell r="C56" t="str">
            <v>Danbury High School</v>
          </cell>
          <cell r="D56" t="str">
            <v>Danbury, Connecticut, United States</v>
          </cell>
          <cell r="E56">
            <v>68</v>
          </cell>
          <cell r="F56">
            <v>155</v>
          </cell>
          <cell r="G56">
            <v>60.353299999999997</v>
          </cell>
          <cell r="H56">
            <v>51.033099999999997</v>
          </cell>
          <cell r="I56">
            <v>56.912999999999997</v>
          </cell>
          <cell r="J56">
            <v>60.159399999999998</v>
          </cell>
          <cell r="K56">
            <v>39.666800000000002</v>
          </cell>
          <cell r="L56">
            <v>42.213099999999997</v>
          </cell>
          <cell r="M56">
            <v>60.353299999999997</v>
          </cell>
        </row>
        <row r="57">
          <cell r="A57" t="str">
            <v>5233J</v>
          </cell>
          <cell r="B57" t="str">
            <v>Justice League</v>
          </cell>
          <cell r="C57" t="str">
            <v>National Robotics Academy, Inc.</v>
          </cell>
          <cell r="D57" t="str">
            <v>Waterloo, Nebraska, United States</v>
          </cell>
          <cell r="E57">
            <v>228</v>
          </cell>
          <cell r="F57">
            <v>277</v>
          </cell>
          <cell r="G57">
            <v>102.586</v>
          </cell>
          <cell r="H57">
            <v>81.115099999999998</v>
          </cell>
          <cell r="I57">
            <v>102.586</v>
          </cell>
          <cell r="J57">
            <v>72.068299999999994</v>
          </cell>
          <cell r="K57">
            <v>79.566800000000001</v>
          </cell>
          <cell r="L57">
            <v>78.900999999999996</v>
          </cell>
          <cell r="M57">
            <v>74.974199999999996</v>
          </cell>
          <cell r="N57">
            <v>37.213200000000001</v>
          </cell>
        </row>
        <row r="58">
          <cell r="A58" t="str">
            <v>5408A</v>
          </cell>
          <cell r="B58" t="str">
            <v>Sachse Texas Torque</v>
          </cell>
          <cell r="C58" t="str">
            <v>Sachse High School</v>
          </cell>
          <cell r="D58" t="str">
            <v>Sachse, Texas, United States</v>
          </cell>
          <cell r="E58">
            <v>135</v>
          </cell>
          <cell r="F58">
            <v>86</v>
          </cell>
          <cell r="G58">
            <v>91.288700000000006</v>
          </cell>
          <cell r="H58">
            <v>71.246600000000001</v>
          </cell>
          <cell r="I58">
            <v>91.288700000000006</v>
          </cell>
          <cell r="J58">
            <v>65.708699999999993</v>
          </cell>
          <cell r="K58">
            <v>81.421000000000006</v>
          </cell>
          <cell r="L58">
            <v>39.316699999999997</v>
          </cell>
          <cell r="M58">
            <v>17.835599999999999</v>
          </cell>
        </row>
        <row r="59">
          <cell r="A59" t="str">
            <v>5454P</v>
          </cell>
          <cell r="B59" t="str">
            <v>POOKIE'S PRESCHOOLERS</v>
          </cell>
          <cell r="C59" t="str">
            <v>Elkhorn Crossing School</v>
          </cell>
          <cell r="D59" t="str">
            <v>Georgetown, Kentucky, United States</v>
          </cell>
          <cell r="E59">
            <v>125</v>
          </cell>
          <cell r="F59">
            <v>0</v>
          </cell>
          <cell r="G59">
            <v>74.635800000000003</v>
          </cell>
          <cell r="H59">
            <v>66.310299999999998</v>
          </cell>
          <cell r="I59">
            <v>67.335499999999996</v>
          </cell>
          <cell r="J59">
            <v>6.4343599999999999</v>
          </cell>
          <cell r="K59">
            <v>9.76891</v>
          </cell>
          <cell r="L59">
            <v>74.635800000000003</v>
          </cell>
          <cell r="M59">
            <v>65.118099999999998</v>
          </cell>
          <cell r="N59">
            <v>50.7639</v>
          </cell>
          <cell r="O59">
            <v>41.2012</v>
          </cell>
          <cell r="P59">
            <v>59.211799999999997</v>
          </cell>
        </row>
        <row r="60">
          <cell r="A60" t="str">
            <v>5588C</v>
          </cell>
          <cell r="B60" t="str">
            <v>Calvert Hall Cardinals</v>
          </cell>
          <cell r="C60" t="str">
            <v>Calvert Hall College High School</v>
          </cell>
          <cell r="D60" t="str">
            <v>Towson, Maryland, United States</v>
          </cell>
          <cell r="E60">
            <v>326</v>
          </cell>
          <cell r="F60">
            <v>306</v>
          </cell>
          <cell r="G60">
            <v>154.471</v>
          </cell>
          <cell r="H60">
            <v>139.18600000000001</v>
          </cell>
          <cell r="I60">
            <v>129.28299999999999</v>
          </cell>
          <cell r="J60">
            <v>111.251</v>
          </cell>
          <cell r="K60">
            <v>154.471</v>
          </cell>
          <cell r="L60">
            <v>98.900999999999996</v>
          </cell>
          <cell r="M60">
            <v>87.624700000000004</v>
          </cell>
          <cell r="N60">
            <v>41.599800000000002</v>
          </cell>
        </row>
        <row r="61">
          <cell r="A61" t="str">
            <v>5735B</v>
          </cell>
          <cell r="B61" t="str">
            <v>Jackets STEAM Team</v>
          </cell>
          <cell r="C61" t="str">
            <v>St Martin High School</v>
          </cell>
          <cell r="D61" t="str">
            <v>Ocean Springs, Mississippi, United States</v>
          </cell>
          <cell r="E61">
            <v>42</v>
          </cell>
          <cell r="F61">
            <v>3</v>
          </cell>
          <cell r="G61">
            <v>46.560899999999997</v>
          </cell>
          <cell r="H61">
            <v>19.330400000000001</v>
          </cell>
          <cell r="I61">
            <v>38.1083</v>
          </cell>
          <cell r="J61">
            <v>46.560899999999997</v>
          </cell>
        </row>
        <row r="62">
          <cell r="A62" t="str">
            <v>5776B</v>
          </cell>
          <cell r="B62" t="str">
            <v>DVHS Robotics</v>
          </cell>
          <cell r="C62" t="str">
            <v>Dougherty Valley High School</v>
          </cell>
          <cell r="D62" t="str">
            <v>San Ramon, California, United States</v>
          </cell>
          <cell r="E62">
            <v>313</v>
          </cell>
          <cell r="F62">
            <v>0</v>
          </cell>
          <cell r="G62">
            <v>80.337800000000001</v>
          </cell>
          <cell r="H62">
            <v>73.427499999999995</v>
          </cell>
          <cell r="I62">
            <v>58.421599999999998</v>
          </cell>
          <cell r="J62">
            <v>80.337800000000001</v>
          </cell>
          <cell r="K62">
            <v>79.048599999999993</v>
          </cell>
          <cell r="L62">
            <v>45.505200000000002</v>
          </cell>
          <cell r="M62">
            <v>28.797599999999999</v>
          </cell>
        </row>
        <row r="63">
          <cell r="A63" t="str">
            <v>5813B</v>
          </cell>
          <cell r="B63" t="str">
            <v>Black Squirrels</v>
          </cell>
          <cell r="C63" t="str">
            <v>Abraham Lincoln High School</v>
          </cell>
          <cell r="D63" t="str">
            <v>Council Bluffs, Iowa, United States</v>
          </cell>
          <cell r="E63">
            <v>136</v>
          </cell>
          <cell r="F63">
            <v>111</v>
          </cell>
          <cell r="G63">
            <v>154.46799999999999</v>
          </cell>
          <cell r="H63">
            <v>139.91300000000001</v>
          </cell>
          <cell r="I63">
            <v>131.91300000000001</v>
          </cell>
          <cell r="J63">
            <v>154.46799999999999</v>
          </cell>
          <cell r="K63">
            <v>105.45</v>
          </cell>
          <cell r="L63">
            <v>114.07299999999999</v>
          </cell>
          <cell r="M63">
            <v>77.180700000000002</v>
          </cell>
          <cell r="N63">
            <v>79.323999999999998</v>
          </cell>
          <cell r="O63">
            <v>61.818800000000003</v>
          </cell>
        </row>
        <row r="64">
          <cell r="A64" t="str">
            <v>5994B</v>
          </cell>
          <cell r="B64" t="str">
            <v>Sancris B</v>
          </cell>
          <cell r="C64" t="str">
            <v>CECYTECH PLANTEL 20 San Cristóbal</v>
          </cell>
          <cell r="D64" t="str">
            <v>San Cristobal de las Casa, Chiapas, Chiapas, Mexico</v>
          </cell>
          <cell r="E64">
            <v>0</v>
          </cell>
          <cell r="F64">
            <v>0</v>
          </cell>
          <cell r="G64">
            <v>27.488299999999999</v>
          </cell>
          <cell r="H64">
            <v>27.488299999999999</v>
          </cell>
        </row>
        <row r="65">
          <cell r="A65" t="str">
            <v>6030J</v>
          </cell>
          <cell r="B65" t="str">
            <v>Jesters</v>
          </cell>
          <cell r="C65" t="str">
            <v>Arizona College Prep - Erie</v>
          </cell>
          <cell r="D65" t="str">
            <v>Chandler, Arizona, United States</v>
          </cell>
          <cell r="E65">
            <v>281</v>
          </cell>
          <cell r="F65">
            <v>285</v>
          </cell>
          <cell r="G65">
            <v>85.1143</v>
          </cell>
          <cell r="H65">
            <v>85.1143</v>
          </cell>
          <cell r="I65">
            <v>66.758499999999998</v>
          </cell>
          <cell r="J65">
            <v>20.473299999999998</v>
          </cell>
          <cell r="K65">
            <v>74.468500000000006</v>
          </cell>
          <cell r="L65">
            <v>41.542900000000003</v>
          </cell>
          <cell r="M65">
            <v>76.986699999999999</v>
          </cell>
          <cell r="N65">
            <v>45.329900000000002</v>
          </cell>
        </row>
        <row r="66">
          <cell r="A66" t="str">
            <v>6127C</v>
          </cell>
          <cell r="B66" t="str">
            <v>DV3</v>
          </cell>
          <cell r="C66" t="str">
            <v>Del Valle High School</v>
          </cell>
          <cell r="D66" t="str">
            <v>El Paso, Texas, United States</v>
          </cell>
          <cell r="E66">
            <v>0</v>
          </cell>
          <cell r="F66">
            <v>0</v>
          </cell>
          <cell r="G66">
            <v>38.878300000000003</v>
          </cell>
          <cell r="H66">
            <v>38.878300000000003</v>
          </cell>
          <cell r="I66">
            <v>28.616299999999999</v>
          </cell>
        </row>
        <row r="67">
          <cell r="A67" t="str">
            <v>6210Z</v>
          </cell>
          <cell r="B67" t="str">
            <v>Eagles Engineering</v>
          </cell>
          <cell r="C67" t="str">
            <v>Heritage Christian School</v>
          </cell>
          <cell r="D67" t="str">
            <v>Indianapolis, Indiana, United States</v>
          </cell>
          <cell r="E67">
            <v>41</v>
          </cell>
          <cell r="F67">
            <v>176</v>
          </cell>
          <cell r="G67">
            <v>80.170500000000004</v>
          </cell>
          <cell r="H67">
            <v>80.170500000000004</v>
          </cell>
          <cell r="I67">
            <v>16.645900000000001</v>
          </cell>
          <cell r="J67">
            <v>71.386399999999995</v>
          </cell>
          <cell r="K67">
            <v>54.289499999999997</v>
          </cell>
        </row>
        <row r="68">
          <cell r="A68" t="str">
            <v>6302Y</v>
          </cell>
          <cell r="B68" t="str">
            <v>Rockets</v>
          </cell>
          <cell r="C68" t="str">
            <v>Ridgedale High School</v>
          </cell>
          <cell r="D68" t="str">
            <v>Morral, Ohio, United States</v>
          </cell>
          <cell r="E68">
            <v>335</v>
          </cell>
          <cell r="F68">
            <v>265</v>
          </cell>
          <cell r="G68">
            <v>117.559</v>
          </cell>
          <cell r="H68">
            <v>86.634</v>
          </cell>
          <cell r="I68">
            <v>117.559</v>
          </cell>
          <cell r="J68">
            <v>92.394499999999994</v>
          </cell>
          <cell r="K68">
            <v>69.703299999999999</v>
          </cell>
          <cell r="L68">
            <v>0</v>
          </cell>
          <cell r="M68">
            <v>75.162999999999997</v>
          </cell>
          <cell r="N68">
            <v>76.433400000000006</v>
          </cell>
          <cell r="O68">
            <v>29.2591</v>
          </cell>
          <cell r="P68">
            <v>11.9977</v>
          </cell>
        </row>
        <row r="69">
          <cell r="A69" t="str">
            <v>6526D</v>
          </cell>
          <cell r="B69" t="str">
            <v>D-High</v>
          </cell>
          <cell r="C69" t="str">
            <v>Damien High School</v>
          </cell>
          <cell r="D69" t="str">
            <v>La Verne, California, United States</v>
          </cell>
          <cell r="E69">
            <v>146</v>
          </cell>
          <cell r="F69">
            <v>181</v>
          </cell>
          <cell r="G69">
            <v>87.715100000000007</v>
          </cell>
          <cell r="H69">
            <v>87.715100000000007</v>
          </cell>
          <cell r="I69">
            <v>65.442800000000005</v>
          </cell>
          <cell r="J69">
            <v>24.197900000000001</v>
          </cell>
          <cell r="K69">
            <v>44.206200000000003</v>
          </cell>
        </row>
        <row r="70">
          <cell r="A70" t="str">
            <v>6685R</v>
          </cell>
          <cell r="B70" t="str">
            <v>Vexorsism</v>
          </cell>
          <cell r="C70" t="str">
            <v>Millard South High School</v>
          </cell>
          <cell r="D70" t="str">
            <v>Omaha, Nebraska, United States</v>
          </cell>
          <cell r="E70">
            <v>287</v>
          </cell>
          <cell r="F70">
            <v>275</v>
          </cell>
          <cell r="G70">
            <v>102.583</v>
          </cell>
          <cell r="H70">
            <v>102.583</v>
          </cell>
          <cell r="I70">
            <v>85.001400000000004</v>
          </cell>
          <cell r="J70">
            <v>70.370500000000007</v>
          </cell>
          <cell r="K70">
            <v>75.260800000000003</v>
          </cell>
          <cell r="L70">
            <v>65.789500000000004</v>
          </cell>
          <cell r="M70">
            <v>94.399199999999993</v>
          </cell>
        </row>
        <row r="71">
          <cell r="A71" t="str">
            <v>6815Z</v>
          </cell>
          <cell r="B71" t="str">
            <v>Do you even lift bro?</v>
          </cell>
          <cell r="C71" t="str">
            <v>Lincoln County High School</v>
          </cell>
          <cell r="D71" t="str">
            <v>Hamlin, West Virginia, United States</v>
          </cell>
          <cell r="E71">
            <v>208</v>
          </cell>
          <cell r="F71">
            <v>93</v>
          </cell>
          <cell r="G71">
            <v>118.259</v>
          </cell>
          <cell r="H71">
            <v>118.259</v>
          </cell>
          <cell r="I71">
            <v>91.063999999999993</v>
          </cell>
          <cell r="J71">
            <v>58.146900000000002</v>
          </cell>
        </row>
        <row r="72">
          <cell r="A72" t="str">
            <v>6916C</v>
          </cell>
          <cell r="B72" t="str">
            <v>BVT VexVengers</v>
          </cell>
          <cell r="C72" t="str">
            <v>Blackstone Valley Regional High School</v>
          </cell>
          <cell r="D72" t="str">
            <v>Upton, Massachusetts, United States</v>
          </cell>
          <cell r="E72">
            <v>80</v>
          </cell>
          <cell r="F72">
            <v>120</v>
          </cell>
          <cell r="G72">
            <v>125.61199999999999</v>
          </cell>
          <cell r="H72">
            <v>125.61199999999999</v>
          </cell>
          <cell r="I72">
            <v>100.79900000000001</v>
          </cell>
          <cell r="J72">
            <v>72.357100000000003</v>
          </cell>
          <cell r="K72">
            <v>88.680499999999995</v>
          </cell>
          <cell r="L72">
            <v>68.870800000000003</v>
          </cell>
        </row>
        <row r="73">
          <cell r="A73" t="str">
            <v>7010C</v>
          </cell>
          <cell r="B73" t="str">
            <v>Conalep Chiapas A</v>
          </cell>
          <cell r="C73" t="str">
            <v>Colegio Nacional de Educación Profesional Técnica (Conalep Chiapas)</v>
          </cell>
          <cell r="D73" t="str">
            <v>Tuxtal Gutierrez , Chiapas, Chiapas, Mexico</v>
          </cell>
          <cell r="E73">
            <v>58</v>
          </cell>
          <cell r="F73">
            <v>0</v>
          </cell>
          <cell r="G73">
            <v>84.464200000000005</v>
          </cell>
          <cell r="H73">
            <v>84.464200000000005</v>
          </cell>
          <cell r="I73">
            <v>69.351900000000001</v>
          </cell>
          <cell r="J73">
            <v>45.874200000000002</v>
          </cell>
          <cell r="K73">
            <v>56.573099999999997</v>
          </cell>
        </row>
        <row r="74">
          <cell r="A74" t="str">
            <v>7192B</v>
          </cell>
          <cell r="B74" t="str">
            <v>Windom Eagles B Team</v>
          </cell>
          <cell r="C74" t="str">
            <v>Windom MS &amp; HS</v>
          </cell>
          <cell r="D74" t="str">
            <v>Windom, Minnesota, United States</v>
          </cell>
          <cell r="E74">
            <v>215</v>
          </cell>
          <cell r="F74">
            <v>0</v>
          </cell>
          <cell r="G74">
            <v>85.253399999999999</v>
          </cell>
          <cell r="H74">
            <v>85.253399999999999</v>
          </cell>
          <cell r="I74">
            <v>68.738699999999994</v>
          </cell>
          <cell r="J74">
            <v>62.842700000000001</v>
          </cell>
          <cell r="K74">
            <v>47.9148</v>
          </cell>
          <cell r="L74">
            <v>29.606100000000001</v>
          </cell>
        </row>
        <row r="75">
          <cell r="A75" t="str">
            <v>7262</v>
          </cell>
          <cell r="B75" t="str">
            <v>HSch AT RUC A</v>
          </cell>
          <cell r="C75" t="str">
            <v>High School Affiliated to RUC</v>
          </cell>
          <cell r="D75" t="str">
            <v>beijing, Not Applicable or Not Listed, China</v>
          </cell>
          <cell r="E75">
            <v>0</v>
          </cell>
          <cell r="F75">
            <v>0</v>
          </cell>
        </row>
        <row r="76">
          <cell r="A76" t="str">
            <v>7504X</v>
          </cell>
          <cell r="B76" t="str">
            <v>Equilibrium</v>
          </cell>
          <cell r="C76" t="str">
            <v>Austin Academy for Excellence</v>
          </cell>
          <cell r="D76" t="str">
            <v>Garland, Texas, United States</v>
          </cell>
          <cell r="E76">
            <v>222</v>
          </cell>
          <cell r="F76">
            <v>155</v>
          </cell>
          <cell r="G76">
            <v>168.34200000000001</v>
          </cell>
          <cell r="H76">
            <v>168.34200000000001</v>
          </cell>
          <cell r="I76">
            <v>127.622</v>
          </cell>
          <cell r="J76">
            <v>128.77099999999999</v>
          </cell>
          <cell r="K76">
            <v>114.059</v>
          </cell>
          <cell r="L76">
            <v>113.22799999999999</v>
          </cell>
          <cell r="M76">
            <v>93.570800000000006</v>
          </cell>
          <cell r="N76">
            <v>17.4818</v>
          </cell>
          <cell r="O76">
            <v>83.492099999999994</v>
          </cell>
          <cell r="P76">
            <v>84.513300000000001</v>
          </cell>
          <cell r="Q76">
            <v>73.336100000000002</v>
          </cell>
          <cell r="R76">
            <v>51.3611</v>
          </cell>
        </row>
        <row r="77">
          <cell r="A77" t="str">
            <v>7627A</v>
          </cell>
          <cell r="B77" t="str">
            <v>Gaoxin A</v>
          </cell>
          <cell r="C77" t="str">
            <v>Chengdu NO.7 High School Gaoxin Branch</v>
          </cell>
          <cell r="D77" t="str">
            <v>chengdu, Not Applicable or Not Listed, China</v>
          </cell>
          <cell r="E77">
            <v>0</v>
          </cell>
          <cell r="F77">
            <v>0</v>
          </cell>
          <cell r="G77">
            <v>101.46599999999999</v>
          </cell>
          <cell r="H77">
            <v>101.46599999999999</v>
          </cell>
        </row>
        <row r="78">
          <cell r="A78" t="str">
            <v>7701Z</v>
          </cell>
          <cell r="B78" t="str">
            <v>The Stainless Steel Eagle</v>
          </cell>
          <cell r="C78" t="str">
            <v>Zionsville Community High School</v>
          </cell>
          <cell r="D78" t="str">
            <v>Zionsville, Indiana, United States</v>
          </cell>
          <cell r="E78">
            <v>306</v>
          </cell>
          <cell r="F78">
            <v>170</v>
          </cell>
          <cell r="G78">
            <v>117.81399999999999</v>
          </cell>
          <cell r="H78">
            <v>112.28100000000001</v>
          </cell>
          <cell r="I78">
            <v>61.669600000000003</v>
          </cell>
          <cell r="J78">
            <v>110.70099999999999</v>
          </cell>
          <cell r="K78">
            <v>117.81399999999999</v>
          </cell>
        </row>
        <row r="79">
          <cell r="A79" t="str">
            <v>7856A</v>
          </cell>
          <cell r="B79" t="str">
            <v>SH Fuxing HS A</v>
          </cell>
          <cell r="C79" t="str">
            <v>Shanghai Fuxing High School</v>
          </cell>
          <cell r="D79" t="str">
            <v>Shanghai, Not Applicable or Not Listed, China</v>
          </cell>
          <cell r="E79">
            <v>67</v>
          </cell>
          <cell r="F79">
            <v>0</v>
          </cell>
          <cell r="G79">
            <v>128.821</v>
          </cell>
          <cell r="H79">
            <v>128.821</v>
          </cell>
        </row>
        <row r="80">
          <cell r="A80" t="str">
            <v>7925A</v>
          </cell>
          <cell r="B80" t="str">
            <v>Hangzhou NO.2 A</v>
          </cell>
          <cell r="C80" t="str">
            <v>Hangzhou No.2 High School</v>
          </cell>
          <cell r="D80" t="str">
            <v>hanzhou, Not Applicable or Not Listed, China</v>
          </cell>
          <cell r="E80">
            <v>203</v>
          </cell>
          <cell r="F80">
            <v>0</v>
          </cell>
          <cell r="G80">
            <v>87.843299999999999</v>
          </cell>
          <cell r="H80">
            <v>87.843299999999999</v>
          </cell>
        </row>
        <row r="81">
          <cell r="A81" t="str">
            <v>8000A</v>
          </cell>
          <cell r="B81" t="str">
            <v>HRS Robohawks</v>
          </cell>
          <cell r="C81" t="str">
            <v>Head-Royce School</v>
          </cell>
          <cell r="D81" t="str">
            <v>Oakland, California, United States</v>
          </cell>
          <cell r="E81">
            <v>380</v>
          </cell>
          <cell r="F81">
            <v>0</v>
          </cell>
          <cell r="G81">
            <v>124.241</v>
          </cell>
          <cell r="H81">
            <v>102.992</v>
          </cell>
          <cell r="I81">
            <v>124.241</v>
          </cell>
          <cell r="J81">
            <v>107.396</v>
          </cell>
          <cell r="K81">
            <v>84.531800000000004</v>
          </cell>
          <cell r="L81">
            <v>44.6937</v>
          </cell>
          <cell r="M81">
            <v>37.076799999999999</v>
          </cell>
          <cell r="N81">
            <v>69.261200000000002</v>
          </cell>
        </row>
        <row r="82">
          <cell r="A82" t="str">
            <v>8059A</v>
          </cell>
          <cell r="B82" t="str">
            <v>Blank.</v>
          </cell>
          <cell r="C82" t="str">
            <v>Anglo-Chinese School (Independent)</v>
          </cell>
          <cell r="D82" t="str">
            <v>Singapore, Not Applicable or Not Listed, Singapore</v>
          </cell>
          <cell r="E82">
            <v>301</v>
          </cell>
          <cell r="F82">
            <v>330</v>
          </cell>
          <cell r="G82">
            <v>87.022999999999996</v>
          </cell>
          <cell r="H82">
            <v>87.022999999999996</v>
          </cell>
        </row>
        <row r="83">
          <cell r="A83" t="str">
            <v>8123</v>
          </cell>
          <cell r="B83" t="str">
            <v>Irvington Robotics</v>
          </cell>
          <cell r="C83" t="str">
            <v>Irvington Preparatory Academy</v>
          </cell>
          <cell r="D83" t="str">
            <v>Indianapolis, Indiana, United States</v>
          </cell>
          <cell r="E83">
            <v>272</v>
          </cell>
          <cell r="F83">
            <v>199</v>
          </cell>
          <cell r="G83">
            <v>126.827</v>
          </cell>
          <cell r="H83">
            <v>126.827</v>
          </cell>
          <cell r="I83">
            <v>73.429900000000004</v>
          </cell>
          <cell r="J83">
            <v>82.083399999999997</v>
          </cell>
          <cell r="K83">
            <v>116.584</v>
          </cell>
          <cell r="L83">
            <v>100.883</v>
          </cell>
          <cell r="M83">
            <v>62.842599999999997</v>
          </cell>
          <cell r="N83">
            <v>31.335000000000001</v>
          </cell>
        </row>
        <row r="84">
          <cell r="A84" t="str">
            <v>8353A</v>
          </cell>
          <cell r="B84" t="str">
            <v>CECyTEH Santiago 1</v>
          </cell>
          <cell r="C84" t="str">
            <v>CECyTEH Plantel Santiago de Anaya</v>
          </cell>
          <cell r="D84" t="str">
            <v>Santiago de Anaya, Hidalgo, Mexico</v>
          </cell>
          <cell r="E84">
            <v>0</v>
          </cell>
          <cell r="F84">
            <v>0</v>
          </cell>
          <cell r="G84">
            <v>76.379300000000001</v>
          </cell>
          <cell r="H84">
            <v>76.379300000000001</v>
          </cell>
          <cell r="I84">
            <v>64.084000000000003</v>
          </cell>
          <cell r="J84">
            <v>72.259699999999995</v>
          </cell>
          <cell r="K84">
            <v>73.882800000000003</v>
          </cell>
          <cell r="L84">
            <v>17.8582</v>
          </cell>
        </row>
        <row r="85">
          <cell r="A85" t="str">
            <v>8568A</v>
          </cell>
          <cell r="B85" t="str">
            <v>Knights</v>
          </cell>
          <cell r="C85" t="str">
            <v>North Andover High School</v>
          </cell>
          <cell r="D85" t="str">
            <v>North Andover, Massachusetts, United States</v>
          </cell>
          <cell r="E85">
            <v>340</v>
          </cell>
          <cell r="F85">
            <v>298</v>
          </cell>
          <cell r="G85">
            <v>55.2575</v>
          </cell>
          <cell r="H85">
            <v>42.392299999999999</v>
          </cell>
          <cell r="I85">
            <v>55.2575</v>
          </cell>
          <cell r="J85">
            <v>30.300699999999999</v>
          </cell>
          <cell r="K85">
            <v>33.899900000000002</v>
          </cell>
        </row>
        <row r="86">
          <cell r="A86" t="str">
            <v>8615F</v>
          </cell>
          <cell r="B86" t="str">
            <v>The Vexecutors</v>
          </cell>
          <cell r="C86" t="str">
            <v>New Hope High School</v>
          </cell>
          <cell r="D86" t="str">
            <v>Columbus, Mississippi, United States</v>
          </cell>
          <cell r="E86">
            <v>86</v>
          </cell>
          <cell r="F86">
            <v>28</v>
          </cell>
          <cell r="G86">
            <v>99.660799999999995</v>
          </cell>
          <cell r="H86">
            <v>99.660799999999995</v>
          </cell>
          <cell r="I86">
            <v>46.040199999999999</v>
          </cell>
          <cell r="J86">
            <v>73.659199999999998</v>
          </cell>
          <cell r="K86">
            <v>31.5259</v>
          </cell>
          <cell r="L86">
            <v>39.412999999999997</v>
          </cell>
          <cell r="M86">
            <v>36.4666</v>
          </cell>
        </row>
        <row r="87">
          <cell r="A87" t="str">
            <v>8691D</v>
          </cell>
          <cell r="B87" t="str">
            <v>hefei NO.8 SMSch D</v>
          </cell>
          <cell r="C87" t="str">
            <v>Hefei No.8 Senior Middle School</v>
          </cell>
          <cell r="D87" t="str">
            <v>hefei, Not Applicable or Not Listed, China</v>
          </cell>
          <cell r="E87">
            <v>0</v>
          </cell>
          <cell r="F87">
            <v>0</v>
          </cell>
          <cell r="G87">
            <v>108.545</v>
          </cell>
          <cell r="H87">
            <v>108.545</v>
          </cell>
        </row>
        <row r="88">
          <cell r="A88" t="str">
            <v>8776B</v>
          </cell>
          <cell r="B88" t="str">
            <v>Arrowhead Vex Team B</v>
          </cell>
          <cell r="C88" t="str">
            <v>Arrowhead Park Early College High School</v>
          </cell>
          <cell r="D88" t="str">
            <v>Las Cruces, New Mexico, United States</v>
          </cell>
          <cell r="E88">
            <v>87</v>
          </cell>
          <cell r="F88">
            <v>116</v>
          </cell>
          <cell r="G88">
            <v>73.817599999999999</v>
          </cell>
          <cell r="H88">
            <v>73.817599999999999</v>
          </cell>
          <cell r="I88">
            <v>48.386499999999998</v>
          </cell>
        </row>
        <row r="89">
          <cell r="A89" t="str">
            <v>8892B</v>
          </cell>
          <cell r="B89" t="str">
            <v>The Minutemen</v>
          </cell>
          <cell r="C89" t="str">
            <v>Delhi Charter School</v>
          </cell>
          <cell r="D89" t="str">
            <v>Delhi, Louisiana, United States</v>
          </cell>
          <cell r="E89">
            <v>136</v>
          </cell>
          <cell r="F89">
            <v>16</v>
          </cell>
          <cell r="G89">
            <v>135.273</v>
          </cell>
          <cell r="H89">
            <v>135.273</v>
          </cell>
          <cell r="I89">
            <v>58.240499999999997</v>
          </cell>
          <cell r="J89">
            <v>63.560699999999997</v>
          </cell>
        </row>
        <row r="90">
          <cell r="A90" t="str">
            <v>8931B</v>
          </cell>
          <cell r="B90" t="str">
            <v>V-Bots Trifecta</v>
          </cell>
          <cell r="C90" t="str">
            <v>Lake Stevens High</v>
          </cell>
          <cell r="D90" t="str">
            <v>Lake Stevens, Washington, United States</v>
          </cell>
          <cell r="E90">
            <v>174</v>
          </cell>
          <cell r="F90">
            <v>130</v>
          </cell>
          <cell r="G90">
            <v>116.723</v>
          </cell>
          <cell r="H90">
            <v>116.723</v>
          </cell>
          <cell r="I90">
            <v>74.938400000000001</v>
          </cell>
          <cell r="J90">
            <v>55.4863</v>
          </cell>
          <cell r="K90">
            <v>57.863199999999999</v>
          </cell>
          <cell r="L90">
            <v>21.606400000000001</v>
          </cell>
        </row>
        <row r="91">
          <cell r="A91" t="str">
            <v>9080H</v>
          </cell>
          <cell r="B91" t="str">
            <v>Rebel Robotics II</v>
          </cell>
          <cell r="C91" t="str">
            <v>South Hagerstown High School</v>
          </cell>
          <cell r="D91" t="str">
            <v>Hagerstown, Maryland, United States</v>
          </cell>
          <cell r="E91">
            <v>322</v>
          </cell>
          <cell r="F91">
            <v>2</v>
          </cell>
          <cell r="G91">
            <v>70.145600000000002</v>
          </cell>
          <cell r="H91">
            <v>60.614100000000001</v>
          </cell>
          <cell r="I91">
            <v>25.400200000000002</v>
          </cell>
          <cell r="J91">
            <v>70.145600000000002</v>
          </cell>
          <cell r="K91">
            <v>24.004100000000001</v>
          </cell>
          <cell r="L91">
            <v>51.624899999999997</v>
          </cell>
          <cell r="M91">
            <v>10.0482</v>
          </cell>
        </row>
        <row r="92">
          <cell r="A92" t="str">
            <v>9185</v>
          </cell>
          <cell r="B92" t="str">
            <v>B.H.S. Kickin Bots</v>
          </cell>
          <cell r="C92" t="str">
            <v xml:space="preserve">Bellefontaine High School </v>
          </cell>
          <cell r="D92" t="str">
            <v>Bellefontaine, Ohio, United States</v>
          </cell>
          <cell r="E92">
            <v>252</v>
          </cell>
          <cell r="F92">
            <v>176</v>
          </cell>
          <cell r="G92">
            <v>122.18</v>
          </cell>
          <cell r="H92">
            <v>122.18</v>
          </cell>
          <cell r="I92">
            <v>98.350499999999997</v>
          </cell>
          <cell r="J92">
            <v>77.36</v>
          </cell>
          <cell r="K92">
            <v>100.474</v>
          </cell>
          <cell r="L92">
            <v>0</v>
          </cell>
          <cell r="M92">
            <v>92.342299999999994</v>
          </cell>
          <cell r="N92">
            <v>54.228099999999998</v>
          </cell>
          <cell r="O92">
            <v>98.024799999999999</v>
          </cell>
        </row>
        <row r="93">
          <cell r="A93" t="str">
            <v>9364C</v>
          </cell>
          <cell r="B93" t="str">
            <v>Iron Eagles</v>
          </cell>
          <cell r="C93" t="str">
            <v>Brentwood Academy</v>
          </cell>
          <cell r="D93" t="str">
            <v>Brentwood, Tennessee, United States</v>
          </cell>
          <cell r="E93">
            <v>287</v>
          </cell>
          <cell r="F93">
            <v>146</v>
          </cell>
          <cell r="G93">
            <v>103.898</v>
          </cell>
          <cell r="H93">
            <v>103.898</v>
          </cell>
          <cell r="I93">
            <v>86.001099999999994</v>
          </cell>
          <cell r="J93">
            <v>98.8429</v>
          </cell>
          <cell r="K93">
            <v>87.537899999999993</v>
          </cell>
          <cell r="L93">
            <v>47.779299999999999</v>
          </cell>
          <cell r="M93">
            <v>40.892899999999997</v>
          </cell>
          <cell r="N93">
            <v>14.3568</v>
          </cell>
        </row>
        <row r="94">
          <cell r="A94" t="str">
            <v>9458</v>
          </cell>
          <cell r="B94" t="str">
            <v>Robo Chiefs</v>
          </cell>
          <cell r="C94" t="str">
            <v>Massapequa School District</v>
          </cell>
          <cell r="D94" t="str">
            <v>Massapequa, New York, United States</v>
          </cell>
          <cell r="E94">
            <v>72</v>
          </cell>
          <cell r="F94">
            <v>59</v>
          </cell>
          <cell r="G94">
            <v>80.007099999999994</v>
          </cell>
          <cell r="H94">
            <v>70.394599999999997</v>
          </cell>
          <cell r="I94">
            <v>18.3508</v>
          </cell>
          <cell r="J94">
            <v>35.317599999999999</v>
          </cell>
          <cell r="K94">
            <v>38.368499999999997</v>
          </cell>
          <cell r="L94">
            <v>47.3581</v>
          </cell>
          <cell r="M94">
            <v>80.007099999999994</v>
          </cell>
          <cell r="N94">
            <v>48.747900000000001</v>
          </cell>
        </row>
        <row r="95">
          <cell r="A95" t="str">
            <v>9663</v>
          </cell>
          <cell r="B95" t="str">
            <v>RIKITIK</v>
          </cell>
          <cell r="C95" t="str">
            <v>Ecole Paul-Hubert</v>
          </cell>
          <cell r="D95" t="str">
            <v>Rimouski, Quebec, Canada</v>
          </cell>
          <cell r="E95">
            <v>140</v>
          </cell>
          <cell r="F95">
            <v>0</v>
          </cell>
          <cell r="G95">
            <v>60.265099999999997</v>
          </cell>
          <cell r="H95">
            <v>60.265099999999997</v>
          </cell>
          <cell r="I95">
            <v>15.333399999999999</v>
          </cell>
        </row>
        <row r="96">
          <cell r="A96" t="str">
            <v>9848</v>
          </cell>
          <cell r="B96" t="str">
            <v>MCHS Tigers</v>
          </cell>
          <cell r="C96" t="str">
            <v>Madison County High School</v>
          </cell>
          <cell r="D96" t="str">
            <v>Gurley, Alabama, United States</v>
          </cell>
          <cell r="E96">
            <v>205</v>
          </cell>
          <cell r="F96">
            <v>164</v>
          </cell>
          <cell r="G96">
            <v>109.57299999999999</v>
          </cell>
          <cell r="H96">
            <v>37.754199999999997</v>
          </cell>
          <cell r="I96">
            <v>34.2866</v>
          </cell>
          <cell r="J96">
            <v>62.601999999999997</v>
          </cell>
          <cell r="K96">
            <v>109.57299999999999</v>
          </cell>
          <cell r="L96">
            <v>89.790499999999994</v>
          </cell>
        </row>
        <row r="97">
          <cell r="A97" t="str">
            <v>9932</v>
          </cell>
          <cell r="B97" t="str">
            <v>Hawks</v>
          </cell>
          <cell r="C97" t="str">
            <v>Jericho High School</v>
          </cell>
          <cell r="D97" t="str">
            <v>Jericho, New York, United States</v>
          </cell>
          <cell r="E97">
            <v>56</v>
          </cell>
          <cell r="F97">
            <v>146</v>
          </cell>
          <cell r="G97">
            <v>84.776700000000005</v>
          </cell>
          <cell r="H97">
            <v>84.776700000000005</v>
          </cell>
          <cell r="I97">
            <v>63.548299999999998</v>
          </cell>
          <cell r="J97">
            <v>67.640799999999999</v>
          </cell>
          <cell r="K97">
            <v>73.188999999999993</v>
          </cell>
          <cell r="L97">
            <v>52.500900000000001</v>
          </cell>
          <cell r="M97">
            <v>39.500399999999999</v>
          </cell>
        </row>
        <row r="98">
          <cell r="A98" t="str">
            <v>23222A</v>
          </cell>
          <cell r="B98" t="str">
            <v xml:space="preserve">Makarov's children </v>
          </cell>
          <cell r="C98" t="str">
            <v>Churapcha classic school after S.K. Makarov</v>
          </cell>
          <cell r="D98" t="str">
            <v>Yakutsk, N/A, Russia</v>
          </cell>
          <cell r="E98">
            <v>0</v>
          </cell>
          <cell r="F98">
            <v>0</v>
          </cell>
        </row>
        <row r="99">
          <cell r="A99" t="str">
            <v>98521</v>
          </cell>
          <cell r="B99" t="str">
            <v>HP Robotics</v>
          </cell>
          <cell r="C99" t="str">
            <v>Holly Pond High School</v>
          </cell>
          <cell r="D99" t="str">
            <v>Holly Pond, Alabama, United States</v>
          </cell>
          <cell r="E99">
            <v>156</v>
          </cell>
          <cell r="F99">
            <v>167</v>
          </cell>
          <cell r="G99">
            <v>117.277</v>
          </cell>
          <cell r="H99">
            <v>102.291</v>
          </cell>
          <cell r="I99">
            <v>112.414</v>
          </cell>
          <cell r="J99">
            <v>117.277</v>
          </cell>
          <cell r="K99">
            <v>91.134100000000004</v>
          </cell>
          <cell r="L99">
            <v>117.074</v>
          </cell>
          <cell r="M99">
            <v>38.848700000000001</v>
          </cell>
        </row>
        <row r="100">
          <cell r="A100" t="str">
            <v>99523A</v>
          </cell>
          <cell r="B100" t="str">
            <v>SCCS [Co.R.E.] = 99523;</v>
          </cell>
          <cell r="C100" t="str">
            <v>Sandy Creek Central School</v>
          </cell>
          <cell r="D100" t="str">
            <v>Sandy Creek, New York, United States</v>
          </cell>
          <cell r="E100">
            <v>50</v>
          </cell>
          <cell r="F100">
            <v>20</v>
          </cell>
          <cell r="G100">
            <v>74.767700000000005</v>
          </cell>
          <cell r="H100">
            <v>55.286700000000003</v>
          </cell>
          <cell r="I100">
            <v>74.767700000000005</v>
          </cell>
          <cell r="J100">
            <v>0</v>
          </cell>
          <cell r="K100">
            <v>41.824100000000001</v>
          </cell>
          <cell r="L100">
            <v>3.4075899999999999</v>
          </cell>
          <cell r="M100">
            <v>22.367599999999999</v>
          </cell>
        </row>
      </sheetData>
      <sheetData sheetId="4">
        <row r="1">
          <cell r="A1" t="str">
            <v>Team</v>
          </cell>
          <cell r="B1" t="str">
            <v>Name</v>
          </cell>
          <cell r="C1" t="str">
            <v>Org</v>
          </cell>
          <cell r="D1" t="str">
            <v>Location</v>
          </cell>
          <cell r="E1" t="str">
            <v>Drv_skills</v>
          </cell>
          <cell r="F1" t="str">
            <v>Prg_skills</v>
          </cell>
          <cell r="G1" t="str">
            <v>Opr_max</v>
          </cell>
          <cell r="H1" t="str">
            <v>Opr_last</v>
          </cell>
          <cell r="I1" t="str">
            <v>Opr-1</v>
          </cell>
          <cell r="J1" t="str">
            <v>Opr-2</v>
          </cell>
          <cell r="K1" t="str">
            <v>Opr-3</v>
          </cell>
          <cell r="L1" t="str">
            <v>Opr-4</v>
          </cell>
          <cell r="M1" t="str">
            <v>Opr-5</v>
          </cell>
        </row>
        <row r="2">
          <cell r="A2" t="str">
            <v>10D</v>
          </cell>
          <cell r="B2" t="str">
            <v>Exothermic Dichotomy</v>
          </cell>
          <cell r="C2" t="str">
            <v>Exothermic Robotics</v>
          </cell>
          <cell r="D2" t="str">
            <v>Redmond, Washington, United States</v>
          </cell>
          <cell r="E2">
            <v>0</v>
          </cell>
          <cell r="F2">
            <v>0</v>
          </cell>
          <cell r="G2">
            <v>47.432299999999998</v>
          </cell>
          <cell r="H2">
            <v>47.432299999999998</v>
          </cell>
          <cell r="I2">
            <v>19.273900000000001</v>
          </cell>
          <cell r="J2">
            <v>7.9199400000000004</v>
          </cell>
          <cell r="K2">
            <v>20.750800000000002</v>
          </cell>
          <cell r="L2">
            <v>16.109500000000001</v>
          </cell>
          <cell r="M2">
            <v>3.98813</v>
          </cell>
        </row>
        <row r="3">
          <cell r="A3" t="str">
            <v>33A</v>
          </cell>
          <cell r="B3" t="str">
            <v>Killer Bees</v>
          </cell>
          <cell r="C3" t="str">
            <v>Notre Dame Prep Killer Bees</v>
          </cell>
          <cell r="D3" t="str">
            <v>Pontiac, Michigan, United States</v>
          </cell>
          <cell r="E3">
            <v>168</v>
          </cell>
          <cell r="F3">
            <v>176</v>
          </cell>
          <cell r="G3">
            <v>173.37700000000001</v>
          </cell>
          <cell r="H3">
            <v>144.91999999999999</v>
          </cell>
          <cell r="I3">
            <v>166.113</v>
          </cell>
          <cell r="J3">
            <v>173.37700000000001</v>
          </cell>
          <cell r="K3">
            <v>130.48599999999999</v>
          </cell>
        </row>
        <row r="4">
          <cell r="A4" t="str">
            <v>46A</v>
          </cell>
          <cell r="B4" t="str">
            <v>Conquistadors</v>
          </cell>
          <cell r="C4" t="str">
            <v>Seton Junior-Senior High School</v>
          </cell>
          <cell r="D4" t="str">
            <v>Manassas, Virginia, United States</v>
          </cell>
          <cell r="E4">
            <v>119</v>
          </cell>
          <cell r="F4">
            <v>133</v>
          </cell>
          <cell r="G4">
            <v>84.924499999999995</v>
          </cell>
          <cell r="H4">
            <v>69.6708</v>
          </cell>
          <cell r="I4">
            <v>10.106400000000001</v>
          </cell>
          <cell r="J4">
            <v>61.349499999999999</v>
          </cell>
          <cell r="K4">
            <v>84.924499999999995</v>
          </cell>
        </row>
        <row r="5">
          <cell r="A5" t="str">
            <v>64C</v>
          </cell>
          <cell r="B5" t="str">
            <v>Double Down</v>
          </cell>
          <cell r="C5" t="str">
            <v>Ed W. Clark High School</v>
          </cell>
          <cell r="D5" t="str">
            <v>Las Vegas, Nevada, United States</v>
          </cell>
          <cell r="E5">
            <v>115</v>
          </cell>
          <cell r="F5">
            <v>0</v>
          </cell>
          <cell r="G5">
            <v>83.710400000000007</v>
          </cell>
          <cell r="H5">
            <v>71.643699999999995</v>
          </cell>
          <cell r="I5">
            <v>83.710400000000007</v>
          </cell>
          <cell r="J5">
            <v>47.342700000000001</v>
          </cell>
          <cell r="K5">
            <v>26.6174</v>
          </cell>
        </row>
        <row r="6">
          <cell r="A6" t="str">
            <v>118</v>
          </cell>
          <cell r="B6" t="str">
            <v>Robonauts</v>
          </cell>
          <cell r="C6" t="str">
            <v>Clear Creek ISD</v>
          </cell>
          <cell r="D6" t="str">
            <v>League City, Texas, United States</v>
          </cell>
          <cell r="E6">
            <v>300</v>
          </cell>
          <cell r="F6">
            <v>305</v>
          </cell>
          <cell r="G6">
            <v>202.67599999999999</v>
          </cell>
          <cell r="H6">
            <v>202.67599999999999</v>
          </cell>
          <cell r="I6">
            <v>121.91500000000001</v>
          </cell>
          <cell r="J6">
            <v>158.59700000000001</v>
          </cell>
          <cell r="K6">
            <v>163.447</v>
          </cell>
          <cell r="L6">
            <v>82.5471</v>
          </cell>
        </row>
        <row r="7">
          <cell r="A7" t="str">
            <v>169B</v>
          </cell>
          <cell r="B7" t="str">
            <v>The Cavalry</v>
          </cell>
          <cell r="C7" t="str">
            <v>Haverford School Robotics</v>
          </cell>
          <cell r="D7" t="str">
            <v>Haverford, Pennsylvania, United States</v>
          </cell>
          <cell r="E7">
            <v>300</v>
          </cell>
          <cell r="F7">
            <v>306</v>
          </cell>
          <cell r="G7">
            <v>70.460599999999999</v>
          </cell>
          <cell r="H7">
            <v>61.6098</v>
          </cell>
          <cell r="I7">
            <v>70.460599999999999</v>
          </cell>
          <cell r="J7">
            <v>50.3825</v>
          </cell>
        </row>
        <row r="8">
          <cell r="A8" t="str">
            <v>183Z</v>
          </cell>
          <cell r="B8" t="str">
            <v>Synobotz</v>
          </cell>
          <cell r="C8" t="str">
            <v>Team Synobotz</v>
          </cell>
          <cell r="D8" t="str">
            <v>Westminster, Maryland, United States</v>
          </cell>
          <cell r="E8">
            <v>151</v>
          </cell>
          <cell r="F8">
            <v>218</v>
          </cell>
          <cell r="G8">
            <v>86.099500000000006</v>
          </cell>
          <cell r="H8">
            <v>70.310100000000006</v>
          </cell>
          <cell r="I8">
            <v>48.178800000000003</v>
          </cell>
          <cell r="J8">
            <v>86.099500000000006</v>
          </cell>
          <cell r="K8">
            <v>60.555</v>
          </cell>
        </row>
        <row r="9">
          <cell r="A9" t="str">
            <v>224</v>
          </cell>
          <cell r="B9" t="str">
            <v>Crew 224 Sharks</v>
          </cell>
          <cell r="C9" t="str">
            <v>Crew 224</v>
          </cell>
          <cell r="D9" t="str">
            <v>Malibu, California, United States</v>
          </cell>
          <cell r="E9">
            <v>270</v>
          </cell>
          <cell r="F9">
            <v>91</v>
          </cell>
          <cell r="G9">
            <v>127.974</v>
          </cell>
          <cell r="H9">
            <v>127.974</v>
          </cell>
          <cell r="I9">
            <v>64.587199999999996</v>
          </cell>
          <cell r="J9">
            <v>82.492999999999995</v>
          </cell>
          <cell r="K9">
            <v>20.435199999999998</v>
          </cell>
        </row>
        <row r="10">
          <cell r="A10" t="str">
            <v>254C</v>
          </cell>
          <cell r="B10" t="str">
            <v>The Cheesy Poofs</v>
          </cell>
          <cell r="C10" t="str">
            <v>Bellarmine College Prep</v>
          </cell>
          <cell r="D10" t="str">
            <v>San Jose, California, United States</v>
          </cell>
          <cell r="E10">
            <v>259</v>
          </cell>
          <cell r="F10">
            <v>315</v>
          </cell>
          <cell r="G10">
            <v>118.122</v>
          </cell>
          <cell r="H10">
            <v>95.724199999999996</v>
          </cell>
          <cell r="I10">
            <v>113.61199999999999</v>
          </cell>
          <cell r="J10">
            <v>99.792299999999997</v>
          </cell>
          <cell r="K10">
            <v>118.122</v>
          </cell>
          <cell r="L10">
            <v>48.502200000000002</v>
          </cell>
        </row>
        <row r="11">
          <cell r="A11" t="str">
            <v>323Y</v>
          </cell>
          <cell r="B11" t="str">
            <v>Flux Capacitors</v>
          </cell>
          <cell r="C11" t="str">
            <v>Cornerstone Robotics</v>
          </cell>
          <cell r="D11" t="str">
            <v>Greenwood, Indiana, United States</v>
          </cell>
          <cell r="E11">
            <v>320</v>
          </cell>
          <cell r="F11">
            <v>202</v>
          </cell>
          <cell r="G11">
            <v>201.00399999999999</v>
          </cell>
          <cell r="H11">
            <v>103.869</v>
          </cell>
          <cell r="I11">
            <v>152.72300000000001</v>
          </cell>
          <cell r="J11">
            <v>201.00399999999999</v>
          </cell>
          <cell r="K11">
            <v>179.69800000000001</v>
          </cell>
          <cell r="L11">
            <v>161.75299999999999</v>
          </cell>
          <cell r="M11">
            <v>124.83499999999999</v>
          </cell>
          <cell r="N11">
            <v>97.009399999999999</v>
          </cell>
          <cell r="O11">
            <v>104.965</v>
          </cell>
        </row>
        <row r="12">
          <cell r="A12" t="str">
            <v>355B</v>
          </cell>
          <cell r="B12" t="str">
            <v>Steel Pythons</v>
          </cell>
          <cell r="C12" t="str">
            <v>Fox Valley Robotics</v>
          </cell>
          <cell r="D12" t="str">
            <v>Batavia, Illinois, United States</v>
          </cell>
          <cell r="E12">
            <v>290</v>
          </cell>
          <cell r="F12">
            <v>310</v>
          </cell>
          <cell r="G12">
            <v>159.673</v>
          </cell>
          <cell r="H12">
            <v>159.673</v>
          </cell>
          <cell r="I12">
            <v>113.943</v>
          </cell>
          <cell r="J12">
            <v>135.017</v>
          </cell>
          <cell r="K12">
            <v>118.334</v>
          </cell>
          <cell r="L12">
            <v>69.414400000000001</v>
          </cell>
          <cell r="M12">
            <v>83.448300000000003</v>
          </cell>
        </row>
        <row r="13">
          <cell r="A13" t="str">
            <v>383V</v>
          </cell>
          <cell r="B13" t="str">
            <v>Semulator</v>
          </cell>
          <cell r="C13" t="str">
            <v>Lowndes High School</v>
          </cell>
          <cell r="D13" t="str">
            <v>Valdosta, Georgia, United States</v>
          </cell>
          <cell r="E13">
            <v>281</v>
          </cell>
          <cell r="F13">
            <v>136</v>
          </cell>
          <cell r="G13">
            <v>109.351</v>
          </cell>
          <cell r="H13">
            <v>109.351</v>
          </cell>
          <cell r="I13">
            <v>68.342399999999998</v>
          </cell>
          <cell r="J13">
            <v>79.1785</v>
          </cell>
          <cell r="K13">
            <v>64.866399999999999</v>
          </cell>
          <cell r="L13">
            <v>72.831599999999995</v>
          </cell>
        </row>
        <row r="14">
          <cell r="A14" t="str">
            <v>464H</v>
          </cell>
          <cell r="B14" t="str">
            <v>Phobos</v>
          </cell>
          <cell r="C14" t="str">
            <v>Forest Hills High School</v>
          </cell>
          <cell r="D14" t="str">
            <v>Sidman, Pennsylvania, United States</v>
          </cell>
          <cell r="E14">
            <v>103</v>
          </cell>
          <cell r="F14">
            <v>146</v>
          </cell>
          <cell r="G14">
            <v>144.14599999999999</v>
          </cell>
          <cell r="H14">
            <v>144.14599999999999</v>
          </cell>
          <cell r="I14">
            <v>93.637299999999996</v>
          </cell>
        </row>
        <row r="15">
          <cell r="A15" t="str">
            <v>569C</v>
          </cell>
          <cell r="B15" t="str">
            <v>NightHawk Robotics Club</v>
          </cell>
          <cell r="C15" t="str">
            <v>Murrieta Valley High School</v>
          </cell>
          <cell r="D15" t="str">
            <v>Murrieta, California, United States</v>
          </cell>
          <cell r="E15">
            <v>69</v>
          </cell>
          <cell r="F15">
            <v>77</v>
          </cell>
          <cell r="G15">
            <v>68.920500000000004</v>
          </cell>
          <cell r="H15">
            <v>58.436900000000001</v>
          </cell>
          <cell r="I15">
            <v>48.630299999999998</v>
          </cell>
          <cell r="J15">
            <v>38.502200000000002</v>
          </cell>
          <cell r="K15">
            <v>68.920500000000004</v>
          </cell>
          <cell r="L15">
            <v>45.476799999999997</v>
          </cell>
        </row>
        <row r="16">
          <cell r="A16" t="str">
            <v>605F</v>
          </cell>
          <cell r="B16" t="str">
            <v>CECyTEH San Luis 6</v>
          </cell>
          <cell r="C16" t="str">
            <v>CECyTEH San Luis</v>
          </cell>
          <cell r="D16" t="str">
            <v>San Luis Potosí, San Luis Potosí, Mexico</v>
          </cell>
          <cell r="E16">
            <v>0</v>
          </cell>
          <cell r="F16">
            <v>0</v>
          </cell>
          <cell r="G16">
            <v>74.343599999999995</v>
          </cell>
          <cell r="H16">
            <v>37.9833</v>
          </cell>
          <cell r="I16">
            <v>34.363799999999998</v>
          </cell>
          <cell r="J16">
            <v>74.343599999999995</v>
          </cell>
        </row>
        <row r="17">
          <cell r="A17" t="str">
            <v>675E</v>
          </cell>
          <cell r="B17" t="str">
            <v>RoboDragons E</v>
          </cell>
          <cell r="C17" t="str">
            <v>Gwinnett School of Mathem, Science, and Technology</v>
          </cell>
          <cell r="D17" t="str">
            <v>Lawrenceville, Georgia, United States</v>
          </cell>
          <cell r="E17">
            <v>286</v>
          </cell>
          <cell r="F17">
            <v>186</v>
          </cell>
          <cell r="G17">
            <v>135.05600000000001</v>
          </cell>
          <cell r="H17">
            <v>132.839</v>
          </cell>
          <cell r="I17">
            <v>58.1783</v>
          </cell>
          <cell r="J17">
            <v>135.05600000000001</v>
          </cell>
          <cell r="K17">
            <v>123.102</v>
          </cell>
          <cell r="L17">
            <v>121.997</v>
          </cell>
          <cell r="M17">
            <v>95.193299999999994</v>
          </cell>
        </row>
        <row r="18">
          <cell r="A18" t="str">
            <v>778</v>
          </cell>
          <cell r="B18" t="str">
            <v>Atomic Fireballs</v>
          </cell>
          <cell r="C18" t="str">
            <v>Veritas Homeschoolers</v>
          </cell>
          <cell r="D18" t="str">
            <v>Tempe, Arizona, United States</v>
          </cell>
          <cell r="E18">
            <v>135</v>
          </cell>
          <cell r="F18">
            <v>156</v>
          </cell>
          <cell r="G18">
            <v>92.848600000000005</v>
          </cell>
          <cell r="H18">
            <v>83.456500000000005</v>
          </cell>
          <cell r="I18">
            <v>38.647500000000001</v>
          </cell>
          <cell r="J18">
            <v>92.848600000000005</v>
          </cell>
          <cell r="K18">
            <v>34.358699999999999</v>
          </cell>
          <cell r="L18">
            <v>24.564599999999999</v>
          </cell>
        </row>
        <row r="19">
          <cell r="A19" t="str">
            <v>917M</v>
          </cell>
          <cell r="B19" t="str">
            <v>Quantum Morty</v>
          </cell>
          <cell r="C19" t="str">
            <v>QUANTUM ROBOTICS</v>
          </cell>
          <cell r="D19" t="str">
            <v>Kirkland, Washington, United States</v>
          </cell>
          <cell r="E19">
            <v>251</v>
          </cell>
          <cell r="F19">
            <v>44</v>
          </cell>
          <cell r="G19">
            <v>113.51900000000001</v>
          </cell>
          <cell r="H19">
            <v>56.280500000000004</v>
          </cell>
          <cell r="I19">
            <v>113.51900000000001</v>
          </cell>
          <cell r="J19">
            <v>47.6629</v>
          </cell>
          <cell r="K19">
            <v>35.795499999999997</v>
          </cell>
          <cell r="L19">
            <v>29.661000000000001</v>
          </cell>
        </row>
        <row r="20">
          <cell r="A20" t="str">
            <v>974X</v>
          </cell>
          <cell r="B20" t="str">
            <v>Cyberbrains</v>
          </cell>
          <cell r="C20" t="str">
            <v>Loveland, CO Community Team</v>
          </cell>
          <cell r="D20" t="str">
            <v>Loveland, Colorado, United States</v>
          </cell>
          <cell r="E20">
            <v>308</v>
          </cell>
          <cell r="F20">
            <v>316</v>
          </cell>
          <cell r="G20">
            <v>149.577</v>
          </cell>
          <cell r="H20">
            <v>100.19199999999999</v>
          </cell>
          <cell r="I20">
            <v>86.113</v>
          </cell>
          <cell r="J20">
            <v>149.577</v>
          </cell>
          <cell r="K20">
            <v>96.572699999999998</v>
          </cell>
          <cell r="L20">
            <v>145.715</v>
          </cell>
          <cell r="M20">
            <v>97.711200000000005</v>
          </cell>
          <cell r="N20">
            <v>122.446</v>
          </cell>
          <cell r="O20">
            <v>66.379800000000003</v>
          </cell>
        </row>
        <row r="21">
          <cell r="A21" t="str">
            <v>1034A</v>
          </cell>
          <cell r="B21" t="str">
            <v>Roboregents</v>
          </cell>
          <cell r="C21" t="str">
            <v>La Reina High School</v>
          </cell>
          <cell r="D21" t="str">
            <v>Thousand Oaks, California, United States</v>
          </cell>
          <cell r="E21">
            <v>280</v>
          </cell>
          <cell r="F21">
            <v>151</v>
          </cell>
          <cell r="G21">
            <v>141.01900000000001</v>
          </cell>
          <cell r="H21">
            <v>141.01900000000001</v>
          </cell>
          <cell r="I21">
            <v>74.136200000000002</v>
          </cell>
          <cell r="J21">
            <v>110.08199999999999</v>
          </cell>
          <cell r="K21">
            <v>128.727</v>
          </cell>
          <cell r="L21">
            <v>62.23</v>
          </cell>
          <cell r="M21">
            <v>106.355</v>
          </cell>
          <cell r="N21">
            <v>113.197</v>
          </cell>
          <cell r="O21">
            <v>90.599299999999999</v>
          </cell>
          <cell r="P21">
            <v>32.915500000000002</v>
          </cell>
          <cell r="Q21">
            <v>53.7911</v>
          </cell>
          <cell r="R21">
            <v>7.3877100000000002</v>
          </cell>
        </row>
        <row r="22">
          <cell r="A22" t="str">
            <v>1082B</v>
          </cell>
          <cell r="B22" t="str">
            <v>Extreme Engineering II</v>
          </cell>
          <cell r="C22" t="str">
            <v>Extreme Engineering Club-Lovejoy High School</v>
          </cell>
          <cell r="D22" t="str">
            <v>Lucas, Texas, United States</v>
          </cell>
          <cell r="E22">
            <v>266</v>
          </cell>
          <cell r="F22">
            <v>0</v>
          </cell>
          <cell r="G22">
            <v>103.571</v>
          </cell>
          <cell r="H22">
            <v>31.670999999999999</v>
          </cell>
          <cell r="I22">
            <v>71.91</v>
          </cell>
          <cell r="J22">
            <v>103.571</v>
          </cell>
          <cell r="K22">
            <v>7.40768</v>
          </cell>
          <cell r="L22">
            <v>8.8236299999999996</v>
          </cell>
          <cell r="M22">
            <v>16.5761</v>
          </cell>
        </row>
        <row r="23">
          <cell r="A23" t="str">
            <v>1104X</v>
          </cell>
          <cell r="B23" t="str">
            <v>Discobots Xeon - 🍁 #ImThomas</v>
          </cell>
          <cell r="C23" t="str">
            <v>Brampton Robotics Education</v>
          </cell>
          <cell r="D23" t="str">
            <v>Brampton, Ontario, Canada</v>
          </cell>
          <cell r="E23">
            <v>394</v>
          </cell>
          <cell r="F23">
            <v>58</v>
          </cell>
          <cell r="G23">
            <v>166.09700000000001</v>
          </cell>
          <cell r="H23">
            <v>128.649</v>
          </cell>
          <cell r="I23">
            <v>64.183899999999994</v>
          </cell>
          <cell r="J23">
            <v>166.09700000000001</v>
          </cell>
          <cell r="K23">
            <v>42.141399999999997</v>
          </cell>
          <cell r="L23">
            <v>56.100700000000003</v>
          </cell>
          <cell r="M23">
            <v>113.13800000000001</v>
          </cell>
          <cell r="N23">
            <v>108.831</v>
          </cell>
        </row>
        <row r="24">
          <cell r="A24" t="str">
            <v>1138B</v>
          </cell>
          <cell r="B24" t="str">
            <v>Eagle Engineering</v>
          </cell>
          <cell r="C24" t="str">
            <v>Chaminade College Preparatory</v>
          </cell>
          <cell r="D24" t="str">
            <v>West Hills, California, United States</v>
          </cell>
          <cell r="E24">
            <v>311</v>
          </cell>
          <cell r="F24">
            <v>151</v>
          </cell>
          <cell r="G24">
            <v>138.36699999999999</v>
          </cell>
          <cell r="H24">
            <v>138.36699999999999</v>
          </cell>
          <cell r="I24">
            <v>55.503399999999999</v>
          </cell>
          <cell r="J24">
            <v>114.462</v>
          </cell>
          <cell r="K24">
            <v>76.767399999999995</v>
          </cell>
          <cell r="L24">
            <v>85.537400000000005</v>
          </cell>
        </row>
        <row r="25">
          <cell r="A25" t="str">
            <v>1267C</v>
          </cell>
          <cell r="B25" t="str">
            <v>Knights</v>
          </cell>
          <cell r="C25" t="str">
            <v>Delaware County Christian School</v>
          </cell>
          <cell r="D25" t="str">
            <v>Newtown Square, Pennsylvania, United States</v>
          </cell>
          <cell r="E25">
            <v>53</v>
          </cell>
          <cell r="F25">
            <v>164</v>
          </cell>
          <cell r="G25">
            <v>87.575199999999995</v>
          </cell>
          <cell r="H25">
            <v>51.844099999999997</v>
          </cell>
          <cell r="I25">
            <v>54.921500000000002</v>
          </cell>
          <cell r="J25">
            <v>28.636199999999999</v>
          </cell>
          <cell r="K25">
            <v>87.575199999999995</v>
          </cell>
          <cell r="L25">
            <v>44.664400000000001</v>
          </cell>
          <cell r="M25">
            <v>0</v>
          </cell>
          <cell r="N25">
            <v>-13.464499999999999</v>
          </cell>
          <cell r="O25">
            <v>-8.0230300000000004E-2</v>
          </cell>
        </row>
        <row r="26">
          <cell r="A26" t="str">
            <v>1344B</v>
          </cell>
          <cell r="B26" t="str">
            <v>James Ford Rhodes</v>
          </cell>
          <cell r="C26" t="str">
            <v>James Ford Rhodes</v>
          </cell>
          <cell r="D26" t="str">
            <v>Cleveland, Ohio, United States</v>
          </cell>
          <cell r="E26">
            <v>285</v>
          </cell>
          <cell r="F26">
            <v>161</v>
          </cell>
          <cell r="G26">
            <v>138.44200000000001</v>
          </cell>
          <cell r="H26">
            <v>138.44200000000001</v>
          </cell>
          <cell r="I26">
            <v>50.540300000000002</v>
          </cell>
          <cell r="J26">
            <v>23.257999999999999</v>
          </cell>
        </row>
        <row r="27">
          <cell r="A27" t="str">
            <v>1390</v>
          </cell>
          <cell r="B27" t="str">
            <v>Omicron Theta</v>
          </cell>
          <cell r="C27" t="str">
            <v>Galactic LTD Robotics</v>
          </cell>
          <cell r="D27" t="str">
            <v>El Segundo, California, United States</v>
          </cell>
          <cell r="E27">
            <v>305</v>
          </cell>
          <cell r="F27">
            <v>115</v>
          </cell>
          <cell r="G27">
            <v>127.878</v>
          </cell>
          <cell r="H27">
            <v>127.878</v>
          </cell>
          <cell r="I27">
            <v>101.205</v>
          </cell>
          <cell r="J27">
            <v>63.671399999999998</v>
          </cell>
          <cell r="K27">
            <v>77.600700000000003</v>
          </cell>
          <cell r="L27">
            <v>69.152199999999993</v>
          </cell>
          <cell r="M27">
            <v>106.81100000000001</v>
          </cell>
          <cell r="N27">
            <v>121.56399999999999</v>
          </cell>
          <cell r="O27">
            <v>67.6995</v>
          </cell>
          <cell r="P27">
            <v>59.13</v>
          </cell>
          <cell r="Q27">
            <v>88.253799999999998</v>
          </cell>
          <cell r="R27">
            <v>115.622</v>
          </cell>
        </row>
        <row r="28">
          <cell r="A28" t="str">
            <v>1460B</v>
          </cell>
          <cell r="B28" t="str">
            <v>Helix</v>
          </cell>
          <cell r="C28" t="str">
            <v>Sandy Robotics Club</v>
          </cell>
          <cell r="D28" t="str">
            <v>Sandy, Oregon, United States</v>
          </cell>
          <cell r="E28">
            <v>182</v>
          </cell>
          <cell r="F28">
            <v>71</v>
          </cell>
          <cell r="G28">
            <v>111.279</v>
          </cell>
          <cell r="H28">
            <v>81.947999999999993</v>
          </cell>
          <cell r="I28">
            <v>93.352000000000004</v>
          </cell>
          <cell r="J28">
            <v>93.457499999999996</v>
          </cell>
          <cell r="K28">
            <v>88.900999999999996</v>
          </cell>
          <cell r="L28">
            <v>111.279</v>
          </cell>
          <cell r="M28">
            <v>92.245000000000005</v>
          </cell>
        </row>
        <row r="29">
          <cell r="A29" t="str">
            <v>1497W</v>
          </cell>
          <cell r="B29" t="str">
            <v>Design Academy</v>
          </cell>
          <cell r="C29" t="str">
            <v>Utah State University//Design Academy</v>
          </cell>
          <cell r="D29" t="str">
            <v>Logan, Utah, United States</v>
          </cell>
          <cell r="E29">
            <v>0</v>
          </cell>
          <cell r="F29">
            <v>0</v>
          </cell>
          <cell r="G29">
            <v>108.61199999999999</v>
          </cell>
          <cell r="H29">
            <v>59.892600000000002</v>
          </cell>
          <cell r="I29">
            <v>105.264</v>
          </cell>
          <cell r="J29">
            <v>89.701800000000006</v>
          </cell>
          <cell r="K29">
            <v>64.759299999999996</v>
          </cell>
          <cell r="L29">
            <v>82.325100000000006</v>
          </cell>
          <cell r="M29">
            <v>108.61199999999999</v>
          </cell>
          <cell r="N29">
            <v>44.564900000000002</v>
          </cell>
        </row>
        <row r="30">
          <cell r="A30" t="str">
            <v>1575X</v>
          </cell>
          <cell r="B30" t="str">
            <v>Xcaliber</v>
          </cell>
          <cell r="C30" t="str">
            <v>Woodbridge Senior High School</v>
          </cell>
          <cell r="D30" t="str">
            <v>Woodbridge, Virginia, United States</v>
          </cell>
          <cell r="E30">
            <v>265</v>
          </cell>
          <cell r="F30">
            <v>194</v>
          </cell>
          <cell r="G30">
            <v>114.31699999999999</v>
          </cell>
          <cell r="H30">
            <v>114.31699999999999</v>
          </cell>
          <cell r="I30">
            <v>79.071700000000007</v>
          </cell>
          <cell r="J30">
            <v>72.951800000000006</v>
          </cell>
          <cell r="K30">
            <v>73.399100000000004</v>
          </cell>
          <cell r="L30">
            <v>62.232399999999998</v>
          </cell>
          <cell r="M30">
            <v>77.787300000000002</v>
          </cell>
          <cell r="N30">
            <v>32.7714</v>
          </cell>
        </row>
        <row r="31">
          <cell r="A31" t="str">
            <v>1727F</v>
          </cell>
          <cell r="B31" t="str">
            <v>REX</v>
          </cell>
          <cell r="C31" t="str">
            <v>Dulaney High School</v>
          </cell>
          <cell r="D31" t="str">
            <v>Timonium, Maryland, United States</v>
          </cell>
          <cell r="E31">
            <v>143</v>
          </cell>
          <cell r="F31">
            <v>91</v>
          </cell>
          <cell r="G31">
            <v>58.509599999999999</v>
          </cell>
          <cell r="H31">
            <v>55.409500000000001</v>
          </cell>
          <cell r="I31">
            <v>30.772200000000002</v>
          </cell>
          <cell r="J31">
            <v>58.509599999999999</v>
          </cell>
          <cell r="K31">
            <v>10.2341</v>
          </cell>
          <cell r="L31">
            <v>23.3721</v>
          </cell>
        </row>
        <row r="32">
          <cell r="A32" t="str">
            <v>1900W</v>
          </cell>
          <cell r="B32" t="str">
            <v>Team GMA</v>
          </cell>
          <cell r="C32" t="str">
            <v>Woodward Academy</v>
          </cell>
          <cell r="D32" t="str">
            <v>College Park, Georgia, United States</v>
          </cell>
          <cell r="E32">
            <v>156</v>
          </cell>
          <cell r="F32">
            <v>118</v>
          </cell>
          <cell r="G32">
            <v>144.792</v>
          </cell>
          <cell r="H32">
            <v>144.792</v>
          </cell>
          <cell r="I32">
            <v>10.5136</v>
          </cell>
          <cell r="J32">
            <v>104.664</v>
          </cell>
        </row>
        <row r="33">
          <cell r="A33" t="str">
            <v>2019A</v>
          </cell>
          <cell r="B33" t="str">
            <v>Singularity</v>
          </cell>
          <cell r="C33" t="str">
            <v>Flower Mound High School</v>
          </cell>
          <cell r="D33" t="str">
            <v>Flower Mound, Texas, United States</v>
          </cell>
          <cell r="E33">
            <v>208</v>
          </cell>
          <cell r="F33">
            <v>0</v>
          </cell>
          <cell r="G33">
            <v>105.946</v>
          </cell>
          <cell r="H33">
            <v>79.954800000000006</v>
          </cell>
          <cell r="I33">
            <v>55.938899999999997</v>
          </cell>
          <cell r="J33">
            <v>22.101299999999998</v>
          </cell>
          <cell r="K33">
            <v>105.946</v>
          </cell>
        </row>
        <row r="34">
          <cell r="A34" t="str">
            <v>2114Z</v>
          </cell>
          <cell r="B34" t="str">
            <v>Team da Vinci</v>
          </cell>
          <cell r="C34" t="str">
            <v>Team Automata</v>
          </cell>
          <cell r="D34" t="str">
            <v>Cave Creek, Arizona, United States</v>
          </cell>
          <cell r="E34">
            <v>250</v>
          </cell>
          <cell r="F34">
            <v>110</v>
          </cell>
          <cell r="G34">
            <v>148.51599999999999</v>
          </cell>
          <cell r="H34">
            <v>125.492</v>
          </cell>
          <cell r="I34">
            <v>148.51599999999999</v>
          </cell>
          <cell r="J34">
            <v>115.193</v>
          </cell>
          <cell r="K34">
            <v>106.919</v>
          </cell>
          <cell r="L34">
            <v>90.864900000000006</v>
          </cell>
          <cell r="M34">
            <v>104.247</v>
          </cell>
          <cell r="N34">
            <v>70.833200000000005</v>
          </cell>
        </row>
        <row r="35">
          <cell r="A35" t="str">
            <v>2131X</v>
          </cell>
          <cell r="B35" t="str">
            <v>Schmetterlinge &amp; Einhörn</v>
          </cell>
          <cell r="C35" t="str">
            <v>Davis High School</v>
          </cell>
          <cell r="D35" t="str">
            <v>Kaysville, Utah, United States</v>
          </cell>
          <cell r="E35">
            <v>350</v>
          </cell>
          <cell r="F35">
            <v>151</v>
          </cell>
          <cell r="G35">
            <v>159.392</v>
          </cell>
          <cell r="H35">
            <v>137.81</v>
          </cell>
          <cell r="I35">
            <v>159.392</v>
          </cell>
          <cell r="J35">
            <v>140.53</v>
          </cell>
          <cell r="K35">
            <v>87.898899999999998</v>
          </cell>
          <cell r="L35">
            <v>105.25700000000001</v>
          </cell>
          <cell r="M35">
            <v>78.094099999999997</v>
          </cell>
          <cell r="N35">
            <v>92.257300000000001</v>
          </cell>
          <cell r="O35">
            <v>96.862799999999993</v>
          </cell>
          <cell r="P35">
            <v>84.509699999999995</v>
          </cell>
        </row>
        <row r="36">
          <cell r="A36" t="str">
            <v>2353A</v>
          </cell>
          <cell r="B36" t="str">
            <v>Esc. Bellas Artes HS ADV</v>
          </cell>
          <cell r="C36" t="str">
            <v>Bellas Artes</v>
          </cell>
          <cell r="D36" t="str">
            <v>Humacao, Not Applicable or Not Listed, Puerto Rico</v>
          </cell>
          <cell r="E36">
            <v>106</v>
          </cell>
          <cell r="F36">
            <v>145</v>
          </cell>
          <cell r="G36">
            <v>124.336</v>
          </cell>
          <cell r="H36">
            <v>112.276</v>
          </cell>
          <cell r="I36">
            <v>124.336</v>
          </cell>
          <cell r="J36">
            <v>67.242199999999997</v>
          </cell>
          <cell r="K36">
            <v>59.172199999999997</v>
          </cell>
        </row>
        <row r="37">
          <cell r="A37" t="str">
            <v>2460</v>
          </cell>
          <cell r="B37" t="str">
            <v>Na Paniolo</v>
          </cell>
          <cell r="C37" t="str">
            <v>Kohala High</v>
          </cell>
          <cell r="D37" t="str">
            <v>Kapaau, Hawaii, United States</v>
          </cell>
          <cell r="E37">
            <v>138</v>
          </cell>
          <cell r="F37">
            <v>158</v>
          </cell>
          <cell r="G37">
            <v>101.79</v>
          </cell>
          <cell r="H37">
            <v>101.79</v>
          </cell>
          <cell r="I37">
            <v>90.394000000000005</v>
          </cell>
          <cell r="J37">
            <v>89.244</v>
          </cell>
          <cell r="K37">
            <v>41.800600000000003</v>
          </cell>
          <cell r="L37">
            <v>36.025700000000001</v>
          </cell>
        </row>
        <row r="38">
          <cell r="A38" t="str">
            <v>2581B</v>
          </cell>
          <cell r="B38" t="str">
            <v>BCAMSC Phoenix Robotics</v>
          </cell>
          <cell r="C38" t="str">
            <v>Michigan State University College of Engineering</v>
          </cell>
          <cell r="D38" t="str">
            <v>East Lansing, Michigan, United States</v>
          </cell>
          <cell r="E38">
            <v>189</v>
          </cell>
          <cell r="F38">
            <v>191</v>
          </cell>
          <cell r="G38">
            <v>119.92100000000001</v>
          </cell>
          <cell r="H38">
            <v>57.108899999999998</v>
          </cell>
          <cell r="I38">
            <v>119.92100000000001</v>
          </cell>
          <cell r="J38">
            <v>72.741699999999994</v>
          </cell>
        </row>
        <row r="39">
          <cell r="A39" t="str">
            <v>2719A</v>
          </cell>
          <cell r="B39" t="str">
            <v>The Face of Boe</v>
          </cell>
          <cell r="C39" t="str">
            <v>Triton Central High School</v>
          </cell>
          <cell r="D39" t="str">
            <v>Fairland, Indiana, United States</v>
          </cell>
          <cell r="E39">
            <v>271</v>
          </cell>
          <cell r="F39">
            <v>155</v>
          </cell>
          <cell r="G39">
            <v>66.643100000000004</v>
          </cell>
          <cell r="H39">
            <v>1.4150199999999999</v>
          </cell>
          <cell r="I39">
            <v>17.331800000000001</v>
          </cell>
          <cell r="J39">
            <v>43.669699999999999</v>
          </cell>
          <cell r="K39">
            <v>5.5204500000000003</v>
          </cell>
          <cell r="L39">
            <v>4.3399299999999998</v>
          </cell>
          <cell r="M39">
            <v>66.643100000000004</v>
          </cell>
          <cell r="N39">
            <v>55.834299999999999</v>
          </cell>
          <cell r="O39">
            <v>18.005099999999999</v>
          </cell>
        </row>
        <row r="40">
          <cell r="A40" t="str">
            <v>2915A</v>
          </cell>
          <cell r="B40" t="str">
            <v>Lynfield College Robotics</v>
          </cell>
          <cell r="C40" t="str">
            <v>Lynfield College</v>
          </cell>
          <cell r="D40" t="str">
            <v>Auckland, Not Applicable or Not Listed, New Zealand</v>
          </cell>
          <cell r="E40">
            <v>352</v>
          </cell>
          <cell r="F40">
            <v>160</v>
          </cell>
          <cell r="G40">
            <v>146.11500000000001</v>
          </cell>
          <cell r="H40">
            <v>146.11500000000001</v>
          </cell>
          <cell r="I40">
            <v>129.00299999999999</v>
          </cell>
          <cell r="J40">
            <v>88.495599999999996</v>
          </cell>
        </row>
        <row r="41">
          <cell r="A41" t="str">
            <v>2990A</v>
          </cell>
          <cell r="B41" t="str">
            <v>Titan Team Kronos</v>
          </cell>
          <cell r="C41" t="str">
            <v>West Salem High School</v>
          </cell>
          <cell r="D41" t="str">
            <v>Salem, Oregon, United States</v>
          </cell>
          <cell r="E41">
            <v>295</v>
          </cell>
          <cell r="F41">
            <v>286</v>
          </cell>
          <cell r="G41">
            <v>107.675</v>
          </cell>
          <cell r="H41">
            <v>86.428100000000001</v>
          </cell>
          <cell r="I41">
            <v>79.649199999999993</v>
          </cell>
          <cell r="J41">
            <v>107.675</v>
          </cell>
          <cell r="K41">
            <v>75.2</v>
          </cell>
          <cell r="L41">
            <v>54.109900000000003</v>
          </cell>
        </row>
        <row r="42">
          <cell r="A42" t="str">
            <v>3285B</v>
          </cell>
          <cell r="B42" t="str">
            <v>Central China Team</v>
          </cell>
          <cell r="C42" t="str">
            <v>Central China Team</v>
          </cell>
          <cell r="D42" t="str">
            <v>Xi'an, N/A, China</v>
          </cell>
          <cell r="E42">
            <v>0</v>
          </cell>
          <cell r="F42">
            <v>386</v>
          </cell>
        </row>
        <row r="43">
          <cell r="A43" t="str">
            <v>3309B</v>
          </cell>
          <cell r="B43" t="str">
            <v>Friarbots B</v>
          </cell>
          <cell r="C43" t="str">
            <v>Servite High School</v>
          </cell>
          <cell r="D43" t="str">
            <v>Anaheim, California, United States</v>
          </cell>
          <cell r="E43">
            <v>198</v>
          </cell>
          <cell r="F43">
            <v>147</v>
          </cell>
          <cell r="G43">
            <v>130.304</v>
          </cell>
          <cell r="H43">
            <v>91.408100000000005</v>
          </cell>
          <cell r="I43">
            <v>130.304</v>
          </cell>
          <cell r="J43">
            <v>87.3232</v>
          </cell>
          <cell r="K43">
            <v>103.559</v>
          </cell>
          <cell r="L43">
            <v>119.42400000000001</v>
          </cell>
          <cell r="M43">
            <v>40.173299999999998</v>
          </cell>
          <cell r="N43">
            <v>52.271799999999999</v>
          </cell>
          <cell r="O43">
            <v>34.406999999999996</v>
          </cell>
        </row>
        <row r="44">
          <cell r="A44" t="str">
            <v>3536M</v>
          </cell>
          <cell r="B44" t="str">
            <v>Raider Robotics</v>
          </cell>
          <cell r="C44" t="str">
            <v>North Forsyth High School</v>
          </cell>
          <cell r="D44" t="str">
            <v>Cumming, Georgia, United States</v>
          </cell>
          <cell r="E44">
            <v>118</v>
          </cell>
          <cell r="F44">
            <v>59</v>
          </cell>
          <cell r="G44">
            <v>76.988200000000006</v>
          </cell>
          <cell r="H44">
            <v>60.525399999999998</v>
          </cell>
          <cell r="I44">
            <v>55.127400000000002</v>
          </cell>
          <cell r="J44">
            <v>16.590199999999999</v>
          </cell>
          <cell r="K44">
            <v>49.069600000000001</v>
          </cell>
          <cell r="L44">
            <v>76.988200000000006</v>
          </cell>
          <cell r="M44">
            <v>74.298599999999993</v>
          </cell>
          <cell r="N44">
            <v>58.884799999999998</v>
          </cell>
          <cell r="O44">
            <v>44.544800000000002</v>
          </cell>
        </row>
        <row r="45">
          <cell r="A45" t="str">
            <v>3818A</v>
          </cell>
          <cell r="B45" t="str">
            <v>ISManila</v>
          </cell>
          <cell r="C45" t="str">
            <v>International School Manila</v>
          </cell>
          <cell r="D45" t="str">
            <v>Manila, Not Applicable or Not Listed, Philippines</v>
          </cell>
          <cell r="E45">
            <v>79</v>
          </cell>
          <cell r="F45">
            <v>84</v>
          </cell>
          <cell r="G45">
            <v>46.437199999999997</v>
          </cell>
          <cell r="H45">
            <v>46.437199999999997</v>
          </cell>
        </row>
        <row r="46">
          <cell r="A46" t="str">
            <v>3946W</v>
          </cell>
          <cell r="B46" t="str">
            <v>Sun Devils</v>
          </cell>
          <cell r="C46" t="str">
            <v>Kent Denver School</v>
          </cell>
          <cell r="D46" t="str">
            <v>Englewood, Colorado, United States</v>
          </cell>
          <cell r="E46">
            <v>194</v>
          </cell>
          <cell r="F46">
            <v>320</v>
          </cell>
          <cell r="G46">
            <v>85.489699999999999</v>
          </cell>
          <cell r="H46">
            <v>67.125799999999998</v>
          </cell>
          <cell r="I46">
            <v>85.489699999999999</v>
          </cell>
          <cell r="J46">
            <v>56.720399999999998</v>
          </cell>
          <cell r="K46">
            <v>72.283900000000003</v>
          </cell>
          <cell r="L46">
            <v>3.5691600000000001</v>
          </cell>
          <cell r="M46">
            <v>21.238800000000001</v>
          </cell>
        </row>
        <row r="47">
          <cell r="A47" t="str">
            <v>4112A</v>
          </cell>
          <cell r="B47" t="str">
            <v>Blue Devils</v>
          </cell>
          <cell r="C47" t="str">
            <v>Zanesville High School</v>
          </cell>
          <cell r="D47" t="str">
            <v>Zanesville, Ohio, United States</v>
          </cell>
          <cell r="E47">
            <v>230</v>
          </cell>
          <cell r="F47">
            <v>127</v>
          </cell>
          <cell r="G47">
            <v>118.90300000000001</v>
          </cell>
          <cell r="H47">
            <v>46.2498</v>
          </cell>
          <cell r="I47">
            <v>58.603299999999997</v>
          </cell>
          <cell r="J47">
            <v>0</v>
          </cell>
          <cell r="K47">
            <v>118.90300000000001</v>
          </cell>
          <cell r="L47">
            <v>86.547399999999996</v>
          </cell>
        </row>
        <row r="48">
          <cell r="A48" t="str">
            <v>4149C</v>
          </cell>
          <cell r="B48" t="str">
            <v>Iron Chargers (C Team)</v>
          </cell>
          <cell r="C48" t="str">
            <v>Grygla Public School Robotics</v>
          </cell>
          <cell r="D48" t="str">
            <v>Grygla, Minnesota, United States</v>
          </cell>
          <cell r="E48">
            <v>248</v>
          </cell>
          <cell r="F48">
            <v>223</v>
          </cell>
          <cell r="G48">
            <v>123.238</v>
          </cell>
          <cell r="H48">
            <v>115.146</v>
          </cell>
          <cell r="I48">
            <v>105.25700000000001</v>
          </cell>
          <cell r="J48">
            <v>123.238</v>
          </cell>
          <cell r="K48">
            <v>85.581000000000003</v>
          </cell>
        </row>
        <row r="49">
          <cell r="A49" t="str">
            <v>4303C</v>
          </cell>
          <cell r="B49" t="str">
            <v>Crossfire</v>
          </cell>
          <cell r="C49" t="str">
            <v>Forest Park High School</v>
          </cell>
          <cell r="D49" t="str">
            <v>Woodbridge, Virginia, United States</v>
          </cell>
          <cell r="E49">
            <v>246</v>
          </cell>
          <cell r="F49">
            <v>238</v>
          </cell>
          <cell r="G49">
            <v>109.54</v>
          </cell>
          <cell r="H49">
            <v>109.54</v>
          </cell>
          <cell r="I49">
            <v>85.138199999999998</v>
          </cell>
          <cell r="J49">
            <v>76.009699999999995</v>
          </cell>
          <cell r="K49">
            <v>90.132999999999996</v>
          </cell>
          <cell r="L49">
            <v>61.124600000000001</v>
          </cell>
          <cell r="M49">
            <v>60.920699999999997</v>
          </cell>
        </row>
        <row r="50">
          <cell r="A50" t="str">
            <v>4423C</v>
          </cell>
          <cell r="B50" t="str">
            <v>Masters</v>
          </cell>
          <cell r="C50" t="str">
            <v>San Pedro Claver</v>
          </cell>
          <cell r="D50" t="str">
            <v>Bucaramanga, Santander, Colombia</v>
          </cell>
          <cell r="E50">
            <v>126</v>
          </cell>
          <cell r="F50">
            <v>10</v>
          </cell>
          <cell r="G50">
            <v>115.127</v>
          </cell>
          <cell r="H50">
            <v>115.127</v>
          </cell>
          <cell r="I50">
            <v>66.681100000000001</v>
          </cell>
        </row>
        <row r="51">
          <cell r="A51" t="str">
            <v>4610Z</v>
          </cell>
          <cell r="B51" t="str">
            <v>And Then There's Jake</v>
          </cell>
          <cell r="C51" t="str">
            <v>Robot Revolution</v>
          </cell>
          <cell r="D51" t="str">
            <v>Summit, New Jersey, United States</v>
          </cell>
          <cell r="E51">
            <v>120</v>
          </cell>
          <cell r="F51">
            <v>55</v>
          </cell>
          <cell r="G51">
            <v>92.872399999999999</v>
          </cell>
          <cell r="H51">
            <v>87.723600000000005</v>
          </cell>
          <cell r="I51">
            <v>85.652100000000004</v>
          </cell>
          <cell r="J51">
            <v>92.872399999999999</v>
          </cell>
          <cell r="K51">
            <v>86.744900000000001</v>
          </cell>
          <cell r="L51">
            <v>86.554000000000002</v>
          </cell>
          <cell r="M51">
            <v>60.108899999999998</v>
          </cell>
        </row>
        <row r="52">
          <cell r="A52" t="str">
            <v>4805E</v>
          </cell>
          <cell r="B52" t="str">
            <v>B.O.S.</v>
          </cell>
          <cell r="C52" t="str">
            <v>Marion Harding High School</v>
          </cell>
          <cell r="D52" t="str">
            <v>Marion, Ohio, United States</v>
          </cell>
          <cell r="E52">
            <v>0</v>
          </cell>
          <cell r="F52">
            <v>141</v>
          </cell>
          <cell r="G52">
            <v>51.571100000000001</v>
          </cell>
          <cell r="H52">
            <v>51.571100000000001</v>
          </cell>
          <cell r="I52">
            <v>33.081000000000003</v>
          </cell>
          <cell r="J52">
            <v>44.777000000000001</v>
          </cell>
          <cell r="K52">
            <v>13.762</v>
          </cell>
          <cell r="L52">
            <v>0</v>
          </cell>
          <cell r="M52">
            <v>25.657900000000001</v>
          </cell>
          <cell r="N52">
            <v>18.7318</v>
          </cell>
          <cell r="O52">
            <v>26.637799999999999</v>
          </cell>
          <cell r="P52">
            <v>14.602600000000001</v>
          </cell>
        </row>
        <row r="53">
          <cell r="A53" t="str">
            <v>4828B</v>
          </cell>
          <cell r="B53" t="str">
            <v>BrewTech Robotics - B</v>
          </cell>
          <cell r="C53" t="str">
            <v>Brewbaker Technology Magnet High School</v>
          </cell>
          <cell r="D53" t="str">
            <v>Montgomery, Alabama, United States</v>
          </cell>
          <cell r="E53">
            <v>168</v>
          </cell>
          <cell r="F53">
            <v>166</v>
          </cell>
          <cell r="G53">
            <v>66.389200000000002</v>
          </cell>
          <cell r="H53">
            <v>66.389200000000002</v>
          </cell>
          <cell r="I53">
            <v>55.332500000000003</v>
          </cell>
          <cell r="J53">
            <v>25.825099999999999</v>
          </cell>
          <cell r="K53">
            <v>53.729799999999997</v>
          </cell>
        </row>
        <row r="54">
          <cell r="A54" t="str">
            <v>4911A</v>
          </cell>
          <cell r="B54" t="str">
            <v>High Voltage</v>
          </cell>
          <cell r="C54" t="str">
            <v>Michiana Youth Robotics and Engineering</v>
          </cell>
          <cell r="D54" t="str">
            <v>Niles, Michigan, United States</v>
          </cell>
          <cell r="E54">
            <v>146</v>
          </cell>
          <cell r="F54">
            <v>125</v>
          </cell>
          <cell r="G54">
            <v>111.986</v>
          </cell>
          <cell r="H54">
            <v>100.72799999999999</v>
          </cell>
          <cell r="I54">
            <v>94.535899999999998</v>
          </cell>
          <cell r="J54">
            <v>111.986</v>
          </cell>
          <cell r="K54">
            <v>97.012200000000007</v>
          </cell>
        </row>
        <row r="55">
          <cell r="A55" t="str">
            <v>5090A</v>
          </cell>
          <cell r="B55" t="str">
            <v>Radio Active</v>
          </cell>
          <cell r="C55" t="str">
            <v>Microchip Technology, Inc</v>
          </cell>
          <cell r="D55" t="str">
            <v>Chandler, Arizona, United States</v>
          </cell>
          <cell r="E55">
            <v>316</v>
          </cell>
          <cell r="F55">
            <v>267</v>
          </cell>
          <cell r="G55">
            <v>152.184</v>
          </cell>
          <cell r="H55">
            <v>91.058099999999996</v>
          </cell>
          <cell r="I55">
            <v>152.184</v>
          </cell>
          <cell r="J55">
            <v>140.84899999999999</v>
          </cell>
          <cell r="K55">
            <v>113.075</v>
          </cell>
          <cell r="L55">
            <v>141.17599999999999</v>
          </cell>
          <cell r="M55">
            <v>90.104600000000005</v>
          </cell>
          <cell r="N55">
            <v>24.1052</v>
          </cell>
        </row>
        <row r="56">
          <cell r="A56" t="str">
            <v>5150J</v>
          </cell>
          <cell r="B56" t="str">
            <v>Mad Hatters</v>
          </cell>
          <cell r="C56" t="str">
            <v>Danbury High School</v>
          </cell>
          <cell r="D56" t="str">
            <v>Danbury, Connecticut, United States</v>
          </cell>
          <cell r="E56">
            <v>99</v>
          </cell>
          <cell r="F56">
            <v>41</v>
          </cell>
          <cell r="G56">
            <v>86.920900000000003</v>
          </cell>
          <cell r="H56">
            <v>73.035300000000007</v>
          </cell>
          <cell r="I56">
            <v>57.543399999999998</v>
          </cell>
          <cell r="J56">
            <v>86.920900000000003</v>
          </cell>
        </row>
        <row r="57">
          <cell r="A57" t="str">
            <v>5267B</v>
          </cell>
          <cell r="B57" t="str">
            <v>Skull &amp; Bones</v>
          </cell>
          <cell r="C57" t="str">
            <v>Braden River High School</v>
          </cell>
          <cell r="D57" t="str">
            <v>Bradenton, Florida, United States</v>
          </cell>
          <cell r="E57">
            <v>272</v>
          </cell>
          <cell r="F57">
            <v>287</v>
          </cell>
          <cell r="G57">
            <v>130.21</v>
          </cell>
          <cell r="H57">
            <v>0</v>
          </cell>
          <cell r="I57">
            <v>94.375200000000007</v>
          </cell>
          <cell r="J57">
            <v>106.788</v>
          </cell>
          <cell r="K57">
            <v>113.779</v>
          </cell>
          <cell r="L57">
            <v>130.21</v>
          </cell>
          <cell r="M57">
            <v>124.337</v>
          </cell>
          <cell r="N57">
            <v>112.42400000000001</v>
          </cell>
        </row>
        <row r="58">
          <cell r="A58" t="str">
            <v>5408D</v>
          </cell>
          <cell r="B58" t="str">
            <v>Sachse Colossus</v>
          </cell>
          <cell r="C58" t="str">
            <v>Sachse High School</v>
          </cell>
          <cell r="D58" t="str">
            <v>Sachse, Texas, United States</v>
          </cell>
          <cell r="E58">
            <v>124</v>
          </cell>
          <cell r="F58">
            <v>0</v>
          </cell>
          <cell r="G58">
            <v>124.947</v>
          </cell>
          <cell r="H58">
            <v>65.326700000000002</v>
          </cell>
          <cell r="I58">
            <v>65.696899999999999</v>
          </cell>
          <cell r="J58">
            <v>124.947</v>
          </cell>
          <cell r="K58">
            <v>88.014099999999999</v>
          </cell>
          <cell r="L58">
            <v>52.4026</v>
          </cell>
          <cell r="M58">
            <v>105.53</v>
          </cell>
        </row>
        <row r="59">
          <cell r="A59" t="str">
            <v>5482A</v>
          </cell>
          <cell r="B59" t="str">
            <v>CECyTEH Huejutla 1</v>
          </cell>
          <cell r="C59" t="str">
            <v>CECyTEH Plantel Huejutla</v>
          </cell>
          <cell r="D59" t="str">
            <v>Huejutla de Reyes, Hgo., Hidalgo, Mexico</v>
          </cell>
          <cell r="E59">
            <v>0</v>
          </cell>
          <cell r="F59">
            <v>0</v>
          </cell>
          <cell r="G59">
            <v>63.1464</v>
          </cell>
          <cell r="H59">
            <v>44.030700000000003</v>
          </cell>
          <cell r="I59">
            <v>63.1464</v>
          </cell>
          <cell r="J59">
            <v>34.0886</v>
          </cell>
          <cell r="K59">
            <v>40.853499999999997</v>
          </cell>
        </row>
        <row r="60">
          <cell r="A60" t="str">
            <v>5588E</v>
          </cell>
          <cell r="B60" t="str">
            <v>Calvert Hall Cardinals</v>
          </cell>
          <cell r="C60" t="str">
            <v>Calvert Hall College High School</v>
          </cell>
          <cell r="D60" t="str">
            <v>Towson, Maryland, United States</v>
          </cell>
          <cell r="E60">
            <v>218</v>
          </cell>
          <cell r="F60">
            <v>0</v>
          </cell>
          <cell r="G60">
            <v>29.628399999999999</v>
          </cell>
          <cell r="H60">
            <v>29.628399999999999</v>
          </cell>
          <cell r="I60">
            <v>-0.31102999999999997</v>
          </cell>
          <cell r="J60">
            <v>21.8292</v>
          </cell>
          <cell r="K60">
            <v>15.895799999999999</v>
          </cell>
        </row>
        <row r="61">
          <cell r="A61" t="str">
            <v>5772</v>
          </cell>
          <cell r="B61" t="str">
            <v>Eaglebots</v>
          </cell>
          <cell r="C61" t="str">
            <v>The Harker School</v>
          </cell>
          <cell r="D61" t="str">
            <v>Santa Clara, California, United States</v>
          </cell>
          <cell r="E61">
            <v>234</v>
          </cell>
          <cell r="F61">
            <v>321</v>
          </cell>
          <cell r="G61">
            <v>100.206</v>
          </cell>
          <cell r="H61">
            <v>64.331699999999998</v>
          </cell>
          <cell r="I61">
            <v>60.6755</v>
          </cell>
          <cell r="J61">
            <v>83.318899999999999</v>
          </cell>
          <cell r="K61">
            <v>89.441900000000004</v>
          </cell>
          <cell r="L61">
            <v>100.206</v>
          </cell>
          <cell r="M61">
            <v>62.490499999999997</v>
          </cell>
          <cell r="N61">
            <v>39.758800000000001</v>
          </cell>
          <cell r="O61">
            <v>60.731299999999997</v>
          </cell>
          <cell r="P61">
            <v>48.259</v>
          </cell>
        </row>
        <row r="62">
          <cell r="A62" t="str">
            <v>5776T</v>
          </cell>
          <cell r="B62" t="str">
            <v>DVHS Robotics</v>
          </cell>
          <cell r="C62" t="str">
            <v>Dougherty Valley High School</v>
          </cell>
          <cell r="D62" t="str">
            <v>San Ramon, California, United States</v>
          </cell>
          <cell r="E62">
            <v>345</v>
          </cell>
          <cell r="F62">
            <v>92</v>
          </cell>
          <cell r="G62">
            <v>153.666</v>
          </cell>
          <cell r="H62">
            <v>122.464</v>
          </cell>
          <cell r="I62">
            <v>95.422499999999999</v>
          </cell>
          <cell r="J62">
            <v>135.05600000000001</v>
          </cell>
          <cell r="K62">
            <v>90.540499999999994</v>
          </cell>
          <cell r="L62">
            <v>153.666</v>
          </cell>
          <cell r="M62">
            <v>107.789</v>
          </cell>
        </row>
        <row r="63">
          <cell r="A63" t="str">
            <v>5839A</v>
          </cell>
          <cell r="B63" t="str">
            <v>Tech 1</v>
          </cell>
          <cell r="C63" t="str">
            <v>Eastern Technical High School</v>
          </cell>
          <cell r="D63" t="str">
            <v>Baltimore, Maryland, United States</v>
          </cell>
          <cell r="E63">
            <v>337</v>
          </cell>
          <cell r="F63">
            <v>315</v>
          </cell>
          <cell r="G63">
            <v>128.351</v>
          </cell>
          <cell r="H63">
            <v>128.351</v>
          </cell>
          <cell r="I63">
            <v>101.30500000000001</v>
          </cell>
          <cell r="J63">
            <v>89.174000000000007</v>
          </cell>
          <cell r="K63">
            <v>77.369200000000006</v>
          </cell>
          <cell r="L63">
            <v>84.855099999999993</v>
          </cell>
          <cell r="M63">
            <v>90.146600000000007</v>
          </cell>
          <cell r="N63">
            <v>77.812399999999997</v>
          </cell>
          <cell r="O63">
            <v>27.382999999999999</v>
          </cell>
        </row>
        <row r="64">
          <cell r="A64" t="str">
            <v>6008A</v>
          </cell>
          <cell r="B64" t="str">
            <v>Angels in Beta</v>
          </cell>
          <cell r="C64" t="str">
            <v>North Union High School</v>
          </cell>
          <cell r="D64" t="str">
            <v>Richwood, Ohio, United States</v>
          </cell>
          <cell r="E64">
            <v>142</v>
          </cell>
          <cell r="F64">
            <v>137</v>
          </cell>
          <cell r="G64">
            <v>87.578699999999998</v>
          </cell>
          <cell r="H64">
            <v>87.578699999999998</v>
          </cell>
          <cell r="I64">
            <v>57.310099999999998</v>
          </cell>
          <cell r="J64">
            <v>50.701799999999999</v>
          </cell>
          <cell r="K64">
            <v>38.456400000000002</v>
          </cell>
          <cell r="L64">
            <v>41.598599999999998</v>
          </cell>
          <cell r="M64">
            <v>37.766800000000003</v>
          </cell>
          <cell r="N64">
            <v>0</v>
          </cell>
          <cell r="O64">
            <v>25.186699999999998</v>
          </cell>
          <cell r="P64">
            <v>20.047499999999999</v>
          </cell>
          <cell r="Q64">
            <v>25.283100000000001</v>
          </cell>
          <cell r="R64">
            <v>1.9636</v>
          </cell>
        </row>
        <row r="65">
          <cell r="A65" t="str">
            <v>6053B</v>
          </cell>
          <cell r="B65" t="str">
            <v>Error 404</v>
          </cell>
          <cell r="C65" t="str">
            <v>Highgate School</v>
          </cell>
          <cell r="D65" t="str">
            <v>London, N/A, United Kingdom</v>
          </cell>
          <cell r="E65">
            <v>221</v>
          </cell>
          <cell r="F65">
            <v>191</v>
          </cell>
          <cell r="G65">
            <v>145.48400000000001</v>
          </cell>
          <cell r="H65">
            <v>82.423900000000003</v>
          </cell>
          <cell r="I65">
            <v>98.141499999999994</v>
          </cell>
          <cell r="J65">
            <v>90.008300000000006</v>
          </cell>
          <cell r="K65">
            <v>84.572199999999995</v>
          </cell>
          <cell r="L65">
            <v>74.054299999999998</v>
          </cell>
          <cell r="M65">
            <v>86.465199999999996</v>
          </cell>
          <cell r="N65">
            <v>145.48400000000001</v>
          </cell>
          <cell r="O65">
            <v>49.232399999999998</v>
          </cell>
          <cell r="P65">
            <v>45.636899999999997</v>
          </cell>
          <cell r="Q65">
            <v>19.584</v>
          </cell>
        </row>
        <row r="66">
          <cell r="A66" t="str">
            <v>6135C</v>
          </cell>
          <cell r="B66" t="str">
            <v>CHHS Bruins C</v>
          </cell>
          <cell r="C66" t="str">
            <v>Central Hardin High School PLTW</v>
          </cell>
          <cell r="D66" t="str">
            <v>Cecilia, Kentucky, United States</v>
          </cell>
          <cell r="E66">
            <v>246</v>
          </cell>
          <cell r="F66">
            <v>138</v>
          </cell>
          <cell r="G66">
            <v>150.21899999999999</v>
          </cell>
          <cell r="H66">
            <v>150.21899999999999</v>
          </cell>
          <cell r="I66">
            <v>64.808800000000005</v>
          </cell>
          <cell r="J66">
            <v>87.766999999999996</v>
          </cell>
          <cell r="K66">
            <v>98.679100000000005</v>
          </cell>
          <cell r="L66">
            <v>115.919</v>
          </cell>
          <cell r="M66">
            <v>31.170300000000001</v>
          </cell>
          <cell r="N66">
            <v>67.358800000000002</v>
          </cell>
        </row>
        <row r="67">
          <cell r="A67" t="str">
            <v>6264</v>
          </cell>
          <cell r="B67" t="str">
            <v>The Shawkbots</v>
          </cell>
          <cell r="C67" t="str">
            <v>Shawnigan Lake School</v>
          </cell>
          <cell r="D67" t="str">
            <v>Shawnigan Lake, British Columbia, Canada</v>
          </cell>
          <cell r="E67">
            <v>283</v>
          </cell>
          <cell r="F67">
            <v>0</v>
          </cell>
          <cell r="G67">
            <v>86.446700000000007</v>
          </cell>
          <cell r="H67">
            <v>86.446700000000007</v>
          </cell>
          <cell r="I67">
            <v>28.858799999999999</v>
          </cell>
          <cell r="J67">
            <v>18.383800000000001</v>
          </cell>
          <cell r="K67">
            <v>6.9376199999999999</v>
          </cell>
        </row>
        <row r="68">
          <cell r="A68" t="str">
            <v>6323C</v>
          </cell>
          <cell r="B68" t="str">
            <v>Tyrannosaurus Vex</v>
          </cell>
          <cell r="C68" t="str">
            <v>Desert Vista High School</v>
          </cell>
          <cell r="D68" t="str">
            <v>phoenix, Arizona, United States</v>
          </cell>
          <cell r="E68">
            <v>94</v>
          </cell>
          <cell r="F68">
            <v>105</v>
          </cell>
          <cell r="G68">
            <v>77.083399999999997</v>
          </cell>
          <cell r="H68">
            <v>64.446799999999996</v>
          </cell>
          <cell r="I68">
            <v>77.083399999999997</v>
          </cell>
          <cell r="J68">
            <v>15.475</v>
          </cell>
          <cell r="K68">
            <v>1.5767500000000001</v>
          </cell>
        </row>
        <row r="69">
          <cell r="A69" t="str">
            <v>6526F</v>
          </cell>
          <cell r="B69" t="str">
            <v>D-High</v>
          </cell>
          <cell r="C69" t="str">
            <v>Damien High School</v>
          </cell>
          <cell r="D69" t="str">
            <v>La Verne, California, United States</v>
          </cell>
          <cell r="E69">
            <v>226</v>
          </cell>
          <cell r="F69">
            <v>160</v>
          </cell>
          <cell r="G69">
            <v>75.131299999999996</v>
          </cell>
          <cell r="H69">
            <v>74.705299999999994</v>
          </cell>
          <cell r="I69">
            <v>75.131299999999996</v>
          </cell>
          <cell r="J69">
            <v>28.598700000000001</v>
          </cell>
        </row>
        <row r="70">
          <cell r="A70" t="str">
            <v>6724</v>
          </cell>
          <cell r="B70" t="str">
            <v>K2 Robotics</v>
          </cell>
          <cell r="C70" t="str">
            <v>Chadwick International</v>
          </cell>
          <cell r="D70" t="str">
            <v>Songdo, N/A, South Korea</v>
          </cell>
          <cell r="E70">
            <v>272</v>
          </cell>
          <cell r="F70">
            <v>208</v>
          </cell>
          <cell r="G70">
            <v>110.9</v>
          </cell>
          <cell r="H70">
            <v>110.9</v>
          </cell>
          <cell r="I70">
            <v>61.223399999999998</v>
          </cell>
          <cell r="J70">
            <v>0</v>
          </cell>
        </row>
        <row r="71">
          <cell r="A71" t="str">
            <v>6862</v>
          </cell>
          <cell r="B71" t="str">
            <v>Team Comet Robotics Club</v>
          </cell>
          <cell r="C71" t="str">
            <v>Team Comet Robotics Club</v>
          </cell>
          <cell r="D71" t="str">
            <v>Marion, Ohio, United States</v>
          </cell>
          <cell r="E71">
            <v>55</v>
          </cell>
          <cell r="F71">
            <v>0</v>
          </cell>
          <cell r="G71">
            <v>68.359499999999997</v>
          </cell>
          <cell r="H71">
            <v>61.093000000000004</v>
          </cell>
          <cell r="I71">
            <v>35.150199999999998</v>
          </cell>
          <cell r="J71">
            <v>63.577800000000003</v>
          </cell>
          <cell r="K71">
            <v>68.359499999999997</v>
          </cell>
          <cell r="L71">
            <v>7.5114599999999996</v>
          </cell>
          <cell r="M71">
            <v>67.595799999999997</v>
          </cell>
          <cell r="N71">
            <v>20.482900000000001</v>
          </cell>
          <cell r="O71">
            <v>51.782699999999998</v>
          </cell>
        </row>
        <row r="72">
          <cell r="A72" t="str">
            <v>6916D</v>
          </cell>
          <cell r="B72" t="str">
            <v>BVT Samurai</v>
          </cell>
          <cell r="C72" t="str">
            <v>Blackstone Valley Regional High School</v>
          </cell>
          <cell r="D72" t="str">
            <v>Upton, Massachusetts, United States</v>
          </cell>
          <cell r="E72">
            <v>195</v>
          </cell>
          <cell r="F72">
            <v>0</v>
          </cell>
          <cell r="G72">
            <v>99.343599999999995</v>
          </cell>
          <cell r="H72">
            <v>96.4756</v>
          </cell>
          <cell r="I72">
            <v>75.454300000000003</v>
          </cell>
          <cell r="J72">
            <v>99.343599999999995</v>
          </cell>
          <cell r="K72">
            <v>49.8217</v>
          </cell>
          <cell r="L72">
            <v>55.8262</v>
          </cell>
        </row>
        <row r="73">
          <cell r="A73" t="str">
            <v>7110A</v>
          </cell>
          <cell r="B73" t="str">
            <v>Fired Up!</v>
          </cell>
          <cell r="C73" t="str">
            <v>Carroll Senior High School</v>
          </cell>
          <cell r="D73" t="str">
            <v>Southlake, Texas, United States</v>
          </cell>
          <cell r="E73">
            <v>239</v>
          </cell>
          <cell r="F73">
            <v>266</v>
          </cell>
          <cell r="G73">
            <v>150.85900000000001</v>
          </cell>
          <cell r="H73">
            <v>139.15</v>
          </cell>
          <cell r="I73">
            <v>121.128</v>
          </cell>
          <cell r="J73">
            <v>150.85900000000001</v>
          </cell>
          <cell r="K73">
            <v>77.162400000000005</v>
          </cell>
        </row>
        <row r="74">
          <cell r="A74" t="str">
            <v>7232</v>
          </cell>
          <cell r="B74" t="str">
            <v>Cyber Pirates</v>
          </cell>
          <cell r="C74" t="str">
            <v>Belton High School</v>
          </cell>
          <cell r="D74" t="str">
            <v>Belton, Missouri, United States</v>
          </cell>
          <cell r="E74">
            <v>317</v>
          </cell>
          <cell r="F74">
            <v>160</v>
          </cell>
          <cell r="G74">
            <v>114.46299999999999</v>
          </cell>
          <cell r="H74">
            <v>108.22</v>
          </cell>
          <cell r="I74">
            <v>114.46299999999999</v>
          </cell>
          <cell r="J74">
            <v>49.290799999999997</v>
          </cell>
          <cell r="K74">
            <v>90.782300000000006</v>
          </cell>
          <cell r="L74">
            <v>19.2805</v>
          </cell>
          <cell r="M74">
            <v>80.541899999999998</v>
          </cell>
          <cell r="N74">
            <v>83.546000000000006</v>
          </cell>
          <cell r="O74">
            <v>70.491900000000001</v>
          </cell>
          <cell r="P74">
            <v>82.013800000000003</v>
          </cell>
        </row>
        <row r="75">
          <cell r="A75" t="str">
            <v>7316E</v>
          </cell>
          <cell r="B75" t="str">
            <v>Firestone Engineering</v>
          </cell>
          <cell r="C75" t="str">
            <v>Firestone Engineering Club</v>
          </cell>
          <cell r="D75" t="str">
            <v>Akron, Ohio, United States</v>
          </cell>
          <cell r="E75">
            <v>112</v>
          </cell>
          <cell r="F75">
            <v>120</v>
          </cell>
          <cell r="G75">
            <v>84.390799999999999</v>
          </cell>
          <cell r="H75">
            <v>84.390799999999999</v>
          </cell>
          <cell r="I75">
            <v>83.138499999999993</v>
          </cell>
          <cell r="J75">
            <v>65.683300000000003</v>
          </cell>
          <cell r="K75">
            <v>0</v>
          </cell>
          <cell r="L75">
            <v>69.372299999999996</v>
          </cell>
          <cell r="M75">
            <v>69.229500000000002</v>
          </cell>
          <cell r="N75">
            <v>65.128699999999995</v>
          </cell>
          <cell r="O75">
            <v>74.706999999999994</v>
          </cell>
        </row>
        <row r="76">
          <cell r="A76" t="str">
            <v>7536B</v>
          </cell>
          <cell r="B76" t="str">
            <v>Counter Logic Mechanics</v>
          </cell>
          <cell r="C76" t="str">
            <v>Ridgeland High School</v>
          </cell>
          <cell r="D76" t="str">
            <v>Ridgeland, Mississippi, United States</v>
          </cell>
          <cell r="E76">
            <v>38</v>
          </cell>
          <cell r="F76">
            <v>0</v>
          </cell>
          <cell r="G76">
            <v>95.623000000000005</v>
          </cell>
          <cell r="H76">
            <v>68.244200000000006</v>
          </cell>
          <cell r="I76">
            <v>95.623000000000005</v>
          </cell>
          <cell r="J76">
            <v>56.292700000000004</v>
          </cell>
          <cell r="K76">
            <v>56.357999999999997</v>
          </cell>
          <cell r="L76">
            <v>9.9640599999999999</v>
          </cell>
        </row>
        <row r="77">
          <cell r="A77" t="str">
            <v>7665C</v>
          </cell>
          <cell r="B77" t="str">
            <v>Raudales malpaso C</v>
          </cell>
          <cell r="C77" t="str">
            <v>CECYTECH PLANTEL 13 Raudales Malpaso</v>
          </cell>
          <cell r="D77" t="str">
            <v>Tecpatan, Chiapas, Chiapas, Mexico</v>
          </cell>
          <cell r="E77">
            <v>0</v>
          </cell>
          <cell r="F77">
            <v>7</v>
          </cell>
          <cell r="G77">
            <v>115.324</v>
          </cell>
          <cell r="H77">
            <v>115.324</v>
          </cell>
          <cell r="I77">
            <v>89.773899999999998</v>
          </cell>
          <cell r="J77">
            <v>71.675899999999999</v>
          </cell>
          <cell r="K77">
            <v>52.659500000000001</v>
          </cell>
        </row>
        <row r="78">
          <cell r="A78" t="str">
            <v>7786C</v>
          </cell>
          <cell r="B78" t="str">
            <v>Xicheng FSCP&amp;BJUT</v>
          </cell>
          <cell r="C78" t="str">
            <v>Xicheng District of Beijing Financial Street Child</v>
          </cell>
          <cell r="D78" t="str">
            <v>beijing, Not Applicable or Not Listed, China</v>
          </cell>
          <cell r="E78">
            <v>0</v>
          </cell>
          <cell r="F78">
            <v>0</v>
          </cell>
          <cell r="G78">
            <v>96.761799999999994</v>
          </cell>
          <cell r="H78">
            <v>96.761799999999994</v>
          </cell>
        </row>
        <row r="79">
          <cell r="A79" t="str">
            <v>7862F</v>
          </cell>
          <cell r="B79" t="str">
            <v>Backwards Shirts</v>
          </cell>
          <cell r="C79" t="str">
            <v>Hesston High School</v>
          </cell>
          <cell r="D79" t="str">
            <v>Hesston, Kansas, United States</v>
          </cell>
          <cell r="E79">
            <v>57</v>
          </cell>
          <cell r="F79">
            <v>0</v>
          </cell>
          <cell r="G79">
            <v>121.015</v>
          </cell>
          <cell r="H79">
            <v>121.015</v>
          </cell>
          <cell r="I79">
            <v>76.354900000000001</v>
          </cell>
          <cell r="J79">
            <v>0</v>
          </cell>
          <cell r="K79">
            <v>46.033900000000003</v>
          </cell>
          <cell r="L79">
            <v>83.232200000000006</v>
          </cell>
        </row>
        <row r="80">
          <cell r="A80" t="str">
            <v>7972B</v>
          </cell>
          <cell r="B80" t="str">
            <v>Gaoxin NO.1 High Sch B</v>
          </cell>
          <cell r="C80" t="str">
            <v>Xi'an Gaoxin NO.1 High School</v>
          </cell>
          <cell r="D80" t="str">
            <v>xi'an, Not Applicable or Not Listed, China</v>
          </cell>
          <cell r="E80">
            <v>398</v>
          </cell>
          <cell r="F80">
            <v>305</v>
          </cell>
          <cell r="G80">
            <v>50.019599999999997</v>
          </cell>
          <cell r="H80">
            <v>50.019599999999997</v>
          </cell>
        </row>
        <row r="81">
          <cell r="A81" t="str">
            <v>8000B</v>
          </cell>
          <cell r="B81" t="str">
            <v>HRS Robohawks</v>
          </cell>
          <cell r="C81" t="str">
            <v>Head-Royce School</v>
          </cell>
          <cell r="D81" t="str">
            <v>Oakland, California, United States</v>
          </cell>
          <cell r="E81">
            <v>0</v>
          </cell>
          <cell r="F81">
            <v>0</v>
          </cell>
          <cell r="G81">
            <v>147.84700000000001</v>
          </cell>
          <cell r="H81">
            <v>147.84700000000001</v>
          </cell>
          <cell r="I81">
            <v>90.450400000000002</v>
          </cell>
          <cell r="J81">
            <v>81.610100000000003</v>
          </cell>
          <cell r="K81">
            <v>59.305900000000001</v>
          </cell>
          <cell r="L81">
            <v>89.639300000000006</v>
          </cell>
          <cell r="M81">
            <v>109.363</v>
          </cell>
          <cell r="N81">
            <v>73.1541</v>
          </cell>
          <cell r="O81">
            <v>70.906700000000001</v>
          </cell>
        </row>
        <row r="82">
          <cell r="A82" t="str">
            <v>8059B</v>
          </cell>
          <cell r="B82" t="str">
            <v>Blank.</v>
          </cell>
          <cell r="C82" t="str">
            <v>Anglo-Chinese School (Independent)</v>
          </cell>
          <cell r="D82" t="str">
            <v>Singapore, Not Applicable or Not Listed, Singapore</v>
          </cell>
          <cell r="E82">
            <v>117</v>
          </cell>
          <cell r="F82">
            <v>0</v>
          </cell>
          <cell r="G82">
            <v>64.527299999999997</v>
          </cell>
          <cell r="H82">
            <v>64.527299999999997</v>
          </cell>
        </row>
        <row r="83">
          <cell r="A83" t="str">
            <v>8171</v>
          </cell>
          <cell r="B83" t="str">
            <v>Team R.O.U.S.E</v>
          </cell>
          <cell r="C83" t="str">
            <v>Independent</v>
          </cell>
          <cell r="D83" t="str">
            <v>Colchester, Essex, United Kingdom</v>
          </cell>
          <cell r="E83">
            <v>123</v>
          </cell>
          <cell r="F83">
            <v>0</v>
          </cell>
          <cell r="G83">
            <v>74.6066</v>
          </cell>
          <cell r="H83">
            <v>45.706600000000002</v>
          </cell>
          <cell r="I83">
            <v>74.6066</v>
          </cell>
          <cell r="J83">
            <v>21.361699999999999</v>
          </cell>
          <cell r="K83">
            <v>3.0934599999999999</v>
          </cell>
        </row>
        <row r="84">
          <cell r="A84" t="str">
            <v>8370B</v>
          </cell>
          <cell r="B84" t="str">
            <v>Green Machine</v>
          </cell>
          <cell r="C84" t="str">
            <v>Notre Dame High School</v>
          </cell>
          <cell r="D84" t="str">
            <v>West Haven, Connecticut, United States</v>
          </cell>
          <cell r="E84">
            <v>225</v>
          </cell>
          <cell r="F84">
            <v>16</v>
          </cell>
          <cell r="G84">
            <v>125.983</v>
          </cell>
          <cell r="H84">
            <v>125.983</v>
          </cell>
          <cell r="I84">
            <v>110.928</v>
          </cell>
          <cell r="J84">
            <v>87.5471</v>
          </cell>
          <cell r="K84">
            <v>113.033</v>
          </cell>
          <cell r="L84">
            <v>84.570899999999995</v>
          </cell>
        </row>
        <row r="85">
          <cell r="A85" t="str">
            <v>8568B</v>
          </cell>
          <cell r="B85" t="str">
            <v>Knights</v>
          </cell>
          <cell r="C85" t="str">
            <v>North Andover High School</v>
          </cell>
          <cell r="D85" t="str">
            <v>North Andover, Massachusetts, United States</v>
          </cell>
          <cell r="E85">
            <v>89</v>
          </cell>
          <cell r="F85">
            <v>0</v>
          </cell>
          <cell r="G85">
            <v>114.63800000000001</v>
          </cell>
          <cell r="H85">
            <v>114.63800000000001</v>
          </cell>
          <cell r="I85">
            <v>25.562200000000001</v>
          </cell>
          <cell r="J85">
            <v>96.448400000000007</v>
          </cell>
        </row>
        <row r="86">
          <cell r="A86" t="str">
            <v>8655V</v>
          </cell>
          <cell r="B86" t="str">
            <v>The Q Is Silqent</v>
          </cell>
          <cell r="C86" t="str">
            <v>Eagan Vex Robotiqs</v>
          </cell>
          <cell r="D86" t="str">
            <v>Eagan, Minnesota, United States</v>
          </cell>
          <cell r="E86">
            <v>58</v>
          </cell>
          <cell r="F86">
            <v>0</v>
          </cell>
          <cell r="G86">
            <v>91.485100000000003</v>
          </cell>
          <cell r="H86">
            <v>89.831599999999995</v>
          </cell>
          <cell r="I86">
            <v>91.485100000000003</v>
          </cell>
          <cell r="J86">
            <v>89.027299999999997</v>
          </cell>
        </row>
        <row r="87">
          <cell r="A87" t="str">
            <v>8691E</v>
          </cell>
          <cell r="B87" t="str">
            <v>hefei NO.8 SMSch E</v>
          </cell>
          <cell r="C87" t="str">
            <v>Hefei No.8 Senior Middle School</v>
          </cell>
          <cell r="D87" t="str">
            <v>hefei, Not Applicable or Not Listed, China</v>
          </cell>
          <cell r="E87">
            <v>0</v>
          </cell>
          <cell r="F87">
            <v>0</v>
          </cell>
        </row>
        <row r="88">
          <cell r="A88" t="str">
            <v>8787</v>
          </cell>
          <cell r="B88" t="str">
            <v>Eastwood Robotics</v>
          </cell>
          <cell r="C88" t="str">
            <v>Eastwood High School</v>
          </cell>
          <cell r="D88" t="str">
            <v>El Paso, Texas, United States</v>
          </cell>
          <cell r="E88">
            <v>0</v>
          </cell>
          <cell r="F88">
            <v>10</v>
          </cell>
          <cell r="G88">
            <v>97.267200000000003</v>
          </cell>
          <cell r="H88">
            <v>16.790299999999998</v>
          </cell>
          <cell r="I88">
            <v>97.267200000000003</v>
          </cell>
          <cell r="J88">
            <v>19.596299999999999</v>
          </cell>
        </row>
        <row r="89">
          <cell r="A89" t="str">
            <v>8899X</v>
          </cell>
          <cell r="B89" t="str">
            <v>Vexecutives</v>
          </cell>
          <cell r="C89" t="str">
            <v>Braden River High School</v>
          </cell>
          <cell r="D89" t="str">
            <v>Bradenton, Florida, United States</v>
          </cell>
          <cell r="E89">
            <v>291</v>
          </cell>
          <cell r="F89">
            <v>254</v>
          </cell>
          <cell r="G89">
            <v>90.317800000000005</v>
          </cell>
          <cell r="H89">
            <v>0</v>
          </cell>
          <cell r="I89">
            <v>10.726699999999999</v>
          </cell>
          <cell r="J89">
            <v>48.268000000000001</v>
          </cell>
          <cell r="K89">
            <v>51.341099999999997</v>
          </cell>
          <cell r="L89">
            <v>90.317800000000005</v>
          </cell>
        </row>
        <row r="90">
          <cell r="A90" t="str">
            <v>9019A</v>
          </cell>
          <cell r="B90" t="str">
            <v>Atomic Wolf Pack</v>
          </cell>
          <cell r="C90" t="str">
            <v>Roosevelt High School</v>
          </cell>
          <cell r="D90" t="str">
            <v>Johnstown, Colorado, United States</v>
          </cell>
          <cell r="E90">
            <v>221</v>
          </cell>
          <cell r="F90">
            <v>145</v>
          </cell>
          <cell r="G90">
            <v>130.953</v>
          </cell>
          <cell r="H90">
            <v>79.619900000000001</v>
          </cell>
          <cell r="I90">
            <v>83.852400000000003</v>
          </cell>
          <cell r="J90">
            <v>48.768300000000004</v>
          </cell>
          <cell r="K90">
            <v>113.13200000000001</v>
          </cell>
          <cell r="L90">
            <v>130.953</v>
          </cell>
          <cell r="M90">
            <v>101.416</v>
          </cell>
          <cell r="N90">
            <v>57.374899999999997</v>
          </cell>
        </row>
        <row r="91">
          <cell r="A91" t="str">
            <v>9090A</v>
          </cell>
          <cell r="B91" t="str">
            <v>T-VEX</v>
          </cell>
          <cell r="C91" t="str">
            <v>The Mandarin Chinese School</v>
          </cell>
          <cell r="D91" t="str">
            <v>Arlington, Texas, United States</v>
          </cell>
          <cell r="E91">
            <v>335</v>
          </cell>
          <cell r="F91">
            <v>330</v>
          </cell>
          <cell r="G91">
            <v>180.12799999999999</v>
          </cell>
          <cell r="H91">
            <v>86.697100000000006</v>
          </cell>
          <cell r="I91">
            <v>180.12799999999999</v>
          </cell>
          <cell r="J91">
            <v>169.27199999999999</v>
          </cell>
          <cell r="K91">
            <v>168.69</v>
          </cell>
          <cell r="L91">
            <v>91.366100000000003</v>
          </cell>
          <cell r="M91">
            <v>76.163799999999995</v>
          </cell>
        </row>
        <row r="92">
          <cell r="A92" t="str">
            <v>9225C</v>
          </cell>
          <cell r="B92" t="str">
            <v>Team Juice Box</v>
          </cell>
          <cell r="C92" t="str">
            <v>White Plains High School</v>
          </cell>
          <cell r="D92" t="str">
            <v>Anniston, Alabama, United States</v>
          </cell>
          <cell r="E92">
            <v>89</v>
          </cell>
          <cell r="F92">
            <v>0</v>
          </cell>
          <cell r="G92">
            <v>48.179299999999998</v>
          </cell>
          <cell r="H92">
            <v>26.1891</v>
          </cell>
          <cell r="I92">
            <v>48.179299999999998</v>
          </cell>
          <cell r="J92">
            <v>11.748100000000001</v>
          </cell>
          <cell r="K92">
            <v>14.382899999999999</v>
          </cell>
          <cell r="L92">
            <v>-12.6555</v>
          </cell>
        </row>
        <row r="93">
          <cell r="A93" t="str">
            <v>9364E</v>
          </cell>
          <cell r="B93" t="str">
            <v>Iron Eagles</v>
          </cell>
          <cell r="C93" t="str">
            <v>Brentwood Academy</v>
          </cell>
          <cell r="D93" t="str">
            <v>Brentwood, Tennessee, United States</v>
          </cell>
          <cell r="E93">
            <v>288</v>
          </cell>
          <cell r="F93">
            <v>150</v>
          </cell>
          <cell r="G93">
            <v>65.072599999999994</v>
          </cell>
          <cell r="H93">
            <v>52.616599999999998</v>
          </cell>
          <cell r="I93">
            <v>65.072599999999994</v>
          </cell>
          <cell r="J93">
            <v>45.636299999999999</v>
          </cell>
          <cell r="K93">
            <v>23.168099999999999</v>
          </cell>
          <cell r="L93">
            <v>21.506399999999999</v>
          </cell>
          <cell r="M93">
            <v>16.296299999999999</v>
          </cell>
        </row>
        <row r="94">
          <cell r="A94" t="str">
            <v>9458D</v>
          </cell>
          <cell r="B94" t="str">
            <v>Robo Chiefs</v>
          </cell>
          <cell r="C94" t="str">
            <v>Massapequa School District</v>
          </cell>
          <cell r="D94" t="str">
            <v>Massapequa, New York, United States</v>
          </cell>
          <cell r="E94">
            <v>115</v>
          </cell>
          <cell r="F94">
            <v>63</v>
          </cell>
          <cell r="G94">
            <v>80.578100000000006</v>
          </cell>
          <cell r="H94">
            <v>49.837200000000003</v>
          </cell>
          <cell r="I94">
            <v>55.277000000000001</v>
          </cell>
          <cell r="J94">
            <v>64.661600000000007</v>
          </cell>
          <cell r="K94">
            <v>80.578100000000006</v>
          </cell>
          <cell r="L94">
            <v>54.572699999999998</v>
          </cell>
          <cell r="M94">
            <v>38.407299999999999</v>
          </cell>
        </row>
        <row r="95">
          <cell r="A95" t="str">
            <v>9692A</v>
          </cell>
          <cell r="B95" t="str">
            <v>TCIS1</v>
          </cell>
          <cell r="C95" t="str">
            <v>Thai-Chinese International School</v>
          </cell>
          <cell r="D95" t="str">
            <v>Bangkok, N/A, Thailand</v>
          </cell>
          <cell r="E95">
            <v>0</v>
          </cell>
          <cell r="F95">
            <v>0</v>
          </cell>
          <cell r="G95">
            <v>21.113099999999999</v>
          </cell>
          <cell r="H95">
            <v>21.113099999999999</v>
          </cell>
        </row>
        <row r="96">
          <cell r="A96" t="str">
            <v>9898A</v>
          </cell>
          <cell r="B96" t="str">
            <v>Scorpion Robotics</v>
          </cell>
          <cell r="C96" t="str">
            <v>Scorpion Engineering Hesperia High School</v>
          </cell>
          <cell r="D96" t="str">
            <v>Hesperia, California, United States</v>
          </cell>
          <cell r="E96">
            <v>319</v>
          </cell>
          <cell r="F96">
            <v>215</v>
          </cell>
          <cell r="G96">
            <v>136.392</v>
          </cell>
          <cell r="H96">
            <v>125.434</v>
          </cell>
          <cell r="I96">
            <v>136.392</v>
          </cell>
          <cell r="J96">
            <v>97.033100000000005</v>
          </cell>
          <cell r="K96">
            <v>90.555499999999995</v>
          </cell>
          <cell r="L96">
            <v>70.032700000000006</v>
          </cell>
        </row>
        <row r="97">
          <cell r="A97" t="str">
            <v>9932E</v>
          </cell>
          <cell r="B97" t="str">
            <v>Hawks</v>
          </cell>
          <cell r="C97" t="str">
            <v>Jericho High School</v>
          </cell>
          <cell r="D97" t="str">
            <v>Jericho, New York, United States</v>
          </cell>
          <cell r="E97">
            <v>78</v>
          </cell>
          <cell r="F97">
            <v>140</v>
          </cell>
          <cell r="G97">
            <v>55.331200000000003</v>
          </cell>
          <cell r="H97">
            <v>55.331200000000003</v>
          </cell>
          <cell r="I97">
            <v>24.729600000000001</v>
          </cell>
          <cell r="J97">
            <v>26.549900000000001</v>
          </cell>
          <cell r="K97">
            <v>49.457299999999996</v>
          </cell>
          <cell r="L97">
            <v>19.268999999999998</v>
          </cell>
          <cell r="M97">
            <v>21.027799999999999</v>
          </cell>
        </row>
        <row r="98">
          <cell r="A98" t="str">
            <v>32016A</v>
          </cell>
          <cell r="B98" t="str">
            <v>North China Team</v>
          </cell>
          <cell r="C98" t="str">
            <v>North China Team</v>
          </cell>
          <cell r="D98" t="str">
            <v>Xi'an, N/A, China</v>
          </cell>
          <cell r="E98">
            <v>0</v>
          </cell>
          <cell r="F98">
            <v>357</v>
          </cell>
        </row>
        <row r="99">
          <cell r="A99" t="str">
            <v>98725B</v>
          </cell>
          <cell r="B99" t="str">
            <v>Falcon</v>
          </cell>
          <cell r="C99" t="str">
            <v>Rochester Hills Christian School</v>
          </cell>
          <cell r="D99" t="str">
            <v>Rochester Hills, Michigan, United States</v>
          </cell>
          <cell r="E99">
            <v>273</v>
          </cell>
          <cell r="F99">
            <v>276</v>
          </cell>
          <cell r="G99">
            <v>140.899</v>
          </cell>
          <cell r="H99">
            <v>140.899</v>
          </cell>
          <cell r="I99">
            <v>106.349</v>
          </cell>
          <cell r="J99">
            <v>84.209800000000001</v>
          </cell>
          <cell r="K99">
            <v>135.518</v>
          </cell>
        </row>
        <row r="100">
          <cell r="A100" t="str">
            <v>99611</v>
          </cell>
          <cell r="B100" t="str">
            <v xml:space="preserve">Hope of Syria </v>
          </cell>
          <cell r="C100" t="str">
            <v xml:space="preserve">MAPs Organization </v>
          </cell>
          <cell r="D100" t="str">
            <v>Damascus , N/A, Syria</v>
          </cell>
          <cell r="E100">
            <v>0</v>
          </cell>
          <cell r="F100">
            <v>0</v>
          </cell>
        </row>
      </sheetData>
      <sheetData sheetId="5">
        <row r="1">
          <cell r="A1" t="str">
            <v>Team</v>
          </cell>
          <cell r="B1" t="str">
            <v>Name</v>
          </cell>
          <cell r="C1" t="str">
            <v>Org</v>
          </cell>
          <cell r="D1" t="str">
            <v>Location</v>
          </cell>
          <cell r="E1" t="str">
            <v>Drv_skills</v>
          </cell>
          <cell r="F1" t="str">
            <v>Prg_skills</v>
          </cell>
          <cell r="G1" t="str">
            <v>Opr_max</v>
          </cell>
          <cell r="H1" t="str">
            <v>Opr_last</v>
          </cell>
          <cell r="I1" t="str">
            <v>Opr-1</v>
          </cell>
          <cell r="J1" t="str">
            <v>Opr-2</v>
          </cell>
          <cell r="K1" t="str">
            <v>Opr-3</v>
          </cell>
          <cell r="L1" t="str">
            <v>Opr-4</v>
          </cell>
          <cell r="M1" t="str">
            <v>Opr-5</v>
          </cell>
        </row>
        <row r="2">
          <cell r="A2" t="str">
            <v>10Q</v>
          </cell>
          <cell r="B2" t="str">
            <v>Exothermic Quties</v>
          </cell>
          <cell r="C2" t="str">
            <v>Exothermic Robotics</v>
          </cell>
          <cell r="D2" t="str">
            <v>Redmond, Washington, United States</v>
          </cell>
          <cell r="E2">
            <v>316</v>
          </cell>
          <cell r="F2">
            <v>141</v>
          </cell>
          <cell r="G2">
            <v>149.648</v>
          </cell>
          <cell r="H2">
            <v>149.648</v>
          </cell>
          <cell r="I2">
            <v>145.149</v>
          </cell>
          <cell r="J2">
            <v>120.913</v>
          </cell>
          <cell r="K2">
            <v>137.77500000000001</v>
          </cell>
          <cell r="L2">
            <v>146.43</v>
          </cell>
          <cell r="M2">
            <v>65.663200000000003</v>
          </cell>
        </row>
        <row r="3">
          <cell r="A3" t="str">
            <v>35</v>
          </cell>
          <cell r="B3" t="str">
            <v>Terminal Velocity</v>
          </cell>
          <cell r="C3" t="str">
            <v>Cranbrook Schools</v>
          </cell>
          <cell r="D3" t="str">
            <v>Bloomfield Hills, Michigan, United States</v>
          </cell>
          <cell r="E3">
            <v>231</v>
          </cell>
          <cell r="F3">
            <v>183</v>
          </cell>
          <cell r="G3">
            <v>115.691</v>
          </cell>
          <cell r="H3">
            <v>92.681100000000001</v>
          </cell>
          <cell r="I3">
            <v>73.259600000000006</v>
          </cell>
          <cell r="J3">
            <v>101.706</v>
          </cell>
          <cell r="K3">
            <v>85.513900000000007</v>
          </cell>
          <cell r="L3">
            <v>115.691</v>
          </cell>
          <cell r="M3">
            <v>16.049700000000001</v>
          </cell>
          <cell r="N3">
            <v>0</v>
          </cell>
        </row>
        <row r="4">
          <cell r="A4" t="str">
            <v>56B</v>
          </cell>
          <cell r="B4" t="str">
            <v>Cape Robotics B</v>
          </cell>
          <cell r="C4" t="str">
            <v>Cape Elizabeth High School</v>
          </cell>
          <cell r="D4" t="str">
            <v>Cape Elizabeth, Maine, United States</v>
          </cell>
          <cell r="E4">
            <v>17</v>
          </cell>
          <cell r="F4">
            <v>15</v>
          </cell>
          <cell r="G4">
            <v>18.670100000000001</v>
          </cell>
          <cell r="H4">
            <v>18.670100000000001</v>
          </cell>
          <cell r="I4">
            <v>6.32334</v>
          </cell>
          <cell r="J4">
            <v>9.5600299999999994</v>
          </cell>
        </row>
        <row r="5">
          <cell r="A5" t="str">
            <v>66A</v>
          </cell>
          <cell r="B5" t="str">
            <v>Real Steel</v>
          </cell>
          <cell r="C5" t="str">
            <v xml:space="preserve"> Har-Ber Robotics</v>
          </cell>
          <cell r="D5" t="str">
            <v>Springdale, Arkansas, United States</v>
          </cell>
          <cell r="E5">
            <v>99</v>
          </cell>
          <cell r="F5">
            <v>29</v>
          </cell>
          <cell r="G5">
            <v>107.28</v>
          </cell>
          <cell r="H5">
            <v>79.225300000000004</v>
          </cell>
          <cell r="I5">
            <v>107.28</v>
          </cell>
          <cell r="J5">
            <v>62.546100000000003</v>
          </cell>
        </row>
        <row r="6">
          <cell r="A6" t="str">
            <v>127A</v>
          </cell>
          <cell r="B6" t="str">
            <v>Lemon Bots</v>
          </cell>
          <cell r="C6" t="str">
            <v>Campo Verde High School</v>
          </cell>
          <cell r="D6" t="str">
            <v>Gilbert, Arizona, United States</v>
          </cell>
          <cell r="E6">
            <v>119</v>
          </cell>
          <cell r="F6">
            <v>51</v>
          </cell>
          <cell r="G6">
            <v>106.636</v>
          </cell>
          <cell r="H6">
            <v>71.779300000000006</v>
          </cell>
          <cell r="I6">
            <v>106.636</v>
          </cell>
          <cell r="J6">
            <v>78.460300000000004</v>
          </cell>
          <cell r="K6">
            <v>64.173299999999998</v>
          </cell>
          <cell r="L6">
            <v>23.109500000000001</v>
          </cell>
          <cell r="M6">
            <v>37.954099999999997</v>
          </cell>
          <cell r="N6">
            <v>42.518300000000004</v>
          </cell>
          <cell r="O6">
            <v>9.0685300000000009</v>
          </cell>
        </row>
        <row r="7">
          <cell r="A7" t="str">
            <v>169E</v>
          </cell>
          <cell r="B7" t="str">
            <v>The Cavalry</v>
          </cell>
          <cell r="C7" t="str">
            <v>Haverford School Robotics</v>
          </cell>
          <cell r="D7" t="str">
            <v>Haverford, Pennsylvania, United States</v>
          </cell>
          <cell r="E7">
            <v>240</v>
          </cell>
          <cell r="F7">
            <v>126</v>
          </cell>
          <cell r="G7">
            <v>108.229</v>
          </cell>
          <cell r="H7">
            <v>108.229</v>
          </cell>
          <cell r="I7">
            <v>86.408100000000005</v>
          </cell>
          <cell r="J7">
            <v>57.667000000000002</v>
          </cell>
          <cell r="K7">
            <v>31.0595</v>
          </cell>
          <cell r="L7">
            <v>-2.6130499999999999</v>
          </cell>
          <cell r="M7">
            <v>16.224</v>
          </cell>
        </row>
        <row r="8">
          <cell r="A8" t="str">
            <v>185A</v>
          </cell>
          <cell r="B8" t="str">
            <v>Skunkworks ALPHA</v>
          </cell>
          <cell r="C8" t="str">
            <v>BATC // Skunkworks Robotics</v>
          </cell>
          <cell r="D8" t="str">
            <v>Logan, Utah, United States</v>
          </cell>
          <cell r="E8">
            <v>371</v>
          </cell>
          <cell r="F8">
            <v>0</v>
          </cell>
          <cell r="G8">
            <v>177.465</v>
          </cell>
          <cell r="H8">
            <v>114.13800000000001</v>
          </cell>
          <cell r="I8">
            <v>114.145</v>
          </cell>
          <cell r="J8">
            <v>170.87799999999999</v>
          </cell>
          <cell r="K8">
            <v>177.465</v>
          </cell>
          <cell r="L8">
            <v>138.221</v>
          </cell>
          <cell r="M8">
            <v>165.87700000000001</v>
          </cell>
          <cell r="N8">
            <v>33.414999999999999</v>
          </cell>
          <cell r="O8">
            <v>110.45099999999999</v>
          </cell>
          <cell r="P8">
            <v>119.209</v>
          </cell>
          <cell r="Q8">
            <v>66.204899999999995</v>
          </cell>
        </row>
        <row r="9">
          <cell r="A9" t="str">
            <v>231D</v>
          </cell>
          <cell r="B9" t="str">
            <v>PASADENA ISD ROBOTICS</v>
          </cell>
          <cell r="C9" t="str">
            <v>PASADENA ISD ROBOTICS</v>
          </cell>
          <cell r="D9" t="str">
            <v>HOUSTON, Texas, United States</v>
          </cell>
          <cell r="E9">
            <v>272</v>
          </cell>
          <cell r="F9">
            <v>122</v>
          </cell>
          <cell r="G9">
            <v>66.249799999999993</v>
          </cell>
          <cell r="H9">
            <v>44.858800000000002</v>
          </cell>
          <cell r="I9">
            <v>60.775500000000001</v>
          </cell>
          <cell r="J9">
            <v>60.488799999999998</v>
          </cell>
          <cell r="K9">
            <v>56.035600000000002</v>
          </cell>
          <cell r="L9">
            <v>66.249799999999993</v>
          </cell>
          <cell r="M9">
            <v>36.658700000000003</v>
          </cell>
          <cell r="N9">
            <v>32.572600000000001</v>
          </cell>
        </row>
        <row r="10">
          <cell r="A10" t="str">
            <v>255B</v>
          </cell>
          <cell r="B10" t="str">
            <v>VEXtreme Team B</v>
          </cell>
          <cell r="C10" t="str">
            <v>Norristown Area School District</v>
          </cell>
          <cell r="D10" t="str">
            <v>Norristown, Pennsylvania, United States</v>
          </cell>
          <cell r="E10">
            <v>81</v>
          </cell>
          <cell r="F10">
            <v>0</v>
          </cell>
          <cell r="G10">
            <v>72.439700000000002</v>
          </cell>
          <cell r="H10">
            <v>45.700400000000002</v>
          </cell>
          <cell r="I10">
            <v>72.439700000000002</v>
          </cell>
          <cell r="J10">
            <v>5.8385699999999998</v>
          </cell>
          <cell r="K10">
            <v>23.230499999999999</v>
          </cell>
          <cell r="L10">
            <v>20.273900000000001</v>
          </cell>
          <cell r="M10">
            <v>0</v>
          </cell>
          <cell r="N10">
            <v>14.2349</v>
          </cell>
        </row>
        <row r="11">
          <cell r="A11" t="str">
            <v>323Z</v>
          </cell>
          <cell r="B11" t="str">
            <v>Aftershock - ☣</v>
          </cell>
          <cell r="C11" t="str">
            <v>Cornerstone Robotics North</v>
          </cell>
          <cell r="D11" t="str">
            <v>Indianapolis, Indiana, United States</v>
          </cell>
          <cell r="E11">
            <v>345</v>
          </cell>
          <cell r="F11">
            <v>286</v>
          </cell>
          <cell r="G11">
            <v>122.547</v>
          </cell>
          <cell r="H11">
            <v>122.547</v>
          </cell>
          <cell r="I11">
            <v>116.14100000000001</v>
          </cell>
          <cell r="J11">
            <v>112.631</v>
          </cell>
          <cell r="K11">
            <v>121.12</v>
          </cell>
          <cell r="L11">
            <v>85.282499999999999</v>
          </cell>
          <cell r="M11">
            <v>100.07599999999999</v>
          </cell>
          <cell r="N11">
            <v>66.046499999999995</v>
          </cell>
        </row>
        <row r="12">
          <cell r="A12" t="str">
            <v>355S</v>
          </cell>
          <cell r="B12" t="str">
            <v>Sparrow</v>
          </cell>
          <cell r="C12" t="str">
            <v>Fox Valley Robotics</v>
          </cell>
          <cell r="D12" t="str">
            <v>Batavia, Illinois, United States</v>
          </cell>
          <cell r="E12">
            <v>291</v>
          </cell>
          <cell r="F12">
            <v>197</v>
          </cell>
          <cell r="G12">
            <v>146.744</v>
          </cell>
          <cell r="H12">
            <v>146.744</v>
          </cell>
          <cell r="I12">
            <v>138.68700000000001</v>
          </cell>
          <cell r="J12">
            <v>125.48099999999999</v>
          </cell>
          <cell r="K12">
            <v>127.893</v>
          </cell>
          <cell r="L12">
            <v>118.16500000000001</v>
          </cell>
          <cell r="M12">
            <v>109.914</v>
          </cell>
          <cell r="N12">
            <v>74.501300000000001</v>
          </cell>
          <cell r="O12">
            <v>79.769800000000004</v>
          </cell>
          <cell r="P12">
            <v>20.664300000000001</v>
          </cell>
        </row>
        <row r="13">
          <cell r="A13" t="str">
            <v>400R</v>
          </cell>
          <cell r="B13" t="str">
            <v>Galveston I.S.D. Robotics</v>
          </cell>
          <cell r="C13" t="str">
            <v>Galveston I.S.D. Robotics</v>
          </cell>
          <cell r="D13" t="str">
            <v>Galveston, Texas, United States</v>
          </cell>
          <cell r="E13">
            <v>0</v>
          </cell>
          <cell r="F13">
            <v>0</v>
          </cell>
          <cell r="G13">
            <v>72.279899999999998</v>
          </cell>
          <cell r="H13">
            <v>56.136400000000002</v>
          </cell>
          <cell r="I13">
            <v>72.279899999999998</v>
          </cell>
        </row>
        <row r="14">
          <cell r="A14" t="str">
            <v>507B</v>
          </cell>
          <cell r="B14" t="str">
            <v>Mustang Robotics</v>
          </cell>
          <cell r="C14" t="str">
            <v>Otay Ranch High School</v>
          </cell>
          <cell r="D14" t="str">
            <v>Chula Vista, California, United States</v>
          </cell>
          <cell r="E14">
            <v>84</v>
          </cell>
          <cell r="F14">
            <v>0</v>
          </cell>
          <cell r="G14">
            <v>72.224299999999999</v>
          </cell>
          <cell r="H14">
            <v>43.481699999999996</v>
          </cell>
          <cell r="I14">
            <v>72.224299999999999</v>
          </cell>
          <cell r="J14">
            <v>52.571800000000003</v>
          </cell>
          <cell r="K14">
            <v>45.7898</v>
          </cell>
          <cell r="L14">
            <v>22.748200000000001</v>
          </cell>
          <cell r="M14">
            <v>0</v>
          </cell>
        </row>
        <row r="15">
          <cell r="A15" t="str">
            <v>585A</v>
          </cell>
          <cell r="B15" t="str">
            <v>Central Robo Dawgs</v>
          </cell>
          <cell r="C15" t="str">
            <v>Forsyth Central High School</v>
          </cell>
          <cell r="D15" t="str">
            <v>Cumming, Georgia, United States</v>
          </cell>
          <cell r="E15">
            <v>233</v>
          </cell>
          <cell r="F15">
            <v>112</v>
          </cell>
          <cell r="G15">
            <v>128.53399999999999</v>
          </cell>
          <cell r="H15">
            <v>79.373000000000005</v>
          </cell>
          <cell r="I15">
            <v>73.420100000000005</v>
          </cell>
          <cell r="J15">
            <v>112.77</v>
          </cell>
          <cell r="K15">
            <v>19.854900000000001</v>
          </cell>
          <cell r="L15">
            <v>128.53399999999999</v>
          </cell>
          <cell r="M15">
            <v>48.115600000000001</v>
          </cell>
        </row>
        <row r="16">
          <cell r="A16" t="str">
            <v>628A</v>
          </cell>
          <cell r="B16" t="str">
            <v>Monroe Engineering</v>
          </cell>
          <cell r="C16" t="str">
            <v>James Monroe High School //////////////// Engineering and Design</v>
          </cell>
          <cell r="D16" t="str">
            <v>North Hills, California, United States</v>
          </cell>
          <cell r="E16">
            <v>147</v>
          </cell>
          <cell r="F16">
            <v>147</v>
          </cell>
          <cell r="G16">
            <v>97.646900000000002</v>
          </cell>
          <cell r="H16">
            <v>97.646900000000002</v>
          </cell>
          <cell r="I16">
            <v>19.026199999999999</v>
          </cell>
          <cell r="J16">
            <v>48.345100000000002</v>
          </cell>
        </row>
        <row r="17">
          <cell r="A17" t="str">
            <v>699Z</v>
          </cell>
          <cell r="B17" t="str">
            <v>Zaptors</v>
          </cell>
          <cell r="C17" t="str">
            <v>Thomas A. Edison CTE High School</v>
          </cell>
          <cell r="D17" t="str">
            <v>Jamaica, New York, United States</v>
          </cell>
          <cell r="E17">
            <v>120</v>
          </cell>
          <cell r="F17">
            <v>155</v>
          </cell>
          <cell r="G17">
            <v>40.259700000000002</v>
          </cell>
          <cell r="H17">
            <v>40.259700000000002</v>
          </cell>
          <cell r="I17">
            <v>8.9104700000000001</v>
          </cell>
          <cell r="J17">
            <v>18.790600000000001</v>
          </cell>
          <cell r="K17">
            <v>6.6982299999999997</v>
          </cell>
          <cell r="L17">
            <v>0.28383999999999998</v>
          </cell>
        </row>
        <row r="18">
          <cell r="A18" t="str">
            <v>817C</v>
          </cell>
          <cell r="B18" t="str">
            <v>Sparticles: JOHN C TEAM!!</v>
          </cell>
          <cell r="C18" t="str">
            <v>East Longmeadow High School</v>
          </cell>
          <cell r="D18" t="str">
            <v>East Longmeadow, Massachusetts, United States</v>
          </cell>
          <cell r="E18">
            <v>238</v>
          </cell>
          <cell r="F18">
            <v>180</v>
          </cell>
          <cell r="G18">
            <v>81.350099999999998</v>
          </cell>
          <cell r="H18">
            <v>81.350099999999998</v>
          </cell>
          <cell r="I18">
            <v>57.065800000000003</v>
          </cell>
          <cell r="J18">
            <v>63.778500000000001</v>
          </cell>
          <cell r="K18">
            <v>63.881999999999998</v>
          </cell>
        </row>
        <row r="19">
          <cell r="A19" t="str">
            <v>917S</v>
          </cell>
          <cell r="B19" t="str">
            <v>Quantum Senpai</v>
          </cell>
          <cell r="C19" t="str">
            <v>QUANTUM ROBOTICS</v>
          </cell>
          <cell r="D19" t="str">
            <v>Kirkland, Washington, United States</v>
          </cell>
          <cell r="E19">
            <v>281</v>
          </cell>
          <cell r="F19">
            <v>281</v>
          </cell>
          <cell r="G19">
            <v>149.321</v>
          </cell>
          <cell r="H19">
            <v>149.321</v>
          </cell>
          <cell r="I19">
            <v>97.296599999999998</v>
          </cell>
          <cell r="J19">
            <v>69.528199999999998</v>
          </cell>
          <cell r="K19">
            <v>102.242</v>
          </cell>
          <cell r="L19">
            <v>100.11199999999999</v>
          </cell>
        </row>
        <row r="20">
          <cell r="A20" t="str">
            <v>986A</v>
          </cell>
          <cell r="B20" t="str">
            <v>Lancers A</v>
          </cell>
          <cell r="C20" t="str">
            <v>Grace Brethren JH/High School</v>
          </cell>
          <cell r="D20" t="str">
            <v>Simi Valley, California, United States</v>
          </cell>
          <cell r="E20">
            <v>261</v>
          </cell>
          <cell r="F20">
            <v>161</v>
          </cell>
          <cell r="G20">
            <v>147.101</v>
          </cell>
          <cell r="H20">
            <v>121.045</v>
          </cell>
          <cell r="I20">
            <v>147.101</v>
          </cell>
          <cell r="J20">
            <v>141.51900000000001</v>
          </cell>
          <cell r="K20">
            <v>97.788399999999996</v>
          </cell>
          <cell r="L20">
            <v>108.117</v>
          </cell>
        </row>
        <row r="21">
          <cell r="A21" t="str">
            <v>1039A</v>
          </cell>
          <cell r="B21" t="str">
            <v>Robo-Raiders</v>
          </cell>
          <cell r="C21" t="str">
            <v>Highland Secondary School</v>
          </cell>
          <cell r="D21" t="str">
            <v>Comox, British Columbia, Canada</v>
          </cell>
          <cell r="E21">
            <v>292</v>
          </cell>
          <cell r="F21">
            <v>247</v>
          </cell>
          <cell r="G21">
            <v>133.50299999999999</v>
          </cell>
          <cell r="H21">
            <v>115.08499999999999</v>
          </cell>
          <cell r="I21">
            <v>133.50299999999999</v>
          </cell>
          <cell r="J21">
            <v>73.310699999999997</v>
          </cell>
          <cell r="K21">
            <v>57.020200000000003</v>
          </cell>
        </row>
        <row r="22">
          <cell r="A22" t="str">
            <v>1104G</v>
          </cell>
          <cell r="B22" t="str">
            <v>Discobots G - 🍁 #PrayForThomas2k16</v>
          </cell>
          <cell r="C22" t="str">
            <v>Brampton Robotics Education</v>
          </cell>
          <cell r="D22" t="str">
            <v>Brampton, Ontario, Canada</v>
          </cell>
          <cell r="E22">
            <v>430</v>
          </cell>
          <cell r="F22">
            <v>16</v>
          </cell>
          <cell r="G22">
            <v>175.33199999999999</v>
          </cell>
          <cell r="H22">
            <v>48.806600000000003</v>
          </cell>
          <cell r="I22">
            <v>156.07</v>
          </cell>
          <cell r="J22">
            <v>175.33199999999999</v>
          </cell>
          <cell r="K22">
            <v>98.255399999999995</v>
          </cell>
          <cell r="L22">
            <v>110.226</v>
          </cell>
          <cell r="M22">
            <v>163.63399999999999</v>
          </cell>
          <cell r="N22">
            <v>81.8108</v>
          </cell>
        </row>
        <row r="23">
          <cell r="A23" t="str">
            <v>1104Z</v>
          </cell>
          <cell r="B23" t="str">
            <v>Discobots ζ - 🍁 #PrayForThomas2k16</v>
          </cell>
          <cell r="C23" t="str">
            <v>Brampton Robotics Education</v>
          </cell>
          <cell r="D23" t="str">
            <v>Brampton, Ontario, Canada</v>
          </cell>
          <cell r="E23">
            <v>425</v>
          </cell>
          <cell r="F23">
            <v>280</v>
          </cell>
          <cell r="G23">
            <v>168.84700000000001</v>
          </cell>
          <cell r="H23">
            <v>136.28100000000001</v>
          </cell>
          <cell r="I23">
            <v>168.84700000000001</v>
          </cell>
          <cell r="J23">
            <v>130.80600000000001</v>
          </cell>
          <cell r="K23">
            <v>144.53</v>
          </cell>
          <cell r="L23">
            <v>149.482</v>
          </cell>
          <cell r="M23">
            <v>114.66200000000001</v>
          </cell>
          <cell r="N23">
            <v>81.417500000000004</v>
          </cell>
        </row>
        <row r="24">
          <cell r="A24" t="str">
            <v>1138G</v>
          </cell>
          <cell r="B24" t="str">
            <v>Eagle Engineering</v>
          </cell>
          <cell r="C24" t="str">
            <v>Chaminade College Preparatory</v>
          </cell>
          <cell r="D24" t="str">
            <v>West Hills, California, United States</v>
          </cell>
          <cell r="E24">
            <v>96</v>
          </cell>
          <cell r="F24">
            <v>70</v>
          </cell>
          <cell r="G24">
            <v>56.688899999999997</v>
          </cell>
          <cell r="H24">
            <v>42.701900000000002</v>
          </cell>
          <cell r="I24">
            <v>46.104999999999997</v>
          </cell>
          <cell r="J24">
            <v>54.456600000000002</v>
          </cell>
          <cell r="K24">
            <v>56.688899999999997</v>
          </cell>
          <cell r="L24">
            <v>19.660799999999998</v>
          </cell>
          <cell r="M24">
            <v>11.702</v>
          </cell>
        </row>
        <row r="25">
          <cell r="A25" t="str">
            <v>1320A</v>
          </cell>
          <cell r="B25" t="str">
            <v>Tucker High Robotigers</v>
          </cell>
          <cell r="C25" t="str">
            <v>Tucker High School - DeKalb County School Sytem</v>
          </cell>
          <cell r="D25" t="str">
            <v>Tucker, Georgia, United States</v>
          </cell>
          <cell r="E25">
            <v>220</v>
          </cell>
          <cell r="F25">
            <v>155</v>
          </cell>
          <cell r="G25">
            <v>119.845</v>
          </cell>
          <cell r="H25">
            <v>106.782</v>
          </cell>
          <cell r="I25">
            <v>119.845</v>
          </cell>
          <cell r="J25">
            <v>103.333</v>
          </cell>
          <cell r="K25">
            <v>49.465200000000003</v>
          </cell>
          <cell r="L25">
            <v>69.134799999999998</v>
          </cell>
          <cell r="M25">
            <v>47.433399999999999</v>
          </cell>
        </row>
        <row r="26">
          <cell r="A26" t="str">
            <v>1353A</v>
          </cell>
          <cell r="B26" t="str">
            <v>Robodalers</v>
          </cell>
          <cell r="C26" t="str">
            <v>Farmingdale High School</v>
          </cell>
          <cell r="D26" t="str">
            <v>Farmingdale, New York, United States</v>
          </cell>
          <cell r="E26">
            <v>243</v>
          </cell>
          <cell r="F26">
            <v>136</v>
          </cell>
          <cell r="G26">
            <v>103.46299999999999</v>
          </cell>
          <cell r="H26">
            <v>103.46299999999999</v>
          </cell>
          <cell r="I26">
            <v>80.349999999999994</v>
          </cell>
          <cell r="J26">
            <v>91.954700000000003</v>
          </cell>
          <cell r="K26">
            <v>83.2119</v>
          </cell>
          <cell r="L26">
            <v>6.4713700000000003</v>
          </cell>
          <cell r="M26">
            <v>15.527200000000001</v>
          </cell>
        </row>
        <row r="27">
          <cell r="A27" t="str">
            <v>1404B</v>
          </cell>
          <cell r="B27" t="str">
            <v>Shocks - 🍁 #OMG #DiscoGotShocked</v>
          </cell>
          <cell r="C27" t="str">
            <v>Dr. Norman Bethune C.I.</v>
          </cell>
          <cell r="D27" t="str">
            <v>Toronto, Ontario, Canada</v>
          </cell>
          <cell r="E27">
            <v>435</v>
          </cell>
          <cell r="F27">
            <v>307</v>
          </cell>
          <cell r="G27">
            <v>182.745</v>
          </cell>
          <cell r="H27">
            <v>156.59800000000001</v>
          </cell>
          <cell r="I27">
            <v>182.745</v>
          </cell>
          <cell r="J27">
            <v>175.72</v>
          </cell>
          <cell r="K27">
            <v>141.48099999999999</v>
          </cell>
          <cell r="L27">
            <v>99.986800000000002</v>
          </cell>
          <cell r="M27">
            <v>142.46899999999999</v>
          </cell>
        </row>
        <row r="28">
          <cell r="A28" t="str">
            <v>1460J</v>
          </cell>
          <cell r="B28" t="str">
            <v>Zeus</v>
          </cell>
          <cell r="C28" t="str">
            <v>Sandy Robotics Club</v>
          </cell>
          <cell r="D28" t="str">
            <v>Sandy, Oregon, United States</v>
          </cell>
          <cell r="E28">
            <v>131</v>
          </cell>
          <cell r="F28">
            <v>223</v>
          </cell>
          <cell r="G28">
            <v>34.622</v>
          </cell>
          <cell r="H28">
            <v>17.127800000000001</v>
          </cell>
          <cell r="I28">
            <v>29.273800000000001</v>
          </cell>
          <cell r="J28">
            <v>34.622</v>
          </cell>
          <cell r="K28">
            <v>29.892800000000001</v>
          </cell>
          <cell r="L28">
            <v>19.0318</v>
          </cell>
        </row>
        <row r="29">
          <cell r="A29" t="str">
            <v>1526B</v>
          </cell>
          <cell r="B29" t="str">
            <v>DuPage-Kane STEM-VEX Robo</v>
          </cell>
          <cell r="C29" t="str">
            <v>Bartlett High School</v>
          </cell>
          <cell r="D29" t="str">
            <v>Bartlett, Illinois, United States</v>
          </cell>
          <cell r="E29">
            <v>316</v>
          </cell>
          <cell r="F29">
            <v>231</v>
          </cell>
          <cell r="G29">
            <v>113.633</v>
          </cell>
          <cell r="H29">
            <v>113.633</v>
          </cell>
          <cell r="I29">
            <v>66.328900000000004</v>
          </cell>
          <cell r="J29">
            <v>22.671099999999999</v>
          </cell>
        </row>
        <row r="30">
          <cell r="A30" t="str">
            <v>1588</v>
          </cell>
          <cell r="B30" t="str">
            <v>Sideways Minds</v>
          </cell>
          <cell r="C30" t="str">
            <v>Wood River High School</v>
          </cell>
          <cell r="D30" t="str">
            <v>Hailey, Idaho, United States</v>
          </cell>
          <cell r="E30">
            <v>122</v>
          </cell>
          <cell r="F30">
            <v>0</v>
          </cell>
          <cell r="G30">
            <v>103.292</v>
          </cell>
          <cell r="H30">
            <v>95.759799999999998</v>
          </cell>
          <cell r="I30">
            <v>102.164</v>
          </cell>
          <cell r="J30">
            <v>76.584999999999994</v>
          </cell>
          <cell r="K30">
            <v>103.292</v>
          </cell>
          <cell r="L30">
            <v>47.695599999999999</v>
          </cell>
          <cell r="M30">
            <v>49.120399999999997</v>
          </cell>
        </row>
        <row r="31">
          <cell r="A31" t="str">
            <v>1750</v>
          </cell>
          <cell r="B31" t="str">
            <v>Thunderstorm Robotics</v>
          </cell>
          <cell r="C31" t="str">
            <v>Thunderstorm Robotics</v>
          </cell>
          <cell r="D31" t="str">
            <v>Stillwater, Oklahoma, United States</v>
          </cell>
          <cell r="E31">
            <v>0</v>
          </cell>
          <cell r="F31">
            <v>0</v>
          </cell>
          <cell r="G31">
            <v>80.271000000000001</v>
          </cell>
          <cell r="H31">
            <v>60.142200000000003</v>
          </cell>
          <cell r="I31">
            <v>80.271000000000001</v>
          </cell>
          <cell r="J31">
            <v>73.493399999999994</v>
          </cell>
          <cell r="K31">
            <v>33.240299999999998</v>
          </cell>
          <cell r="L31">
            <v>18.136399999999998</v>
          </cell>
        </row>
        <row r="32">
          <cell r="A32" t="str">
            <v>1925E</v>
          </cell>
          <cell r="B32" t="str">
            <v>COBACH</v>
          </cell>
          <cell r="C32" t="str">
            <v>COBACH CHIHUAHUA</v>
          </cell>
          <cell r="D32" t="str">
            <v>chihuahua, Chihuahua, Mexico</v>
          </cell>
          <cell r="E32">
            <v>0</v>
          </cell>
          <cell r="F32">
            <v>0</v>
          </cell>
          <cell r="G32">
            <v>84.709100000000007</v>
          </cell>
          <cell r="H32">
            <v>84.709100000000007</v>
          </cell>
          <cell r="I32">
            <v>78.248900000000006</v>
          </cell>
        </row>
        <row r="33">
          <cell r="A33" t="str">
            <v>2019F</v>
          </cell>
          <cell r="B33" t="str">
            <v>Deus ex Machina</v>
          </cell>
          <cell r="C33" t="str">
            <v>Flower Mound High School</v>
          </cell>
          <cell r="D33" t="str">
            <v>Flower Mound, Texas, United States</v>
          </cell>
          <cell r="E33">
            <v>150</v>
          </cell>
          <cell r="F33">
            <v>141</v>
          </cell>
          <cell r="G33">
            <v>143.298</v>
          </cell>
          <cell r="H33">
            <v>126.788</v>
          </cell>
          <cell r="I33">
            <v>129.95099999999999</v>
          </cell>
          <cell r="J33">
            <v>143.298</v>
          </cell>
          <cell r="K33">
            <v>97.904899999999998</v>
          </cell>
        </row>
        <row r="34">
          <cell r="A34" t="str">
            <v>2131C</v>
          </cell>
          <cell r="B34" t="str">
            <v>Starfox</v>
          </cell>
          <cell r="C34" t="str">
            <v>Davis High School</v>
          </cell>
          <cell r="D34" t="str">
            <v>Kaysville, Utah, United States</v>
          </cell>
          <cell r="E34">
            <v>0</v>
          </cell>
          <cell r="F34">
            <v>0</v>
          </cell>
        </row>
        <row r="35">
          <cell r="A35" t="str">
            <v>2188A</v>
          </cell>
          <cell r="B35" t="str">
            <v>Robosource.net</v>
          </cell>
          <cell r="C35" t="str">
            <v>Independent</v>
          </cell>
          <cell r="D35" t="str">
            <v>Oakville, Ontario, Canada</v>
          </cell>
          <cell r="E35">
            <v>167</v>
          </cell>
          <cell r="F35">
            <v>310</v>
          </cell>
          <cell r="G35">
            <v>118.85599999999999</v>
          </cell>
          <cell r="H35">
            <v>118.85599999999999</v>
          </cell>
          <cell r="I35">
            <v>57.242199999999997</v>
          </cell>
          <cell r="J35">
            <v>109.774</v>
          </cell>
        </row>
        <row r="36">
          <cell r="A36" t="str">
            <v>2382A</v>
          </cell>
          <cell r="B36" t="str">
            <v>Redemption Robotics</v>
          </cell>
          <cell r="C36" t="str">
            <v>Friends</v>
          </cell>
          <cell r="D36" t="str">
            <v>Dorado, Not Applicable or Not Listed, Puerto Rico</v>
          </cell>
          <cell r="E36">
            <v>150</v>
          </cell>
          <cell r="F36">
            <v>121</v>
          </cell>
          <cell r="G36">
            <v>99.6524</v>
          </cell>
          <cell r="H36">
            <v>99.6524</v>
          </cell>
          <cell r="I36">
            <v>77.943299999999994</v>
          </cell>
          <cell r="J36">
            <v>43.973500000000001</v>
          </cell>
        </row>
        <row r="37">
          <cell r="A37" t="str">
            <v>2501B</v>
          </cell>
          <cell r="B37" t="str">
            <v>Optimus Dime</v>
          </cell>
          <cell r="C37" t="str">
            <v>Thomas Jefferson High School</v>
          </cell>
          <cell r="D37" t="str">
            <v>Council Bluffs, Iowa, United States</v>
          </cell>
          <cell r="E37">
            <v>320</v>
          </cell>
          <cell r="F37">
            <v>165</v>
          </cell>
          <cell r="G37">
            <v>125.633</v>
          </cell>
          <cell r="H37">
            <v>125.633</v>
          </cell>
          <cell r="I37">
            <v>115.10899999999999</v>
          </cell>
          <cell r="J37">
            <v>124.054</v>
          </cell>
          <cell r="K37">
            <v>96.656000000000006</v>
          </cell>
          <cell r="L37">
            <v>73.591899999999995</v>
          </cell>
          <cell r="M37">
            <v>103.133</v>
          </cell>
          <cell r="N37">
            <v>85.756500000000003</v>
          </cell>
          <cell r="O37">
            <v>60.847000000000001</v>
          </cell>
          <cell r="P37">
            <v>25.008400000000002</v>
          </cell>
          <cell r="Q37">
            <v>62.213200000000001</v>
          </cell>
          <cell r="R37">
            <v>36.749699999999997</v>
          </cell>
        </row>
        <row r="38">
          <cell r="A38" t="str">
            <v>2587G</v>
          </cell>
          <cell r="B38" t="str">
            <v>DiscoBots - Gamma</v>
          </cell>
          <cell r="C38" t="str">
            <v>DiscoBots</v>
          </cell>
          <cell r="D38" t="str">
            <v>Houston, Texas, United States</v>
          </cell>
          <cell r="E38">
            <v>355</v>
          </cell>
          <cell r="F38">
            <v>0</v>
          </cell>
          <cell r="G38">
            <v>163.73500000000001</v>
          </cell>
          <cell r="H38">
            <v>72.413200000000003</v>
          </cell>
          <cell r="I38">
            <v>111.968</v>
          </cell>
          <cell r="J38">
            <v>163.73500000000001</v>
          </cell>
          <cell r="K38">
            <v>28.1797</v>
          </cell>
          <cell r="L38">
            <v>9.5584299999999995</v>
          </cell>
          <cell r="M38">
            <v>31.251200000000001</v>
          </cell>
        </row>
        <row r="39">
          <cell r="A39" t="str">
            <v>2719B</v>
          </cell>
          <cell r="B39" t="str">
            <v>T.A.R.D.I.S.</v>
          </cell>
          <cell r="C39" t="str">
            <v>Triton Central High School</v>
          </cell>
          <cell r="D39" t="str">
            <v>Fairland, Indiana, United States</v>
          </cell>
          <cell r="E39">
            <v>289</v>
          </cell>
          <cell r="F39">
            <v>310</v>
          </cell>
          <cell r="G39">
            <v>114.21</v>
          </cell>
          <cell r="H39">
            <v>84.832400000000007</v>
          </cell>
          <cell r="I39">
            <v>62.251600000000003</v>
          </cell>
          <cell r="J39">
            <v>114.21</v>
          </cell>
          <cell r="K39">
            <v>42.592599999999997</v>
          </cell>
          <cell r="L39">
            <v>3.79731</v>
          </cell>
          <cell r="M39">
            <v>19.578399999999998</v>
          </cell>
          <cell r="N39">
            <v>25.552</v>
          </cell>
          <cell r="O39">
            <v>15.0596</v>
          </cell>
        </row>
        <row r="40">
          <cell r="A40" t="str">
            <v>2915C</v>
          </cell>
          <cell r="B40" t="str">
            <v>Lynfield College Robotics</v>
          </cell>
          <cell r="C40" t="str">
            <v>Lynfield College</v>
          </cell>
          <cell r="D40" t="str">
            <v>Auckland, Not Applicable or Not Listed, New Zealand</v>
          </cell>
          <cell r="E40">
            <v>238</v>
          </cell>
          <cell r="F40">
            <v>121</v>
          </cell>
          <cell r="G40">
            <v>142.73500000000001</v>
          </cell>
          <cell r="H40">
            <v>142.73500000000001</v>
          </cell>
          <cell r="I40">
            <v>102.23</v>
          </cell>
          <cell r="J40">
            <v>69.600099999999998</v>
          </cell>
        </row>
        <row r="41">
          <cell r="A41" t="str">
            <v>3046</v>
          </cell>
          <cell r="B41" t="str">
            <v>TheRoboAzTechs</v>
          </cell>
          <cell r="C41" t="str">
            <v>El Dorado High School</v>
          </cell>
          <cell r="D41" t="str">
            <v>El Paso, Texas, United States</v>
          </cell>
          <cell r="E41">
            <v>56</v>
          </cell>
          <cell r="F41">
            <v>39</v>
          </cell>
          <cell r="G41">
            <v>51.838000000000001</v>
          </cell>
          <cell r="H41">
            <v>51.838000000000001</v>
          </cell>
          <cell r="I41">
            <v>40.587200000000003</v>
          </cell>
          <cell r="J41">
            <v>41.2226</v>
          </cell>
        </row>
        <row r="42">
          <cell r="A42" t="str">
            <v>3285D</v>
          </cell>
          <cell r="B42" t="str">
            <v>West China Team</v>
          </cell>
          <cell r="C42" t="str">
            <v>West China Team</v>
          </cell>
          <cell r="D42" t="str">
            <v>Xi'an, N/A, China</v>
          </cell>
          <cell r="E42">
            <v>0</v>
          </cell>
          <cell r="F42">
            <v>356</v>
          </cell>
        </row>
        <row r="43">
          <cell r="A43" t="str">
            <v>3314E</v>
          </cell>
          <cell r="B43" t="str">
            <v>RoboPi</v>
          </cell>
          <cell r="C43" t="str">
            <v>PACE</v>
          </cell>
          <cell r="D43" t="str">
            <v>Richmond Hill, Ontario, Canada</v>
          </cell>
          <cell r="E43">
            <v>213</v>
          </cell>
          <cell r="F43">
            <v>294</v>
          </cell>
          <cell r="G43">
            <v>75.259200000000007</v>
          </cell>
          <cell r="H43">
            <v>69.329599999999999</v>
          </cell>
          <cell r="I43">
            <v>75.259200000000007</v>
          </cell>
          <cell r="J43">
            <v>65.828800000000001</v>
          </cell>
          <cell r="K43">
            <v>34.058</v>
          </cell>
        </row>
        <row r="44">
          <cell r="A44" t="str">
            <v>3631A</v>
          </cell>
          <cell r="B44" t="str">
            <v>Collierville Illuminati</v>
          </cell>
          <cell r="C44" t="str">
            <v>Collierville High School</v>
          </cell>
          <cell r="D44" t="str">
            <v>Collierville, Tennessee, United States</v>
          </cell>
          <cell r="E44">
            <v>22</v>
          </cell>
          <cell r="F44">
            <v>2</v>
          </cell>
          <cell r="G44">
            <v>38.447099999999999</v>
          </cell>
          <cell r="H44">
            <v>38.447099999999999</v>
          </cell>
          <cell r="I44">
            <v>35.570599999999999</v>
          </cell>
          <cell r="J44">
            <v>12.9533</v>
          </cell>
        </row>
        <row r="45">
          <cell r="A45" t="str">
            <v>3921B</v>
          </cell>
          <cell r="B45" t="str">
            <v>Martin II</v>
          </cell>
          <cell r="C45" t="str">
            <v>Carroll County College And Career Academy</v>
          </cell>
          <cell r="D45" t="str">
            <v>Carrollton, Georgia, United States</v>
          </cell>
          <cell r="E45">
            <v>179</v>
          </cell>
          <cell r="F45">
            <v>78</v>
          </cell>
          <cell r="G45">
            <v>119.768</v>
          </cell>
          <cell r="H45">
            <v>119.768</v>
          </cell>
          <cell r="I45">
            <v>70.805499999999995</v>
          </cell>
          <cell r="J45">
            <v>84.155799999999999</v>
          </cell>
          <cell r="K45">
            <v>84.516499999999994</v>
          </cell>
          <cell r="L45">
            <v>69.578000000000003</v>
          </cell>
          <cell r="M45">
            <v>75.413399999999996</v>
          </cell>
          <cell r="N45">
            <v>34.061199999999999</v>
          </cell>
          <cell r="O45">
            <v>23.380299999999998</v>
          </cell>
          <cell r="P45">
            <v>24.623000000000001</v>
          </cell>
        </row>
        <row r="46">
          <cell r="A46" t="str">
            <v>4000</v>
          </cell>
          <cell r="B46" t="str">
            <v>Omni Eagles</v>
          </cell>
          <cell r="C46" t="str">
            <v>Heritage Academy</v>
          </cell>
          <cell r="D46" t="str">
            <v>Quinlan, Texas, United States</v>
          </cell>
          <cell r="E46">
            <v>236</v>
          </cell>
          <cell r="F46">
            <v>69</v>
          </cell>
          <cell r="G46">
            <v>130.08699999999999</v>
          </cell>
          <cell r="H46">
            <v>95.747799999999998</v>
          </cell>
          <cell r="I46">
            <v>76.957300000000004</v>
          </cell>
          <cell r="J46">
            <v>80.509500000000003</v>
          </cell>
          <cell r="K46">
            <v>130.08699999999999</v>
          </cell>
          <cell r="L46">
            <v>115.092</v>
          </cell>
          <cell r="M46">
            <v>84.1477</v>
          </cell>
          <cell r="N46">
            <v>92.0381</v>
          </cell>
          <cell r="O46">
            <v>0</v>
          </cell>
        </row>
        <row r="47">
          <cell r="A47" t="str">
            <v>4142A</v>
          </cell>
          <cell r="B47" t="str">
            <v>Pearl City High School</v>
          </cell>
          <cell r="C47" t="str">
            <v>Pearl City High School</v>
          </cell>
          <cell r="D47" t="str">
            <v>Pearl City, Hawaii, United States</v>
          </cell>
          <cell r="E47">
            <v>259</v>
          </cell>
          <cell r="F47">
            <v>244</v>
          </cell>
          <cell r="G47">
            <v>157.41399999999999</v>
          </cell>
          <cell r="H47">
            <v>110.416</v>
          </cell>
          <cell r="I47">
            <v>108.746</v>
          </cell>
          <cell r="J47">
            <v>157.41399999999999</v>
          </cell>
          <cell r="K47">
            <v>65.322900000000004</v>
          </cell>
          <cell r="L47">
            <v>98.789699999999996</v>
          </cell>
        </row>
        <row r="48">
          <cell r="A48" t="str">
            <v>4154A</v>
          </cell>
          <cell r="B48" t="str">
            <v>U.S.S.R.</v>
          </cell>
          <cell r="C48" t="str">
            <v>University School of Nova Southeastern University</v>
          </cell>
          <cell r="D48" t="str">
            <v>Fort Lauderdale, Florida, United States</v>
          </cell>
          <cell r="E48">
            <v>281</v>
          </cell>
          <cell r="F48">
            <v>150</v>
          </cell>
          <cell r="G48">
            <v>122.53100000000001</v>
          </cell>
          <cell r="H48">
            <v>69.838999999999999</v>
          </cell>
          <cell r="I48">
            <v>114.85899999999999</v>
          </cell>
          <cell r="J48">
            <v>122.53100000000001</v>
          </cell>
          <cell r="K48">
            <v>48.1569</v>
          </cell>
          <cell r="L48">
            <v>74.795500000000004</v>
          </cell>
        </row>
        <row r="49">
          <cell r="A49" t="str">
            <v>4306A</v>
          </cell>
          <cell r="B49" t="str">
            <v>Sheikh Abdullah 1</v>
          </cell>
          <cell r="C49" t="str">
            <v>Sheikh Abdullah bin Isa Al Khalifa Secondary Schoo</v>
          </cell>
          <cell r="D49" t="str">
            <v>Isa Town, Not Applicable or Not Listed, Bahrain</v>
          </cell>
          <cell r="E49">
            <v>0</v>
          </cell>
          <cell r="F49">
            <v>0</v>
          </cell>
          <cell r="G49">
            <v>70.214799999999997</v>
          </cell>
          <cell r="H49">
            <v>70.214799999999997</v>
          </cell>
        </row>
        <row r="50">
          <cell r="A50" t="str">
            <v>4448A</v>
          </cell>
          <cell r="B50" t="str">
            <v>RLF Eagles</v>
          </cell>
          <cell r="C50" t="str">
            <v>Lafayette High School</v>
          </cell>
          <cell r="D50" t="str">
            <v>Red Lake Falls, Minnesota, United States</v>
          </cell>
          <cell r="E50">
            <v>101</v>
          </cell>
          <cell r="F50">
            <v>130</v>
          </cell>
          <cell r="G50">
            <v>78.748099999999994</v>
          </cell>
          <cell r="H50">
            <v>78.748099999999994</v>
          </cell>
          <cell r="I50">
            <v>47.892499999999998</v>
          </cell>
          <cell r="J50">
            <v>23.707899999999999</v>
          </cell>
        </row>
        <row r="51">
          <cell r="A51" t="str">
            <v>4659A</v>
          </cell>
          <cell r="B51" t="str">
            <v>Warrior Robotix A</v>
          </cell>
          <cell r="C51" t="str">
            <v>Port Credit Secondary School</v>
          </cell>
          <cell r="D51" t="str">
            <v>Mississauga, Ontario, Canada</v>
          </cell>
          <cell r="E51">
            <v>348</v>
          </cell>
          <cell r="F51">
            <v>320</v>
          </cell>
          <cell r="G51">
            <v>139.797</v>
          </cell>
          <cell r="H51">
            <v>139.797</v>
          </cell>
          <cell r="I51">
            <v>96.647499999999994</v>
          </cell>
          <cell r="J51">
            <v>128.68199999999999</v>
          </cell>
          <cell r="K51">
            <v>113.04300000000001</v>
          </cell>
          <cell r="L51">
            <v>68.163600000000002</v>
          </cell>
        </row>
        <row r="52">
          <cell r="A52" t="str">
            <v>4805X</v>
          </cell>
          <cell r="B52" t="str">
            <v>A3RC</v>
          </cell>
          <cell r="C52" t="str">
            <v>Marion Harding High School</v>
          </cell>
          <cell r="D52" t="str">
            <v>Marion, Ohio, United States</v>
          </cell>
          <cell r="E52">
            <v>50</v>
          </cell>
          <cell r="F52">
            <v>156</v>
          </cell>
          <cell r="G52">
            <v>95.649799999999999</v>
          </cell>
          <cell r="H52">
            <v>60.1434</v>
          </cell>
          <cell r="I52">
            <v>91.475700000000003</v>
          </cell>
          <cell r="J52">
            <v>76.920199999999994</v>
          </cell>
          <cell r="K52">
            <v>88.535899999999998</v>
          </cell>
          <cell r="L52">
            <v>0</v>
          </cell>
          <cell r="M52">
            <v>95.649799999999999</v>
          </cell>
          <cell r="N52">
            <v>92.502700000000004</v>
          </cell>
          <cell r="O52">
            <v>80.721599999999995</v>
          </cell>
          <cell r="P52">
            <v>70.895200000000003</v>
          </cell>
        </row>
        <row r="53">
          <cell r="A53" t="str">
            <v>4828F</v>
          </cell>
          <cell r="B53" t="str">
            <v>BrewTech Robotics - F</v>
          </cell>
          <cell r="C53" t="str">
            <v>Brewbaker Technology Magnet High School</v>
          </cell>
          <cell r="D53" t="str">
            <v>Montgomery, Alabama, United States</v>
          </cell>
          <cell r="E53">
            <v>96</v>
          </cell>
          <cell r="F53">
            <v>83</v>
          </cell>
          <cell r="G53">
            <v>71.496600000000001</v>
          </cell>
          <cell r="H53">
            <v>71.496600000000001</v>
          </cell>
          <cell r="I53">
            <v>63.491399999999999</v>
          </cell>
          <cell r="J53">
            <v>48.560699999999997</v>
          </cell>
          <cell r="K53">
            <v>33.567599999999999</v>
          </cell>
        </row>
        <row r="54">
          <cell r="A54" t="str">
            <v>4915</v>
          </cell>
          <cell r="B54" t="str">
            <v>Virus Robotics</v>
          </cell>
          <cell r="C54" t="str">
            <v>Virus Robotics</v>
          </cell>
          <cell r="D54" t="str">
            <v>New Barnet, Hertfordshire , United Kingdom</v>
          </cell>
          <cell r="E54">
            <v>284</v>
          </cell>
          <cell r="F54">
            <v>261</v>
          </cell>
          <cell r="G54">
            <v>135.339</v>
          </cell>
          <cell r="H54">
            <v>118.70099999999999</v>
          </cell>
          <cell r="I54">
            <v>135.339</v>
          </cell>
          <cell r="J54">
            <v>100.812</v>
          </cell>
          <cell r="K54">
            <v>108.65</v>
          </cell>
          <cell r="L54">
            <v>99.400199999999998</v>
          </cell>
          <cell r="M54">
            <v>77.237399999999994</v>
          </cell>
          <cell r="N54">
            <v>91.315200000000004</v>
          </cell>
          <cell r="O54">
            <v>72.273399999999995</v>
          </cell>
        </row>
        <row r="55">
          <cell r="A55" t="str">
            <v>5106E</v>
          </cell>
          <cell r="B55" t="str">
            <v>Kennett Coders</v>
          </cell>
          <cell r="C55" t="str">
            <v>Kennett High School</v>
          </cell>
          <cell r="D55" t="str">
            <v>North Conway, New Hampshire, United States</v>
          </cell>
          <cell r="E55">
            <v>192</v>
          </cell>
          <cell r="F55">
            <v>192</v>
          </cell>
          <cell r="G55">
            <v>143.16200000000001</v>
          </cell>
          <cell r="H55">
            <v>132.82300000000001</v>
          </cell>
          <cell r="I55">
            <v>143.16200000000001</v>
          </cell>
          <cell r="J55">
            <v>78.259900000000002</v>
          </cell>
          <cell r="K55">
            <v>57.730600000000003</v>
          </cell>
          <cell r="L55">
            <v>51.428899999999999</v>
          </cell>
        </row>
        <row r="56">
          <cell r="A56" t="str">
            <v>5194B</v>
          </cell>
          <cell r="B56" t="str">
            <v>Volt Robotics</v>
          </cell>
          <cell r="C56" t="str">
            <v>East Barnet School - UK</v>
          </cell>
          <cell r="D56" t="str">
            <v>Barnet, Not Applicable or Not Listed, United Kingdom</v>
          </cell>
          <cell r="E56">
            <v>0</v>
          </cell>
          <cell r="F56">
            <v>127</v>
          </cell>
          <cell r="G56">
            <v>104.315</v>
          </cell>
          <cell r="H56">
            <v>36.2014</v>
          </cell>
          <cell r="I56">
            <v>69.876400000000004</v>
          </cell>
          <cell r="J56">
            <v>47.991500000000002</v>
          </cell>
          <cell r="K56">
            <v>104.315</v>
          </cell>
          <cell r="L56">
            <v>84.075699999999998</v>
          </cell>
          <cell r="M56">
            <v>78.381399999999999</v>
          </cell>
          <cell r="N56">
            <v>45.699100000000001</v>
          </cell>
          <cell r="O56">
            <v>2.9764300000000001</v>
          </cell>
        </row>
        <row r="57">
          <cell r="A57" t="str">
            <v>5327B</v>
          </cell>
          <cell r="B57" t="str">
            <v>Gael Force</v>
          </cell>
          <cell r="C57" t="str">
            <v>Dublin High School</v>
          </cell>
          <cell r="D57" t="str">
            <v>Dublin, California, United States</v>
          </cell>
          <cell r="E57">
            <v>303</v>
          </cell>
          <cell r="F57">
            <v>241</v>
          </cell>
          <cell r="G57">
            <v>102.292</v>
          </cell>
          <cell r="H57">
            <v>102.292</v>
          </cell>
          <cell r="I57">
            <v>76.584299999999999</v>
          </cell>
          <cell r="J57">
            <v>53.794400000000003</v>
          </cell>
          <cell r="K57">
            <v>73.699700000000007</v>
          </cell>
          <cell r="L57">
            <v>41.072699999999998</v>
          </cell>
          <cell r="M57">
            <v>80.063699999999997</v>
          </cell>
          <cell r="N57">
            <v>42.133499999999998</v>
          </cell>
        </row>
        <row r="58">
          <cell r="A58" t="str">
            <v>5408X</v>
          </cell>
          <cell r="B58" t="str">
            <v>Sachse HAX</v>
          </cell>
          <cell r="C58" t="str">
            <v>Sachse High School</v>
          </cell>
          <cell r="D58" t="str">
            <v>Sachse, Texas, United States</v>
          </cell>
          <cell r="E58">
            <v>222</v>
          </cell>
          <cell r="F58">
            <v>263</v>
          </cell>
          <cell r="G58">
            <v>100.703</v>
          </cell>
          <cell r="H58">
            <v>100.703</v>
          </cell>
          <cell r="I58">
            <v>81.694999999999993</v>
          </cell>
          <cell r="J58">
            <v>52.994</v>
          </cell>
          <cell r="K58">
            <v>50.581400000000002</v>
          </cell>
          <cell r="L58">
            <v>1.74901</v>
          </cell>
        </row>
        <row r="59">
          <cell r="A59" t="str">
            <v>5482B</v>
          </cell>
          <cell r="B59" t="str">
            <v>CECyTEH Huejutla 2</v>
          </cell>
          <cell r="C59" t="str">
            <v>CECyTEH Plantel Huejutla</v>
          </cell>
          <cell r="D59" t="str">
            <v>Huejutla de Reyes, Hgo., Hidalgo, Mexico</v>
          </cell>
          <cell r="E59">
            <v>0</v>
          </cell>
          <cell r="F59">
            <v>0</v>
          </cell>
          <cell r="G59">
            <v>98.714200000000005</v>
          </cell>
          <cell r="H59">
            <v>98.714200000000005</v>
          </cell>
          <cell r="I59">
            <v>22.026499999999999</v>
          </cell>
          <cell r="J59">
            <v>18.474599999999999</v>
          </cell>
        </row>
        <row r="60">
          <cell r="A60" t="str">
            <v>5606A</v>
          </cell>
          <cell r="B60" t="str">
            <v>SKARO FAHS</v>
          </cell>
          <cell r="C60" t="str">
            <v>Feilding High School</v>
          </cell>
          <cell r="D60" t="str">
            <v>Feilding, Not Applicable or Not Listed, New Zealand</v>
          </cell>
          <cell r="E60">
            <v>77</v>
          </cell>
          <cell r="F60">
            <v>39</v>
          </cell>
          <cell r="G60">
            <v>27.256399999999999</v>
          </cell>
          <cell r="H60">
            <v>27.256399999999999</v>
          </cell>
        </row>
        <row r="61">
          <cell r="A61" t="str">
            <v>5772B</v>
          </cell>
          <cell r="B61" t="str">
            <v>Eaglebots</v>
          </cell>
          <cell r="C61" t="str">
            <v>The Harker School</v>
          </cell>
          <cell r="D61" t="str">
            <v>Santa Clara, California, United States</v>
          </cell>
          <cell r="E61">
            <v>68</v>
          </cell>
          <cell r="F61">
            <v>311</v>
          </cell>
          <cell r="G61">
            <v>103.187</v>
          </cell>
          <cell r="H61">
            <v>73.071200000000005</v>
          </cell>
          <cell r="I61">
            <v>69.942499999999995</v>
          </cell>
          <cell r="J61">
            <v>75.437100000000001</v>
          </cell>
          <cell r="K61">
            <v>103.187</v>
          </cell>
          <cell r="L61">
            <v>26.689699999999998</v>
          </cell>
        </row>
        <row r="62">
          <cell r="A62" t="str">
            <v>5776Y</v>
          </cell>
          <cell r="B62" t="str">
            <v>DVHS Robotics</v>
          </cell>
          <cell r="C62" t="str">
            <v>Dougherty Valley High School</v>
          </cell>
          <cell r="D62" t="str">
            <v>San Ramon, California, United States</v>
          </cell>
          <cell r="E62">
            <v>274</v>
          </cell>
          <cell r="F62">
            <v>118</v>
          </cell>
          <cell r="G62">
            <v>73.846000000000004</v>
          </cell>
          <cell r="H62">
            <v>73.846000000000004</v>
          </cell>
          <cell r="I62">
            <v>28.787299999999998</v>
          </cell>
          <cell r="J62">
            <v>58.964799999999997</v>
          </cell>
          <cell r="K62">
            <v>18.7075</v>
          </cell>
          <cell r="L62">
            <v>41.877499999999998</v>
          </cell>
          <cell r="M62">
            <v>52.064500000000002</v>
          </cell>
        </row>
        <row r="63">
          <cell r="A63" t="str">
            <v>5839B</v>
          </cell>
          <cell r="B63" t="str">
            <v>Tech 2</v>
          </cell>
          <cell r="C63" t="str">
            <v>Eastern Technical High School</v>
          </cell>
          <cell r="D63" t="str">
            <v>Baltimore, Maryland, United States</v>
          </cell>
          <cell r="E63">
            <v>320</v>
          </cell>
          <cell r="F63">
            <v>151</v>
          </cell>
          <cell r="G63">
            <v>87.242400000000004</v>
          </cell>
          <cell r="H63">
            <v>87.242400000000004</v>
          </cell>
          <cell r="I63">
            <v>81.780900000000003</v>
          </cell>
          <cell r="J63">
            <v>63.026499999999999</v>
          </cell>
          <cell r="K63">
            <v>78.753500000000003</v>
          </cell>
          <cell r="L63">
            <v>52.0122</v>
          </cell>
          <cell r="M63">
            <v>64.7333</v>
          </cell>
          <cell r="N63">
            <v>80.849800000000002</v>
          </cell>
          <cell r="O63">
            <v>60.362900000000003</v>
          </cell>
        </row>
        <row r="64">
          <cell r="A64" t="str">
            <v>6008Z</v>
          </cell>
          <cell r="B64" t="str">
            <v>The Blind Squirrels</v>
          </cell>
          <cell r="C64" t="str">
            <v>North Union High School</v>
          </cell>
          <cell r="D64" t="str">
            <v>Richwood, Ohio, United States</v>
          </cell>
          <cell r="E64">
            <v>148</v>
          </cell>
          <cell r="F64">
            <v>131</v>
          </cell>
          <cell r="G64">
            <v>94.8429</v>
          </cell>
          <cell r="H64">
            <v>76.9953</v>
          </cell>
          <cell r="I64">
            <v>53.464199999999998</v>
          </cell>
          <cell r="J64">
            <v>63.664900000000003</v>
          </cell>
          <cell r="K64">
            <v>59.2898</v>
          </cell>
          <cell r="L64">
            <v>32.318399999999997</v>
          </cell>
          <cell r="M64">
            <v>94.8429</v>
          </cell>
          <cell r="N64">
            <v>56.127000000000002</v>
          </cell>
          <cell r="O64">
            <v>0</v>
          </cell>
          <cell r="P64">
            <v>31.688199999999998</v>
          </cell>
          <cell r="Q64">
            <v>12.5595</v>
          </cell>
          <cell r="R64">
            <v>17.246700000000001</v>
          </cell>
        </row>
        <row r="65">
          <cell r="A65" t="str">
            <v>6053C</v>
          </cell>
          <cell r="B65" t="str">
            <v>Systematic Chaos</v>
          </cell>
          <cell r="C65" t="str">
            <v>Highgate School</v>
          </cell>
          <cell r="D65" t="str">
            <v>London, N/A, United Kingdom</v>
          </cell>
          <cell r="E65">
            <v>199</v>
          </cell>
          <cell r="F65">
            <v>0</v>
          </cell>
          <cell r="G65">
            <v>86.161199999999994</v>
          </cell>
          <cell r="H65">
            <v>20.985399999999998</v>
          </cell>
          <cell r="I65">
            <v>29.690100000000001</v>
          </cell>
          <cell r="J65">
            <v>86.161199999999994</v>
          </cell>
          <cell r="K65">
            <v>12.873699999999999</v>
          </cell>
          <cell r="L65">
            <v>49.776000000000003</v>
          </cell>
          <cell r="M65">
            <v>44.407299999999999</v>
          </cell>
          <cell r="N65">
            <v>54.924399999999999</v>
          </cell>
          <cell r="O65">
            <v>25.079799999999999</v>
          </cell>
        </row>
        <row r="66">
          <cell r="A66" t="str">
            <v>6135D</v>
          </cell>
          <cell r="B66" t="str">
            <v>CHHS Bruins D</v>
          </cell>
          <cell r="C66" t="str">
            <v>Central Hardin High School PLTW</v>
          </cell>
          <cell r="D66" t="str">
            <v>Cecilia, Kentucky, United States</v>
          </cell>
          <cell r="E66">
            <v>127</v>
          </cell>
          <cell r="F66">
            <v>78</v>
          </cell>
          <cell r="G66">
            <v>81.403899999999993</v>
          </cell>
          <cell r="H66">
            <v>60.366300000000003</v>
          </cell>
          <cell r="I66">
            <v>63.011299999999999</v>
          </cell>
          <cell r="J66">
            <v>32.430599999999998</v>
          </cell>
          <cell r="K66">
            <v>40.133800000000001</v>
          </cell>
          <cell r="L66">
            <v>44.636800000000001</v>
          </cell>
          <cell r="M66">
            <v>80.373699999999999</v>
          </cell>
          <cell r="N66">
            <v>81.403899999999993</v>
          </cell>
        </row>
        <row r="67">
          <cell r="A67" t="str">
            <v>6264D</v>
          </cell>
          <cell r="B67" t="str">
            <v>The Shawkbots</v>
          </cell>
          <cell r="C67" t="str">
            <v>Shawnigan Lake School</v>
          </cell>
          <cell r="D67" t="str">
            <v>Shawnigan Lake, British Columbia, Canada</v>
          </cell>
          <cell r="E67">
            <v>0</v>
          </cell>
          <cell r="F67">
            <v>0</v>
          </cell>
          <cell r="G67">
            <v>55.161499999999997</v>
          </cell>
          <cell r="H67">
            <v>54.993899999999996</v>
          </cell>
          <cell r="I67">
            <v>50.992400000000004</v>
          </cell>
          <cell r="J67">
            <v>19.098700000000001</v>
          </cell>
          <cell r="K67">
            <v>55.161499999999997</v>
          </cell>
          <cell r="L67">
            <v>7.7772399999999999</v>
          </cell>
        </row>
        <row r="68">
          <cell r="A68" t="str">
            <v>6430</v>
          </cell>
          <cell r="B68" t="str">
            <v>Trinity Dragons</v>
          </cell>
          <cell r="C68" t="str">
            <v>Trinity Robotics Club</v>
          </cell>
          <cell r="D68" t="str">
            <v>Lutz, Florida, United States</v>
          </cell>
          <cell r="E68">
            <v>331</v>
          </cell>
          <cell r="F68">
            <v>286</v>
          </cell>
          <cell r="G68">
            <v>168.34399999999999</v>
          </cell>
          <cell r="H68">
            <v>161.51499999999999</v>
          </cell>
          <cell r="I68">
            <v>158.54599999999999</v>
          </cell>
          <cell r="J68">
            <v>116.59699999999999</v>
          </cell>
          <cell r="K68">
            <v>168.34399999999999</v>
          </cell>
          <cell r="L68">
            <v>113.137</v>
          </cell>
          <cell r="M68">
            <v>123.60299999999999</v>
          </cell>
        </row>
        <row r="69">
          <cell r="A69" t="str">
            <v>6596</v>
          </cell>
          <cell r="B69" t="str">
            <v>Vexponential Potential</v>
          </cell>
          <cell r="C69" t="str">
            <v>Clear Lake Area Robotics</v>
          </cell>
          <cell r="D69" t="str">
            <v>Houston, Texas, United States</v>
          </cell>
          <cell r="E69">
            <v>44</v>
          </cell>
          <cell r="F69">
            <v>19</v>
          </cell>
          <cell r="G69">
            <v>68.897800000000004</v>
          </cell>
          <cell r="H69">
            <v>19.116900000000001</v>
          </cell>
          <cell r="I69">
            <v>39.7849</v>
          </cell>
          <cell r="J69">
            <v>27.472999999999999</v>
          </cell>
          <cell r="K69">
            <v>68.897800000000004</v>
          </cell>
          <cell r="L69">
            <v>43.137999999999998</v>
          </cell>
        </row>
        <row r="70">
          <cell r="A70" t="str">
            <v>6740A</v>
          </cell>
          <cell r="B70" t="str">
            <v>Alvin</v>
          </cell>
          <cell r="C70" t="str">
            <v>Team Alvin</v>
          </cell>
          <cell r="D70" t="str">
            <v>Glen Allen, Virginia, United States</v>
          </cell>
          <cell r="E70">
            <v>272</v>
          </cell>
          <cell r="F70">
            <v>246</v>
          </cell>
          <cell r="G70">
            <v>104.51600000000001</v>
          </cell>
          <cell r="H70">
            <v>84.672499999999999</v>
          </cell>
          <cell r="I70">
            <v>89.083299999999994</v>
          </cell>
          <cell r="J70">
            <v>104.51600000000001</v>
          </cell>
        </row>
        <row r="71">
          <cell r="A71" t="str">
            <v>6862M</v>
          </cell>
          <cell r="B71" t="str">
            <v>Team Comet Robotics Club</v>
          </cell>
          <cell r="C71" t="str">
            <v>Team Comet Robotics Club</v>
          </cell>
          <cell r="D71" t="str">
            <v>Marion, Ohio, United States</v>
          </cell>
          <cell r="E71">
            <v>116</v>
          </cell>
          <cell r="F71">
            <v>0</v>
          </cell>
          <cell r="G71">
            <v>116.857</v>
          </cell>
          <cell r="H71">
            <v>82.912300000000002</v>
          </cell>
          <cell r="I71">
            <v>70.9358</v>
          </cell>
          <cell r="J71">
            <v>77.244</v>
          </cell>
          <cell r="K71">
            <v>116.857</v>
          </cell>
          <cell r="L71">
            <v>64.251900000000006</v>
          </cell>
          <cell r="M71">
            <v>69.460599999999999</v>
          </cell>
          <cell r="N71">
            <v>61.224200000000003</v>
          </cell>
          <cell r="O71">
            <v>57.125599999999999</v>
          </cell>
          <cell r="P71">
            <v>57.737000000000002</v>
          </cell>
        </row>
        <row r="72">
          <cell r="A72" t="str">
            <v>6953B</v>
          </cell>
          <cell r="B72" t="str">
            <v>PULGAS</v>
          </cell>
          <cell r="C72" t="str">
            <v>Cecytech 22 Ricardo Flores Magon</v>
          </cell>
          <cell r="D72" t="str">
            <v>Tuxtla Gutiérrez, Chiapas, Mexico</v>
          </cell>
          <cell r="E72">
            <v>0</v>
          </cell>
          <cell r="F72">
            <v>0</v>
          </cell>
          <cell r="G72">
            <v>49.804099999999998</v>
          </cell>
          <cell r="H72">
            <v>26.170999999999999</v>
          </cell>
          <cell r="I72">
            <v>49.804099999999998</v>
          </cell>
        </row>
        <row r="73">
          <cell r="A73" t="str">
            <v>7110E</v>
          </cell>
          <cell r="B73" t="str">
            <v>Fired Up!</v>
          </cell>
          <cell r="C73" t="str">
            <v>Carroll Senior High School</v>
          </cell>
          <cell r="D73" t="str">
            <v>Southlake, Texas, United States</v>
          </cell>
          <cell r="E73">
            <v>0</v>
          </cell>
          <cell r="F73">
            <v>70</v>
          </cell>
          <cell r="G73">
            <v>74.135099999999994</v>
          </cell>
          <cell r="H73">
            <v>74.135099999999994</v>
          </cell>
          <cell r="I73">
            <v>27.159800000000001</v>
          </cell>
          <cell r="J73">
            <v>70.953299999999999</v>
          </cell>
          <cell r="K73">
            <v>13.7067</v>
          </cell>
          <cell r="L73">
            <v>3.4537800000000001</v>
          </cell>
        </row>
        <row r="74">
          <cell r="A74" t="str">
            <v>7232J</v>
          </cell>
          <cell r="B74" t="str">
            <v>Cyber Pirates</v>
          </cell>
          <cell r="C74" t="str">
            <v>Belton High School</v>
          </cell>
          <cell r="D74" t="str">
            <v>Belton, Missouri, United States</v>
          </cell>
          <cell r="E74">
            <v>304</v>
          </cell>
          <cell r="F74">
            <v>231</v>
          </cell>
          <cell r="G74">
            <v>119.48399999999999</v>
          </cell>
          <cell r="H74">
            <v>119.48399999999999</v>
          </cell>
          <cell r="I74">
            <v>108.81100000000001</v>
          </cell>
          <cell r="J74">
            <v>96.7102</v>
          </cell>
          <cell r="K74">
            <v>111.992</v>
          </cell>
          <cell r="L74">
            <v>80.602800000000002</v>
          </cell>
          <cell r="M74">
            <v>42.9099</v>
          </cell>
          <cell r="N74">
            <v>43.7333</v>
          </cell>
          <cell r="O74">
            <v>39.051299999999998</v>
          </cell>
        </row>
        <row r="75">
          <cell r="A75" t="str">
            <v>7386A</v>
          </cell>
          <cell r="B75" t="str">
            <v>EMSch AT UESTC A</v>
          </cell>
          <cell r="C75" t="str">
            <v>The Experimental High School Attached To UESTC</v>
          </cell>
          <cell r="D75" t="str">
            <v>chengdu, Not Applicable or Not Listed, China</v>
          </cell>
          <cell r="E75">
            <v>267</v>
          </cell>
          <cell r="F75">
            <v>0</v>
          </cell>
          <cell r="G75">
            <v>100.145</v>
          </cell>
          <cell r="H75">
            <v>100.145</v>
          </cell>
        </row>
        <row r="76">
          <cell r="A76" t="str">
            <v>7581H</v>
          </cell>
          <cell r="B76" t="str">
            <v>Haslett VEX Raptors MSU</v>
          </cell>
          <cell r="C76" t="str">
            <v>Michigan State University College of Engineering</v>
          </cell>
          <cell r="D76" t="str">
            <v>East Lansing, Michigan, United States</v>
          </cell>
          <cell r="E76">
            <v>218</v>
          </cell>
          <cell r="F76">
            <v>116</v>
          </cell>
          <cell r="G76">
            <v>124.845</v>
          </cell>
          <cell r="H76">
            <v>124.845</v>
          </cell>
          <cell r="I76">
            <v>78.569599999999994</v>
          </cell>
          <cell r="J76">
            <v>53.203699999999998</v>
          </cell>
          <cell r="K76">
            <v>57.938699999999997</v>
          </cell>
          <cell r="L76">
            <v>72.085599999999999</v>
          </cell>
        </row>
        <row r="77">
          <cell r="A77" t="str">
            <v>7682</v>
          </cell>
          <cell r="B77" t="str">
            <v>Wingus &amp; Dingus</v>
          </cell>
          <cell r="C77" t="str">
            <v>Wingus &amp; Dingus Robotics</v>
          </cell>
          <cell r="D77" t="str">
            <v>Auckland, N/A, New Zealand</v>
          </cell>
          <cell r="E77">
            <v>313</v>
          </cell>
          <cell r="F77">
            <v>294</v>
          </cell>
          <cell r="G77">
            <v>110.089</v>
          </cell>
          <cell r="H77">
            <v>92.918599999999998</v>
          </cell>
          <cell r="I77">
            <v>109.376</v>
          </cell>
          <cell r="J77">
            <v>110.089</v>
          </cell>
        </row>
        <row r="78">
          <cell r="A78" t="str">
            <v>7797C</v>
          </cell>
          <cell r="B78" t="str">
            <v>SH Zhabei STYC C</v>
          </cell>
          <cell r="C78" t="str">
            <v>Shanghai Zhabei Science Technology Youth Center</v>
          </cell>
          <cell r="D78" t="str">
            <v>Shanghai, Not Applicable or Not Listed, China</v>
          </cell>
          <cell r="E78">
            <v>0</v>
          </cell>
          <cell r="F78">
            <v>0</v>
          </cell>
        </row>
        <row r="79">
          <cell r="A79" t="str">
            <v>7870B</v>
          </cell>
          <cell r="B79" t="str">
            <v>Rockn' Robots</v>
          </cell>
          <cell r="C79" t="str">
            <v>Coronado High School</v>
          </cell>
          <cell r="D79" t="str">
            <v>Henderson, Nevada, United States</v>
          </cell>
          <cell r="E79">
            <v>81</v>
          </cell>
          <cell r="F79">
            <v>0</v>
          </cell>
          <cell r="G79">
            <v>80.517499999999998</v>
          </cell>
          <cell r="H79">
            <v>80.517499999999998</v>
          </cell>
          <cell r="I79">
            <v>5.0417399999999999</v>
          </cell>
          <cell r="J79">
            <v>-6.1968500000000004</v>
          </cell>
        </row>
        <row r="80">
          <cell r="A80" t="str">
            <v>7972C</v>
          </cell>
          <cell r="B80" t="str">
            <v>Gaoxin NO.1 HSch C</v>
          </cell>
          <cell r="C80" t="str">
            <v>Xi'an Gaoxin NO.1 High School</v>
          </cell>
          <cell r="D80" t="str">
            <v>xi'an, Not Applicable or Not Listed, China</v>
          </cell>
          <cell r="E80">
            <v>0</v>
          </cell>
          <cell r="F80">
            <v>0</v>
          </cell>
          <cell r="G80">
            <v>131.84</v>
          </cell>
          <cell r="H80">
            <v>131.84</v>
          </cell>
        </row>
        <row r="81">
          <cell r="A81" t="str">
            <v>8000D</v>
          </cell>
          <cell r="B81" t="str">
            <v>HRS Robohawks</v>
          </cell>
          <cell r="C81" t="str">
            <v>Head-Royce School</v>
          </cell>
          <cell r="D81" t="str">
            <v>Oakland, California, United States</v>
          </cell>
          <cell r="E81">
            <v>140</v>
          </cell>
          <cell r="F81">
            <v>140</v>
          </cell>
          <cell r="G81">
            <v>113.867</v>
          </cell>
          <cell r="H81">
            <v>91.684899999999999</v>
          </cell>
          <cell r="I81">
            <v>113.867</v>
          </cell>
          <cell r="J81">
            <v>52.571599999999997</v>
          </cell>
          <cell r="K81">
            <v>80.444999999999993</v>
          </cell>
          <cell r="L81">
            <v>102.31100000000001</v>
          </cell>
          <cell r="M81">
            <v>45.436799999999998</v>
          </cell>
          <cell r="N81">
            <v>61.555999999999997</v>
          </cell>
          <cell r="O81">
            <v>85.3</v>
          </cell>
        </row>
        <row r="82">
          <cell r="A82" t="str">
            <v>8059D</v>
          </cell>
          <cell r="B82" t="str">
            <v>Blank.</v>
          </cell>
          <cell r="C82" t="str">
            <v>Anglo-Chinese School (Independent)</v>
          </cell>
          <cell r="D82" t="str">
            <v>Singapore, Not Applicable or Not Listed, Singapore</v>
          </cell>
          <cell r="E82">
            <v>0</v>
          </cell>
          <cell r="F82">
            <v>330</v>
          </cell>
          <cell r="G82">
            <v>29.282299999999999</v>
          </cell>
          <cell r="H82">
            <v>29.282299999999999</v>
          </cell>
        </row>
        <row r="83">
          <cell r="A83" t="str">
            <v>8176A</v>
          </cell>
          <cell r="B83" t="str">
            <v>NJ Jinling HS A</v>
          </cell>
          <cell r="C83" t="str">
            <v>Nanjing Jinling High School</v>
          </cell>
          <cell r="D83" t="str">
            <v>Nanjing, Not Applicable or Not Listed, China</v>
          </cell>
          <cell r="E83">
            <v>0</v>
          </cell>
          <cell r="F83">
            <v>0</v>
          </cell>
        </row>
        <row r="84">
          <cell r="A84" t="str">
            <v>8430</v>
          </cell>
          <cell r="B84" t="str">
            <v>DandyHighRobot</v>
          </cell>
          <cell r="C84" t="str">
            <v>Dandenong High School</v>
          </cell>
          <cell r="D84" t="str">
            <v>Dandenong, N/A, Australia</v>
          </cell>
          <cell r="E84">
            <v>0</v>
          </cell>
          <cell r="F84">
            <v>0</v>
          </cell>
          <cell r="G84">
            <v>56.165799999999997</v>
          </cell>
          <cell r="H84">
            <v>56.165799999999997</v>
          </cell>
        </row>
        <row r="85">
          <cell r="A85" t="str">
            <v>8585D</v>
          </cell>
          <cell r="B85" t="str">
            <v>Stilwell Indians</v>
          </cell>
          <cell r="C85" t="str">
            <v>Stilwell Public Schools</v>
          </cell>
          <cell r="D85" t="str">
            <v>Stilwell, Oklahoma, United States</v>
          </cell>
          <cell r="E85">
            <v>105</v>
          </cell>
          <cell r="F85">
            <v>0</v>
          </cell>
          <cell r="G85">
            <v>140.541</v>
          </cell>
          <cell r="H85">
            <v>113.748</v>
          </cell>
          <cell r="I85">
            <v>115.843</v>
          </cell>
          <cell r="J85">
            <v>140.541</v>
          </cell>
          <cell r="K85">
            <v>36.738100000000003</v>
          </cell>
        </row>
        <row r="86">
          <cell r="A86" t="str">
            <v>8659G</v>
          </cell>
          <cell r="B86" t="str">
            <v>Binary Botz</v>
          </cell>
          <cell r="C86" t="str">
            <v>Goose Creek High</v>
          </cell>
          <cell r="D86" t="str">
            <v>GOOSE CREEK, South Carolina, United States</v>
          </cell>
          <cell r="E86">
            <v>206</v>
          </cell>
          <cell r="F86">
            <v>130</v>
          </cell>
          <cell r="G86">
            <v>108.432</v>
          </cell>
          <cell r="H86">
            <v>108.432</v>
          </cell>
          <cell r="I86">
            <v>98.566999999999993</v>
          </cell>
          <cell r="J86">
            <v>44.384500000000003</v>
          </cell>
        </row>
        <row r="87">
          <cell r="A87" t="str">
            <v>8739A</v>
          </cell>
          <cell r="B87" t="str">
            <v>A. Robot. lagos de Moreno</v>
          </cell>
          <cell r="C87" t="str">
            <v>ACADEMIA DE ROBOTICA DE LAGO DE MORENO</v>
          </cell>
          <cell r="D87" t="str">
            <v>LAGOS DE MORENO, Jalisco, Mexico</v>
          </cell>
          <cell r="E87">
            <v>0</v>
          </cell>
          <cell r="F87">
            <v>0</v>
          </cell>
          <cell r="G87">
            <v>99.167299999999997</v>
          </cell>
          <cell r="H87">
            <v>87.85</v>
          </cell>
          <cell r="I87">
            <v>95.264899999999997</v>
          </cell>
          <cell r="J87">
            <v>97.072500000000005</v>
          </cell>
          <cell r="K87">
            <v>99.167299999999997</v>
          </cell>
          <cell r="L87">
            <v>63.256700000000002</v>
          </cell>
          <cell r="M87">
            <v>15.509</v>
          </cell>
          <cell r="N87">
            <v>68.3292</v>
          </cell>
        </row>
        <row r="88">
          <cell r="A88" t="str">
            <v>8787C</v>
          </cell>
          <cell r="B88" t="str">
            <v>Lady Troopers</v>
          </cell>
          <cell r="C88" t="str">
            <v>Eastwood High School</v>
          </cell>
          <cell r="D88" t="str">
            <v>El Paso, Texas, United States</v>
          </cell>
          <cell r="E88">
            <v>64</v>
          </cell>
          <cell r="F88">
            <v>7</v>
          </cell>
          <cell r="G88">
            <v>56.727899999999998</v>
          </cell>
          <cell r="H88">
            <v>34.218299999999999</v>
          </cell>
          <cell r="I88">
            <v>56.727899999999998</v>
          </cell>
          <cell r="J88">
            <v>18.040600000000001</v>
          </cell>
        </row>
        <row r="89">
          <cell r="A89" t="str">
            <v>8900</v>
          </cell>
          <cell r="B89" t="str">
            <v>Parallax</v>
          </cell>
          <cell r="C89" t="str">
            <v>Phillips Academy Andover</v>
          </cell>
          <cell r="D89" t="str">
            <v>Andover, Massachusetts, United States</v>
          </cell>
          <cell r="E89">
            <v>287</v>
          </cell>
          <cell r="F89">
            <v>228</v>
          </cell>
          <cell r="G89">
            <v>119.614</v>
          </cell>
          <cell r="H89">
            <v>70.974699999999999</v>
          </cell>
          <cell r="I89">
            <v>100.672</v>
          </cell>
          <cell r="J89">
            <v>119.614</v>
          </cell>
          <cell r="K89">
            <v>85.615300000000005</v>
          </cell>
          <cell r="L89">
            <v>24.953299999999999</v>
          </cell>
        </row>
        <row r="90">
          <cell r="A90" t="str">
            <v>9020</v>
          </cell>
          <cell r="B90" t="str">
            <v>Cape Henlopen</v>
          </cell>
          <cell r="C90" t="str">
            <v>Cape Henlopen High School</v>
          </cell>
          <cell r="D90" t="str">
            <v>Lewes, Delaware, United States</v>
          </cell>
          <cell r="E90">
            <v>32</v>
          </cell>
          <cell r="F90">
            <v>6</v>
          </cell>
          <cell r="G90">
            <v>38.782200000000003</v>
          </cell>
          <cell r="H90">
            <v>38.782200000000003</v>
          </cell>
        </row>
        <row r="91">
          <cell r="A91" t="str">
            <v>9090C</v>
          </cell>
          <cell r="B91" t="str">
            <v>T-VEX</v>
          </cell>
          <cell r="C91" t="str">
            <v>The Mandarin Chinese School</v>
          </cell>
          <cell r="D91" t="str">
            <v>Arlington, Texas, United States</v>
          </cell>
          <cell r="E91">
            <v>167</v>
          </cell>
          <cell r="F91">
            <v>217</v>
          </cell>
          <cell r="G91">
            <v>132.69200000000001</v>
          </cell>
          <cell r="H91">
            <v>132.69200000000001</v>
          </cell>
          <cell r="I91">
            <v>119.03100000000001</v>
          </cell>
          <cell r="J91">
            <v>69.130499999999998</v>
          </cell>
          <cell r="K91">
            <v>86.182100000000005</v>
          </cell>
          <cell r="L91">
            <v>38.386899999999997</v>
          </cell>
          <cell r="M91">
            <v>62.408700000000003</v>
          </cell>
        </row>
        <row r="92">
          <cell r="A92" t="str">
            <v>9282</v>
          </cell>
          <cell r="B92" t="str">
            <v>Freezing Code</v>
          </cell>
          <cell r="C92" t="str">
            <v>Freezing Code Robotics Club</v>
          </cell>
          <cell r="D92" t="str">
            <v>Oswego, New York, United States</v>
          </cell>
          <cell r="E92">
            <v>150</v>
          </cell>
          <cell r="F92">
            <v>300</v>
          </cell>
          <cell r="G92">
            <v>140.32900000000001</v>
          </cell>
          <cell r="H92">
            <v>140.32900000000001</v>
          </cell>
          <cell r="I92">
            <v>133.898</v>
          </cell>
          <cell r="J92">
            <v>54.665999999999997</v>
          </cell>
          <cell r="K92">
            <v>77.057299999999998</v>
          </cell>
          <cell r="L92">
            <v>0</v>
          </cell>
          <cell r="M92">
            <v>46.993099999999998</v>
          </cell>
          <cell r="N92">
            <v>64.642099999999999</v>
          </cell>
          <cell r="O92">
            <v>14.107200000000001</v>
          </cell>
          <cell r="P92">
            <v>49.549700000000001</v>
          </cell>
        </row>
        <row r="93">
          <cell r="A93" t="str">
            <v>9421</v>
          </cell>
          <cell r="B93" t="str">
            <v>Triple Threat</v>
          </cell>
          <cell r="C93" t="str">
            <v>Framingham High School</v>
          </cell>
          <cell r="D93" t="str">
            <v>Framingham, Massachusetts, United States</v>
          </cell>
          <cell r="E93">
            <v>225</v>
          </cell>
          <cell r="F93">
            <v>147</v>
          </cell>
          <cell r="G93">
            <v>85.816699999999997</v>
          </cell>
          <cell r="H93">
            <v>85.816699999999997</v>
          </cell>
          <cell r="I93">
            <v>73.719099999999997</v>
          </cell>
          <cell r="J93">
            <v>72.901799999999994</v>
          </cell>
          <cell r="K93">
            <v>45.982199999999999</v>
          </cell>
          <cell r="L93">
            <v>35.690600000000003</v>
          </cell>
          <cell r="M93">
            <v>45.247</v>
          </cell>
        </row>
        <row r="94">
          <cell r="A94" t="str">
            <v>9541</v>
          </cell>
          <cell r="B94" t="str">
            <v>C.H.E.S.S. Knights</v>
          </cell>
          <cell r="C94" t="str">
            <v>Christian Home Educators of Sulphur Springs</v>
          </cell>
          <cell r="D94" t="str">
            <v>Como, Texas, United States</v>
          </cell>
          <cell r="E94">
            <v>215</v>
          </cell>
          <cell r="F94">
            <v>231</v>
          </cell>
          <cell r="G94">
            <v>121.13</v>
          </cell>
          <cell r="H94">
            <v>55.247199999999999</v>
          </cell>
          <cell r="I94">
            <v>87.430999999999997</v>
          </cell>
          <cell r="J94">
            <v>92.304100000000005</v>
          </cell>
          <cell r="K94">
            <v>121.13</v>
          </cell>
          <cell r="L94">
            <v>110.43899999999999</v>
          </cell>
          <cell r="M94">
            <v>0</v>
          </cell>
        </row>
        <row r="95">
          <cell r="A95" t="str">
            <v>9708</v>
          </cell>
          <cell r="B95" t="str">
            <v>Six Sigma Robotics</v>
          </cell>
          <cell r="C95" t="str">
            <v>Middlesex County Academy</v>
          </cell>
          <cell r="D95" t="str">
            <v>Edison, New Jersey, United States</v>
          </cell>
          <cell r="E95">
            <v>125</v>
          </cell>
          <cell r="F95">
            <v>83</v>
          </cell>
          <cell r="G95">
            <v>79.156199999999998</v>
          </cell>
          <cell r="H95">
            <v>79.156199999999998</v>
          </cell>
          <cell r="I95">
            <v>60.394399999999997</v>
          </cell>
          <cell r="J95">
            <v>52.395299999999999</v>
          </cell>
          <cell r="K95">
            <v>55.260100000000001</v>
          </cell>
          <cell r="L95">
            <v>16.066600000000001</v>
          </cell>
        </row>
        <row r="96">
          <cell r="A96" t="str">
            <v>9898C</v>
          </cell>
          <cell r="B96" t="str">
            <v xml:space="preserve">Scorpion Robotics </v>
          </cell>
          <cell r="C96" t="str">
            <v>Scorpion Engineering Hesperia High School</v>
          </cell>
          <cell r="D96" t="str">
            <v>Hesperia, California, United States</v>
          </cell>
          <cell r="E96">
            <v>345</v>
          </cell>
          <cell r="F96">
            <v>155</v>
          </cell>
          <cell r="G96">
            <v>131.31200000000001</v>
          </cell>
          <cell r="H96">
            <v>127.194</v>
          </cell>
          <cell r="I96">
            <v>131.31200000000001</v>
          </cell>
          <cell r="J96">
            <v>74.11</v>
          </cell>
          <cell r="K96">
            <v>61.962899999999998</v>
          </cell>
          <cell r="L96">
            <v>80.264099999999999</v>
          </cell>
        </row>
        <row r="97">
          <cell r="A97" t="str">
            <v>9964S</v>
          </cell>
          <cell r="B97" t="str">
            <v>Bender</v>
          </cell>
          <cell r="C97" t="str">
            <v>Stone Bridge High School</v>
          </cell>
          <cell r="D97" t="str">
            <v>Ashburn, Virginia, United States</v>
          </cell>
          <cell r="E97">
            <v>133</v>
          </cell>
          <cell r="F97">
            <v>107</v>
          </cell>
          <cell r="G97">
            <v>86.028599999999997</v>
          </cell>
          <cell r="H97">
            <v>86.028599999999997</v>
          </cell>
          <cell r="I97">
            <v>34.927</v>
          </cell>
          <cell r="J97">
            <v>14.9811</v>
          </cell>
        </row>
        <row r="98">
          <cell r="A98" t="str">
            <v>96965</v>
          </cell>
          <cell r="B98" t="str">
            <v>ftcExchangeStudents</v>
          </cell>
          <cell r="C98" t="str">
            <v>Westwood Robotics Alliance</v>
          </cell>
          <cell r="D98" t="str">
            <v>Morgantown, West Virginia, United States</v>
          </cell>
          <cell r="E98">
            <v>161</v>
          </cell>
          <cell r="F98">
            <v>98</v>
          </cell>
          <cell r="G98">
            <v>134.429</v>
          </cell>
          <cell r="H98">
            <v>134.429</v>
          </cell>
          <cell r="I98">
            <v>128.02500000000001</v>
          </cell>
          <cell r="J98">
            <v>58.464500000000001</v>
          </cell>
          <cell r="K98">
            <v>40.572899999999997</v>
          </cell>
        </row>
        <row r="99">
          <cell r="A99" t="str">
            <v>99153K</v>
          </cell>
          <cell r="B99" t="str">
            <v>CECYT No. 6 Chihuahua</v>
          </cell>
          <cell r="C99" t="str">
            <v>COLEG. DE EST. CIENT. Y TECNOLOG DE CHIHUAHUA</v>
          </cell>
          <cell r="D99" t="str">
            <v>CHIHUAHUA, Chihuahua, Mexico</v>
          </cell>
          <cell r="E99">
            <v>111</v>
          </cell>
          <cell r="F99">
            <v>5</v>
          </cell>
          <cell r="G99">
            <v>92.955200000000005</v>
          </cell>
          <cell r="H99">
            <v>77.945499999999996</v>
          </cell>
          <cell r="I99">
            <v>92.955200000000005</v>
          </cell>
          <cell r="J99">
            <v>70.780299999999997</v>
          </cell>
        </row>
        <row r="100">
          <cell r="A100" t="str">
            <v>99679J</v>
          </cell>
          <cell r="B100" t="str">
            <v>UNITY</v>
          </cell>
          <cell r="C100" t="str">
            <v>David Karam Educational Center</v>
          </cell>
          <cell r="D100" t="str">
            <v>Beirut, N/A, Lebanon</v>
          </cell>
          <cell r="E100">
            <v>0</v>
          </cell>
          <cell r="F10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V503"/>
  <sheetViews>
    <sheetView showZero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5" sqref="E15"/>
    </sheetView>
  </sheetViews>
  <sheetFormatPr defaultRowHeight="14.4"/>
  <cols>
    <col min="1" max="1" width="4.109375" customWidth="1"/>
    <col min="3" max="3" width="16.109375" customWidth="1"/>
    <col min="4" max="4" width="8.88671875" hidden="1" customWidth="1"/>
    <col min="5" max="5" width="26.88671875" customWidth="1"/>
    <col min="6" max="8" width="7.33203125" style="8" customWidth="1"/>
    <col min="9" max="19" width="7.33203125" style="3" customWidth="1"/>
    <col min="20" max="21" width="5.6640625" style="3" customWidth="1"/>
  </cols>
  <sheetData>
    <row r="2" spans="1:22">
      <c r="A2" s="61">
        <f>MAX(A5:A505)</f>
        <v>500</v>
      </c>
      <c r="C2" s="60"/>
      <c r="E2" s="1" t="s">
        <v>0</v>
      </c>
      <c r="F2" s="6">
        <f>AVERAGEIF(F6:F503,"&gt;0")</f>
        <v>203.44028103044496</v>
      </c>
      <c r="G2" s="6">
        <f>AVERAGEIF(G6:G503,"&gt;0")</f>
        <v>164.792</v>
      </c>
      <c r="H2" s="6">
        <f>AVERAGEIF(H6:H503,"&gt;0")</f>
        <v>103.21584148846962</v>
      </c>
      <c r="I2" s="6">
        <f>AVERAGEIF(I6:I503,"&gt;0")</f>
        <v>88.461200997876915</v>
      </c>
      <c r="J2" s="6">
        <f>AVERAGEIF(J6:J503,"&gt;0")</f>
        <v>80.67422674311922</v>
      </c>
      <c r="K2" s="6">
        <f>AVERAGEIF(K6:K503,"&gt;0")</f>
        <v>77.834222018181848</v>
      </c>
      <c r="L2" s="6">
        <f>AVERAGEIF(L6:L503,"&gt;0")</f>
        <v>71.195084691011232</v>
      </c>
      <c r="M2" s="6">
        <f>AVERAGEIF(M6:M503,"&gt;0")</f>
        <v>63.193506330935243</v>
      </c>
      <c r="N2" s="6">
        <f>AVERAGEIF(N6:N503,"&gt;0")</f>
        <v>63.51502963541666</v>
      </c>
      <c r="O2" s="6">
        <f>AVERAGEIF(O6:O503,"&gt;0")</f>
        <v>57.947457203389817</v>
      </c>
      <c r="P2" s="6">
        <f>AVERAGEIF(P6:P503,"&gt;0")</f>
        <v>54.465554920634936</v>
      </c>
      <c r="Q2" s="6">
        <f>AVERAGEIF(Q6:Q503,"&gt;0")</f>
        <v>51.72910000000001</v>
      </c>
      <c r="R2" s="6">
        <f>AVERAGEIF(R6:R503,"&gt;0")</f>
        <v>63.644521428571423</v>
      </c>
      <c r="S2" s="6">
        <f>AVERAGEIF(S6:S503,"&gt;0")</f>
        <v>52.648420000000002</v>
      </c>
    </row>
    <row r="3" spans="1:22">
      <c r="A3" s="4" t="s">
        <v>1</v>
      </c>
      <c r="B3" s="4" t="str">
        <f>[1]ALL!A1</f>
        <v>Team</v>
      </c>
      <c r="C3" s="4" t="str">
        <f>[1]ALL!B1</f>
        <v>Name</v>
      </c>
      <c r="D3" s="4" t="str">
        <f>[1]ALL!C1</f>
        <v>Org</v>
      </c>
      <c r="E3" s="4" t="str">
        <f>[1]ALL!D1</f>
        <v>Location</v>
      </c>
      <c r="F3" s="7" t="str">
        <f>[1]ALL!E1</f>
        <v>Drv_skills</v>
      </c>
      <c r="G3" s="7" t="str">
        <f>[1]ALL!F1</f>
        <v>Prg_skills</v>
      </c>
      <c r="H3" s="7" t="str">
        <f>[1]ALL!G1</f>
        <v>Opr_max</v>
      </c>
      <c r="I3" s="5" t="str">
        <f>[1]ALL!H1</f>
        <v>Opr_last</v>
      </c>
      <c r="J3" s="5" t="str">
        <f>[1]ALL!I1</f>
        <v>Opr-1</v>
      </c>
      <c r="K3" s="5" t="str">
        <f>[1]ALL!J1</f>
        <v>Opr-2</v>
      </c>
      <c r="L3" s="5" t="str">
        <f>[1]ALL!K1</f>
        <v>Opr-3</v>
      </c>
      <c r="M3" s="5" t="str">
        <f>[1]ALL!L1</f>
        <v>Opr-4</v>
      </c>
      <c r="N3" s="5" t="str">
        <f>[1]ALL!M1</f>
        <v>Opr-5</v>
      </c>
      <c r="O3" s="5">
        <f>[1]ALL!N1</f>
        <v>0</v>
      </c>
      <c r="P3" s="5">
        <f>[1]ALL!O1</f>
        <v>0</v>
      </c>
      <c r="Q3" s="5">
        <f>[1]ALL!P1</f>
        <v>0</v>
      </c>
      <c r="R3" s="5">
        <f>[1]ALL!Q1</f>
        <v>0</v>
      </c>
      <c r="S3" s="11">
        <f>[1]ALL!R497</f>
        <v>0</v>
      </c>
      <c r="T3" s="9"/>
      <c r="U3" s="9"/>
      <c r="V3" s="10"/>
    </row>
    <row r="4" spans="1:22">
      <c r="A4" s="2">
        <v>204</v>
      </c>
      <c r="B4" s="1" t="str">
        <f>[1]ALL!A205</f>
        <v>3285B</v>
      </c>
      <c r="C4" s="2" t="str">
        <f>[1]ALL!B205</f>
        <v>Central China Team</v>
      </c>
      <c r="D4" s="2" t="str">
        <f>[1]ALL!C205</f>
        <v>Central China Team</v>
      </c>
      <c r="E4" s="2" t="str">
        <f>[1]ALL!D205</f>
        <v>Xi'an, N/A, China</v>
      </c>
      <c r="F4" s="8">
        <f>[1]ALL!E205</f>
        <v>0</v>
      </c>
      <c r="G4" s="8">
        <f>[1]ALL!F205</f>
        <v>386</v>
      </c>
      <c r="H4" s="8">
        <f>[1]ALL!G205</f>
        <v>0</v>
      </c>
      <c r="I4" s="11">
        <f>[1]ALL!H205</f>
        <v>0</v>
      </c>
      <c r="J4" s="11">
        <f>[1]ALL!I205</f>
        <v>0</v>
      </c>
      <c r="K4" s="11">
        <f>[1]ALL!J205</f>
        <v>0</v>
      </c>
      <c r="L4" s="11">
        <f>[1]ALL!K205</f>
        <v>0</v>
      </c>
      <c r="M4" s="11">
        <f>[1]ALL!L205</f>
        <v>0</v>
      </c>
      <c r="N4" s="11">
        <f>[1]ALL!M205</f>
        <v>0</v>
      </c>
      <c r="O4" s="11">
        <f>[1]ALL!N205</f>
        <v>0</v>
      </c>
      <c r="P4" s="11">
        <f>[1]ALL!O205</f>
        <v>0</v>
      </c>
      <c r="Q4" s="11">
        <f>[1]ALL!P205</f>
        <v>0</v>
      </c>
      <c r="R4" s="11">
        <f>[1]ALL!Q205</f>
        <v>0</v>
      </c>
      <c r="S4" s="11">
        <f>[1]ALL!R500</f>
        <v>0</v>
      </c>
      <c r="T4" s="9"/>
      <c r="U4" s="9"/>
      <c r="V4" s="10"/>
    </row>
    <row r="5" spans="1:22">
      <c r="A5" s="2">
        <v>484</v>
      </c>
      <c r="B5" s="1" t="str">
        <f>[1]ALL!A485</f>
        <v>32016A</v>
      </c>
      <c r="C5" s="2" t="str">
        <f>[1]ALL!B485</f>
        <v>North China Team</v>
      </c>
      <c r="D5" s="2" t="str">
        <f>[1]ALL!C485</f>
        <v>North China Team</v>
      </c>
      <c r="E5" s="2" t="str">
        <f>[1]ALL!D485</f>
        <v>Xi'an, N/A, China</v>
      </c>
      <c r="F5" s="8">
        <f>[1]ALL!E485</f>
        <v>0</v>
      </c>
      <c r="G5" s="8">
        <f>[1]ALL!F485</f>
        <v>357</v>
      </c>
      <c r="H5" s="8">
        <f>[1]ALL!G485</f>
        <v>0</v>
      </c>
      <c r="I5" s="11">
        <f>[1]ALL!H485</f>
        <v>0</v>
      </c>
      <c r="J5" s="11">
        <f>[1]ALL!I485</f>
        <v>0</v>
      </c>
      <c r="K5" s="11">
        <f>[1]ALL!J485</f>
        <v>0</v>
      </c>
      <c r="L5" s="11">
        <f>[1]ALL!K485</f>
        <v>0</v>
      </c>
      <c r="M5" s="11">
        <f>[1]ALL!L485</f>
        <v>0</v>
      </c>
      <c r="N5" s="11">
        <f>[1]ALL!M485</f>
        <v>0</v>
      </c>
      <c r="O5" s="11">
        <f>[1]ALL!N485</f>
        <v>0</v>
      </c>
      <c r="P5" s="11">
        <f>[1]ALL!O485</f>
        <v>0</v>
      </c>
      <c r="Q5" s="11">
        <f>[1]ALL!P485</f>
        <v>0</v>
      </c>
      <c r="R5" s="11">
        <f>[1]ALL!Q485</f>
        <v>0</v>
      </c>
      <c r="S5" s="5">
        <f>[1]ALL!R1</f>
        <v>0</v>
      </c>
    </row>
    <row r="6" spans="1:22">
      <c r="A6" s="2">
        <v>205</v>
      </c>
      <c r="B6" s="1" t="str">
        <f>[1]ALL!A206</f>
        <v>3285D</v>
      </c>
      <c r="C6" s="2" t="str">
        <f>[1]ALL!B206</f>
        <v>West China Team</v>
      </c>
      <c r="D6" s="2" t="str">
        <f>[1]ALL!C206</f>
        <v>West China Team</v>
      </c>
      <c r="E6" s="2" t="str">
        <f>[1]ALL!D206</f>
        <v>Xi'an, N/A, China</v>
      </c>
      <c r="F6" s="8">
        <f>[1]ALL!E206</f>
        <v>0</v>
      </c>
      <c r="G6" s="8">
        <f>[1]ALL!F206</f>
        <v>356</v>
      </c>
      <c r="H6" s="8">
        <f>[1]ALL!G206</f>
        <v>0</v>
      </c>
      <c r="I6" s="11">
        <f>[1]ALL!H206</f>
        <v>0</v>
      </c>
      <c r="J6" s="11">
        <f>[1]ALL!I206</f>
        <v>0</v>
      </c>
      <c r="K6" s="11">
        <f>[1]ALL!J206</f>
        <v>0</v>
      </c>
      <c r="L6" s="11">
        <f>[1]ALL!K206</f>
        <v>0</v>
      </c>
      <c r="M6" s="11">
        <f>[1]ALL!L206</f>
        <v>0</v>
      </c>
      <c r="N6" s="11">
        <f>[1]ALL!M206</f>
        <v>0</v>
      </c>
      <c r="O6" s="11">
        <f>[1]ALL!N206</f>
        <v>0</v>
      </c>
      <c r="P6" s="11">
        <f>[1]ALL!O206</f>
        <v>0</v>
      </c>
      <c r="Q6" s="11">
        <f>[1]ALL!P206</f>
        <v>0</v>
      </c>
      <c r="R6" s="11">
        <f>[1]ALL!Q206</f>
        <v>0</v>
      </c>
      <c r="S6" s="11">
        <f>[1]ALL!R2</f>
        <v>0</v>
      </c>
      <c r="T6" s="9"/>
      <c r="U6" s="9"/>
      <c r="V6" s="10"/>
    </row>
    <row r="7" spans="1:22">
      <c r="A7" s="2">
        <v>396</v>
      </c>
      <c r="B7" s="1" t="str">
        <f>[1]ALL!A397</f>
        <v>7972D</v>
      </c>
      <c r="C7" s="2" t="str">
        <f>[1]ALL!B397</f>
        <v>Gaoxin NO.1 HSch D</v>
      </c>
      <c r="D7" s="2" t="str">
        <f>[1]ALL!C397</f>
        <v>Xi'an Gaoxin NO.1 High School</v>
      </c>
      <c r="E7" s="2" t="str">
        <f>[1]ALL!D397</f>
        <v>xi'an, Not Applicable or Not Listed, China</v>
      </c>
      <c r="F7" s="8">
        <f>[1]ALL!E397</f>
        <v>300</v>
      </c>
      <c r="G7" s="8">
        <f>[1]ALL!F397</f>
        <v>335</v>
      </c>
      <c r="H7" s="8">
        <f>[1]ALL!G397</f>
        <v>59.1907</v>
      </c>
      <c r="I7" s="11">
        <f>[1]ALL!H397</f>
        <v>59.1907</v>
      </c>
      <c r="J7" s="11">
        <f>[1]ALL!I397</f>
        <v>0</v>
      </c>
      <c r="K7" s="11">
        <f>[1]ALL!J397</f>
        <v>0</v>
      </c>
      <c r="L7" s="11">
        <f>[1]ALL!K397</f>
        <v>0</v>
      </c>
      <c r="M7" s="11">
        <f>[1]ALL!L397</f>
        <v>0</v>
      </c>
      <c r="N7" s="11">
        <f>[1]ALL!M397</f>
        <v>0</v>
      </c>
      <c r="O7" s="11">
        <f>[1]ALL!N397</f>
        <v>0</v>
      </c>
      <c r="P7" s="11">
        <f>[1]ALL!O397</f>
        <v>0</v>
      </c>
      <c r="Q7" s="11">
        <f>[1]ALL!P397</f>
        <v>0</v>
      </c>
      <c r="R7" s="11">
        <f>[1]ALL!Q397</f>
        <v>0</v>
      </c>
      <c r="S7" s="11">
        <f>[1]ALL!R3</f>
        <v>0</v>
      </c>
      <c r="T7" s="9"/>
      <c r="U7" s="9"/>
      <c r="V7" s="10"/>
    </row>
    <row r="8" spans="1:22">
      <c r="A8" s="2">
        <v>449</v>
      </c>
      <c r="B8" s="1" t="str">
        <f>[1]ALL!A450</f>
        <v>9090A</v>
      </c>
      <c r="C8" s="2" t="str">
        <f>[1]ALL!B450</f>
        <v>T-VEX</v>
      </c>
      <c r="D8" s="2" t="str">
        <f>[1]ALL!C450</f>
        <v>The Mandarin Chinese School</v>
      </c>
      <c r="E8" s="2" t="str">
        <f>[1]ALL!D450</f>
        <v>Arlington, Texas, United States</v>
      </c>
      <c r="F8" s="8">
        <f>[1]ALL!E450</f>
        <v>335</v>
      </c>
      <c r="G8" s="8">
        <f>[1]ALL!F450</f>
        <v>330</v>
      </c>
      <c r="H8" s="8">
        <f>[1]ALL!G450</f>
        <v>180.12799999999999</v>
      </c>
      <c r="I8" s="11">
        <f>[1]ALL!H450</f>
        <v>86.697100000000006</v>
      </c>
      <c r="J8" s="11">
        <f>[1]ALL!I450</f>
        <v>180.12799999999999</v>
      </c>
      <c r="K8" s="11">
        <f>[1]ALL!J450</f>
        <v>169.27199999999999</v>
      </c>
      <c r="L8" s="11">
        <f>[1]ALL!K450</f>
        <v>168.69</v>
      </c>
      <c r="M8" s="11">
        <f>[1]ALL!L450</f>
        <v>91.366100000000003</v>
      </c>
      <c r="N8" s="11">
        <f>[1]ALL!M450</f>
        <v>76.163799999999995</v>
      </c>
      <c r="O8" s="11">
        <f>[1]ALL!N450</f>
        <v>0</v>
      </c>
      <c r="P8" s="11">
        <f>[1]ALL!O450</f>
        <v>0</v>
      </c>
      <c r="Q8" s="11">
        <f>[1]ALL!P450</f>
        <v>0</v>
      </c>
      <c r="R8" s="11">
        <f>[1]ALL!Q450</f>
        <v>0</v>
      </c>
      <c r="S8" s="11">
        <f>[1]ALL!R4</f>
        <v>0</v>
      </c>
      <c r="T8" s="9"/>
      <c r="U8" s="9"/>
      <c r="V8" s="10"/>
    </row>
    <row r="9" spans="1:22">
      <c r="A9" s="2">
        <v>162</v>
      </c>
      <c r="B9" s="1" t="str">
        <f>[1]ALL!A163</f>
        <v>2105A</v>
      </c>
      <c r="C9" s="2" t="str">
        <f>[1]ALL!B163</f>
        <v>Swampbotics</v>
      </c>
      <c r="D9" s="2" t="str">
        <f>[1]ALL!C163</f>
        <v>Ware County High School</v>
      </c>
      <c r="E9" s="2" t="str">
        <f>[1]ALL!D163</f>
        <v>Waycross, Georgia, United States</v>
      </c>
      <c r="F9" s="8">
        <f>[1]ALL!E163</f>
        <v>314</v>
      </c>
      <c r="G9" s="8">
        <f>[1]ALL!F163</f>
        <v>330</v>
      </c>
      <c r="H9" s="8">
        <f>[1]ALL!G163</f>
        <v>136.68</v>
      </c>
      <c r="I9" s="11">
        <f>[1]ALL!H163</f>
        <v>136.68</v>
      </c>
      <c r="J9" s="11">
        <f>[1]ALL!I163</f>
        <v>58.663600000000002</v>
      </c>
      <c r="K9" s="11">
        <f>[1]ALL!J163</f>
        <v>58.347099999999998</v>
      </c>
      <c r="L9" s="11">
        <f>[1]ALL!K163</f>
        <v>68.696299999999994</v>
      </c>
      <c r="M9" s="11">
        <f>[1]ALL!L163</f>
        <v>57.115600000000001</v>
      </c>
      <c r="N9" s="11">
        <f>[1]ALL!M163</f>
        <v>75.795500000000004</v>
      </c>
      <c r="O9" s="11">
        <f>[1]ALL!N163</f>
        <v>0</v>
      </c>
      <c r="P9" s="11">
        <f>[1]ALL!O163</f>
        <v>0</v>
      </c>
      <c r="Q9" s="11">
        <f>[1]ALL!P163</f>
        <v>0</v>
      </c>
      <c r="R9" s="11">
        <f>[1]ALL!Q163</f>
        <v>0</v>
      </c>
      <c r="S9" s="11">
        <f>[1]ALL!R5</f>
        <v>0</v>
      </c>
      <c r="T9" s="9"/>
      <c r="U9" s="9"/>
      <c r="V9" s="10"/>
    </row>
    <row r="10" spans="1:22">
      <c r="A10" s="2">
        <v>403</v>
      </c>
      <c r="B10" s="1" t="str">
        <f>[1]ALL!A404</f>
        <v>8059A</v>
      </c>
      <c r="C10" s="2" t="str">
        <f>[1]ALL!B404</f>
        <v>Blank.</v>
      </c>
      <c r="D10" s="2" t="str">
        <f>[1]ALL!C404</f>
        <v>Anglo-Chinese School (Independent)</v>
      </c>
      <c r="E10" s="2" t="str">
        <f>[1]ALL!D404</f>
        <v>Singapore, Not Applicable or Not Listed, Singapore</v>
      </c>
      <c r="F10" s="8">
        <f>[1]ALL!E404</f>
        <v>301</v>
      </c>
      <c r="G10" s="8">
        <f>[1]ALL!F404</f>
        <v>330</v>
      </c>
      <c r="H10" s="8">
        <f>[1]ALL!G404</f>
        <v>87.022999999999996</v>
      </c>
      <c r="I10" s="11">
        <f>[1]ALL!H404</f>
        <v>87.022999999999996</v>
      </c>
      <c r="J10" s="11">
        <f>[1]ALL!I404</f>
        <v>0</v>
      </c>
      <c r="K10" s="11">
        <f>[1]ALL!J404</f>
        <v>0</v>
      </c>
      <c r="L10" s="11">
        <f>[1]ALL!K404</f>
        <v>0</v>
      </c>
      <c r="M10" s="11">
        <f>[1]ALL!L404</f>
        <v>0</v>
      </c>
      <c r="N10" s="11">
        <f>[1]ALL!M404</f>
        <v>0</v>
      </c>
      <c r="O10" s="11">
        <f>[1]ALL!N404</f>
        <v>0</v>
      </c>
      <c r="P10" s="11">
        <f>[1]ALL!O404</f>
        <v>0</v>
      </c>
      <c r="Q10" s="11">
        <f>[1]ALL!P404</f>
        <v>0</v>
      </c>
      <c r="R10" s="11">
        <f>[1]ALL!Q404</f>
        <v>0</v>
      </c>
      <c r="S10" s="11">
        <f>[1]ALL!R6</f>
        <v>0</v>
      </c>
      <c r="T10" s="9"/>
      <c r="U10" s="9"/>
      <c r="V10" s="10"/>
    </row>
    <row r="11" spans="1:22">
      <c r="A11" s="2">
        <v>405</v>
      </c>
      <c r="B11" s="1" t="str">
        <f>[1]ALL!A406</f>
        <v>8059D</v>
      </c>
      <c r="C11" s="2" t="str">
        <f>[1]ALL!B406</f>
        <v>Blank.</v>
      </c>
      <c r="D11" s="2" t="str">
        <f>[1]ALL!C406</f>
        <v>Anglo-Chinese School (Independent)</v>
      </c>
      <c r="E11" s="2" t="str">
        <f>[1]ALL!D406</f>
        <v>Singapore, Not Applicable or Not Listed, Singapore</v>
      </c>
      <c r="F11" s="8">
        <f>[1]ALL!E406</f>
        <v>0</v>
      </c>
      <c r="G11" s="8">
        <f>[1]ALL!F406</f>
        <v>330</v>
      </c>
      <c r="H11" s="8">
        <f>[1]ALL!G406</f>
        <v>29.282299999999999</v>
      </c>
      <c r="I11" s="11">
        <f>[1]ALL!H406</f>
        <v>29.282299999999999</v>
      </c>
      <c r="J11" s="11">
        <f>[1]ALL!I406</f>
        <v>0</v>
      </c>
      <c r="K11" s="11">
        <f>[1]ALL!J406</f>
        <v>0</v>
      </c>
      <c r="L11" s="11">
        <f>[1]ALL!K406</f>
        <v>0</v>
      </c>
      <c r="M11" s="11">
        <f>[1]ALL!L406</f>
        <v>0</v>
      </c>
      <c r="N11" s="11">
        <f>[1]ALL!M406</f>
        <v>0</v>
      </c>
      <c r="O11" s="11">
        <f>[1]ALL!N406</f>
        <v>0</v>
      </c>
      <c r="P11" s="11">
        <f>[1]ALL!O406</f>
        <v>0</v>
      </c>
      <c r="Q11" s="11">
        <f>[1]ALL!P406</f>
        <v>0</v>
      </c>
      <c r="R11" s="11">
        <f>[1]ALL!Q406</f>
        <v>0</v>
      </c>
      <c r="S11" s="11">
        <f>[1]ALL!R7</f>
        <v>0</v>
      </c>
      <c r="T11" s="9"/>
      <c r="U11" s="9"/>
      <c r="V11" s="10"/>
    </row>
    <row r="12" spans="1:22">
      <c r="A12" s="2">
        <v>138</v>
      </c>
      <c r="B12" s="1" t="str">
        <f>[1]ALL!A139</f>
        <v>1497K</v>
      </c>
      <c r="C12" s="2" t="str">
        <f>[1]ALL!B139</f>
        <v>Design Academy</v>
      </c>
      <c r="D12" s="2" t="str">
        <f>[1]ALL!C139</f>
        <v>Utah State University//Design Academy</v>
      </c>
      <c r="E12" s="2" t="str">
        <f>[1]ALL!D139</f>
        <v>Logan, Utah, United States</v>
      </c>
      <c r="F12" s="8">
        <f>[1]ALL!E139</f>
        <v>229</v>
      </c>
      <c r="G12" s="8">
        <f>[1]ALL!F139</f>
        <v>326</v>
      </c>
      <c r="H12" s="8">
        <f>[1]ALL!G139</f>
        <v>157.73699999999999</v>
      </c>
      <c r="I12" s="11">
        <f>[1]ALL!H139</f>
        <v>109.684</v>
      </c>
      <c r="J12" s="11">
        <f>[1]ALL!I139</f>
        <v>60.592399999999998</v>
      </c>
      <c r="K12" s="11">
        <f>[1]ALL!J139</f>
        <v>157.73699999999999</v>
      </c>
      <c r="L12" s="11">
        <f>[1]ALL!K139</f>
        <v>138.79900000000001</v>
      </c>
      <c r="M12" s="11">
        <f>[1]ALL!L139</f>
        <v>80.434299999999993</v>
      </c>
      <c r="N12" s="11">
        <f>[1]ALL!M139</f>
        <v>104.747</v>
      </c>
      <c r="O12" s="11">
        <f>[1]ALL!N139</f>
        <v>49.601700000000001</v>
      </c>
      <c r="P12" s="11">
        <f>[1]ALL!O139</f>
        <v>37.124400000000001</v>
      </c>
      <c r="Q12" s="11">
        <f>[1]ALL!P139</f>
        <v>26.6127</v>
      </c>
      <c r="R12" s="11">
        <f>[1]ALL!Q139</f>
        <v>0</v>
      </c>
      <c r="S12" s="11">
        <f>[1]ALL!R8</f>
        <v>0</v>
      </c>
      <c r="T12" s="9"/>
      <c r="U12" s="9"/>
      <c r="V12" s="10"/>
    </row>
    <row r="13" spans="1:22">
      <c r="A13" s="2">
        <v>161</v>
      </c>
      <c r="B13" s="1" t="str">
        <f>[1]ALL!A162</f>
        <v>2059A</v>
      </c>
      <c r="C13" s="2" t="str">
        <f>[1]ALL!B162</f>
        <v>Matadors</v>
      </c>
      <c r="D13" s="2" t="str">
        <f>[1]ALL!C162</f>
        <v>Mira Loma High School</v>
      </c>
      <c r="E13" s="2" t="str">
        <f>[1]ALL!D162</f>
        <v>Sacramento, California, United States</v>
      </c>
      <c r="F13" s="8">
        <f>[1]ALL!E162</f>
        <v>248</v>
      </c>
      <c r="G13" s="8">
        <f>[1]ALL!F162</f>
        <v>325</v>
      </c>
      <c r="H13" s="8">
        <f>[1]ALL!G162</f>
        <v>63.3688</v>
      </c>
      <c r="I13" s="11">
        <f>[1]ALL!H162</f>
        <v>30.977799999999998</v>
      </c>
      <c r="J13" s="11">
        <f>[1]ALL!I162</f>
        <v>19.994499999999999</v>
      </c>
      <c r="K13" s="11">
        <f>[1]ALL!J162</f>
        <v>42.509500000000003</v>
      </c>
      <c r="L13" s="11">
        <f>[1]ALL!K162</f>
        <v>63.3688</v>
      </c>
      <c r="M13" s="11">
        <f>[1]ALL!L162</f>
        <v>0</v>
      </c>
      <c r="N13" s="11">
        <f>[1]ALL!M162</f>
        <v>0</v>
      </c>
      <c r="O13" s="11">
        <f>[1]ALL!N162</f>
        <v>0</v>
      </c>
      <c r="P13" s="11">
        <f>[1]ALL!O162</f>
        <v>0</v>
      </c>
      <c r="Q13" s="11">
        <f>[1]ALL!P162</f>
        <v>0</v>
      </c>
      <c r="R13" s="11">
        <f>[1]ALL!Q162</f>
        <v>0</v>
      </c>
      <c r="S13" s="11">
        <f>[1]ALL!R9</f>
        <v>0</v>
      </c>
      <c r="T13" s="9"/>
      <c r="U13" s="9"/>
      <c r="V13" s="10"/>
    </row>
    <row r="14" spans="1:22">
      <c r="A14" s="2">
        <v>151</v>
      </c>
      <c r="B14" s="1" t="str">
        <f>[1]ALL!A152</f>
        <v>1826</v>
      </c>
      <c r="C14" s="2" t="str">
        <f>[1]ALL!B152</f>
        <v>The Fuse</v>
      </c>
      <c r="D14" s="2" t="str">
        <f>[1]ALL!C152</f>
        <v>Faith Christian Academy</v>
      </c>
      <c r="E14" s="2" t="str">
        <f>[1]ALL!D152</f>
        <v>Arvada, Colorado, United States</v>
      </c>
      <c r="F14" s="8">
        <f>[1]ALL!E152</f>
        <v>286</v>
      </c>
      <c r="G14" s="8">
        <f>[1]ALL!F152</f>
        <v>321</v>
      </c>
      <c r="H14" s="8">
        <f>[1]ALL!G152</f>
        <v>117.806</v>
      </c>
      <c r="I14" s="11">
        <f>[1]ALL!H152</f>
        <v>104.565</v>
      </c>
      <c r="J14" s="11">
        <f>[1]ALL!I152</f>
        <v>113.861</v>
      </c>
      <c r="K14" s="11">
        <f>[1]ALL!J152</f>
        <v>105.074</v>
      </c>
      <c r="L14" s="11">
        <f>[1]ALL!K152</f>
        <v>117.806</v>
      </c>
      <c r="M14" s="11">
        <f>[1]ALL!L152</f>
        <v>78.166799999999995</v>
      </c>
      <c r="N14" s="11">
        <f>[1]ALL!M152</f>
        <v>0</v>
      </c>
      <c r="O14" s="11">
        <f>[1]ALL!N152</f>
        <v>0</v>
      </c>
      <c r="P14" s="11">
        <f>[1]ALL!O152</f>
        <v>0</v>
      </c>
      <c r="Q14" s="11">
        <f>[1]ALL!P152</f>
        <v>0</v>
      </c>
      <c r="R14" s="11">
        <f>[1]ALL!Q152</f>
        <v>0</v>
      </c>
      <c r="S14" s="11">
        <f>[1]ALL!R10</f>
        <v>0</v>
      </c>
      <c r="T14" s="9"/>
      <c r="U14" s="9"/>
      <c r="V14" s="10"/>
    </row>
    <row r="15" spans="1:22">
      <c r="A15" s="2">
        <v>282</v>
      </c>
      <c r="B15" s="1" t="str">
        <f>[1]ALL!A283</f>
        <v>5327D</v>
      </c>
      <c r="C15" s="2" t="str">
        <f>[1]ALL!B283</f>
        <v>Gael Force</v>
      </c>
      <c r="D15" s="2" t="str">
        <f>[1]ALL!C283</f>
        <v>Dublin High School</v>
      </c>
      <c r="E15" s="2" t="str">
        <f>[1]ALL!D283</f>
        <v>Dublin, California, United States</v>
      </c>
      <c r="F15" s="8">
        <f>[1]ALL!E283</f>
        <v>270</v>
      </c>
      <c r="G15" s="8">
        <f>[1]ALL!F283</f>
        <v>321</v>
      </c>
      <c r="H15" s="8">
        <f>[1]ALL!G283</f>
        <v>86.104200000000006</v>
      </c>
      <c r="I15" s="11">
        <f>[1]ALL!H283</f>
        <v>71.400400000000005</v>
      </c>
      <c r="J15" s="11">
        <f>[1]ALL!I283</f>
        <v>86.104200000000006</v>
      </c>
      <c r="K15" s="11">
        <f>[1]ALL!J283</f>
        <v>14.3674</v>
      </c>
      <c r="L15" s="11">
        <f>[1]ALL!K283</f>
        <v>84.800799999999995</v>
      </c>
      <c r="M15" s="11">
        <f>[1]ALL!L283</f>
        <v>51.688899999999997</v>
      </c>
      <c r="N15" s="11">
        <f>[1]ALL!M283</f>
        <v>36.859099999999998</v>
      </c>
      <c r="O15" s="11">
        <f>[1]ALL!N283</f>
        <v>4.01694</v>
      </c>
      <c r="P15" s="11">
        <f>[1]ALL!O283</f>
        <v>0</v>
      </c>
      <c r="Q15" s="11">
        <f>[1]ALL!P283</f>
        <v>0</v>
      </c>
      <c r="R15" s="11">
        <f>[1]ALL!Q283</f>
        <v>0</v>
      </c>
      <c r="S15" s="11">
        <f>[1]ALL!R11</f>
        <v>0</v>
      </c>
      <c r="T15" s="9"/>
      <c r="U15" s="9"/>
      <c r="V15" s="10"/>
    </row>
    <row r="16" spans="1:22">
      <c r="A16" s="2">
        <v>299</v>
      </c>
      <c r="B16" s="1" t="str">
        <f>[1]ALL!A300</f>
        <v>5772</v>
      </c>
      <c r="C16" s="2" t="str">
        <f>[1]ALL!B300</f>
        <v>Eaglebots</v>
      </c>
      <c r="D16" s="2" t="str">
        <f>[1]ALL!C300</f>
        <v>The Harker School</v>
      </c>
      <c r="E16" s="2" t="str">
        <f>[1]ALL!D300</f>
        <v>Santa Clara, California, United States</v>
      </c>
      <c r="F16" s="8">
        <f>[1]ALL!E300</f>
        <v>234</v>
      </c>
      <c r="G16" s="8">
        <f>[1]ALL!F300</f>
        <v>321</v>
      </c>
      <c r="H16" s="8">
        <f>[1]ALL!G300</f>
        <v>100.206</v>
      </c>
      <c r="I16" s="11">
        <f>[1]ALL!H300</f>
        <v>64.331699999999998</v>
      </c>
      <c r="J16" s="11">
        <f>[1]ALL!I300</f>
        <v>60.6755</v>
      </c>
      <c r="K16" s="11">
        <f>[1]ALL!J300</f>
        <v>83.318899999999999</v>
      </c>
      <c r="L16" s="11">
        <f>[1]ALL!K300</f>
        <v>89.441900000000004</v>
      </c>
      <c r="M16" s="11">
        <f>[1]ALL!L300</f>
        <v>100.206</v>
      </c>
      <c r="N16" s="11">
        <f>[1]ALL!M300</f>
        <v>62.490499999999997</v>
      </c>
      <c r="O16" s="11">
        <f>[1]ALL!N300</f>
        <v>39.758800000000001</v>
      </c>
      <c r="P16" s="11">
        <f>[1]ALL!O300</f>
        <v>60.731299999999997</v>
      </c>
      <c r="Q16" s="11">
        <f>[1]ALL!P300</f>
        <v>48.259</v>
      </c>
      <c r="R16" s="11">
        <f>[1]ALL!Q300</f>
        <v>0</v>
      </c>
      <c r="S16" s="11">
        <f>[1]ALL!R12</f>
        <v>0</v>
      </c>
      <c r="T16" s="9"/>
      <c r="U16" s="9"/>
      <c r="V16" s="10"/>
    </row>
    <row r="17" spans="1:22">
      <c r="A17" s="2">
        <v>250</v>
      </c>
      <c r="B17" s="1" t="str">
        <f>[1]ALL!A251</f>
        <v>4659A</v>
      </c>
      <c r="C17" s="2" t="str">
        <f>[1]ALL!B251</f>
        <v>Warrior Robotix A</v>
      </c>
      <c r="D17" s="2" t="str">
        <f>[1]ALL!C251</f>
        <v>Port Credit Secondary School</v>
      </c>
      <c r="E17" s="2" t="str">
        <f>[1]ALL!D251</f>
        <v>Mississauga, Ontario, Canada</v>
      </c>
      <c r="F17" s="8">
        <f>[1]ALL!E251</f>
        <v>348</v>
      </c>
      <c r="G17" s="8">
        <f>[1]ALL!F251</f>
        <v>320</v>
      </c>
      <c r="H17" s="8">
        <f>[1]ALL!G251</f>
        <v>139.797</v>
      </c>
      <c r="I17" s="11">
        <f>[1]ALL!H251</f>
        <v>139.797</v>
      </c>
      <c r="J17" s="11">
        <f>[1]ALL!I251</f>
        <v>96.647499999999994</v>
      </c>
      <c r="K17" s="11">
        <f>[1]ALL!J251</f>
        <v>128.68199999999999</v>
      </c>
      <c r="L17" s="11">
        <f>[1]ALL!K251</f>
        <v>113.04300000000001</v>
      </c>
      <c r="M17" s="11">
        <f>[1]ALL!L251</f>
        <v>68.163600000000002</v>
      </c>
      <c r="N17" s="11">
        <f>[1]ALL!M251</f>
        <v>0</v>
      </c>
      <c r="O17" s="11">
        <f>[1]ALL!N251</f>
        <v>0</v>
      </c>
      <c r="P17" s="11">
        <f>[1]ALL!O251</f>
        <v>0</v>
      </c>
      <c r="Q17" s="11">
        <f>[1]ALL!P251</f>
        <v>0</v>
      </c>
      <c r="R17" s="11">
        <f>[1]ALL!Q251</f>
        <v>0</v>
      </c>
      <c r="S17" s="11">
        <f>[1]ALL!R13</f>
        <v>0</v>
      </c>
      <c r="T17" s="9"/>
      <c r="U17" s="9"/>
      <c r="V17" s="10"/>
    </row>
    <row r="18" spans="1:22">
      <c r="A18" s="2">
        <v>228</v>
      </c>
      <c r="B18" s="1" t="str">
        <f>[1]ALL!A229</f>
        <v>4104A</v>
      </c>
      <c r="C18" s="2" t="str">
        <f>[1]ALL!B229</f>
        <v>Trojan Pride A</v>
      </c>
      <c r="D18" s="2" t="str">
        <f>[1]ALL!C229</f>
        <v>North Hardin High School PLTW</v>
      </c>
      <c r="E18" s="2" t="str">
        <f>[1]ALL!D229</f>
        <v>Radcliff, Kentucky, United States</v>
      </c>
      <c r="F18" s="8">
        <f>[1]ALL!E229</f>
        <v>320</v>
      </c>
      <c r="G18" s="8">
        <f>[1]ALL!F229</f>
        <v>320</v>
      </c>
      <c r="H18" s="8">
        <f>[1]ALL!G229</f>
        <v>122.85899999999999</v>
      </c>
      <c r="I18" s="11">
        <f>[1]ALL!H229</f>
        <v>122.85899999999999</v>
      </c>
      <c r="J18" s="11">
        <f>[1]ALL!I229</f>
        <v>90.794700000000006</v>
      </c>
      <c r="K18" s="11">
        <f>[1]ALL!J229</f>
        <v>75.221999999999994</v>
      </c>
      <c r="L18" s="11">
        <f>[1]ALL!K229</f>
        <v>109.41200000000001</v>
      </c>
      <c r="M18" s="11">
        <f>[1]ALL!L229</f>
        <v>26.7666</v>
      </c>
      <c r="N18" s="11">
        <f>[1]ALL!M229</f>
        <v>0</v>
      </c>
      <c r="O18" s="11">
        <f>[1]ALL!N229</f>
        <v>0</v>
      </c>
      <c r="P18" s="11">
        <f>[1]ALL!O229</f>
        <v>0</v>
      </c>
      <c r="Q18" s="11">
        <f>[1]ALL!P229</f>
        <v>0</v>
      </c>
      <c r="R18" s="11">
        <f>[1]ALL!Q229</f>
        <v>0</v>
      </c>
      <c r="S18" s="11">
        <f>[1]ALL!R14</f>
        <v>0</v>
      </c>
      <c r="T18" s="9"/>
      <c r="U18" s="9"/>
      <c r="V18" s="10"/>
    </row>
    <row r="19" spans="1:22">
      <c r="A19" s="2">
        <v>163</v>
      </c>
      <c r="B19" s="1" t="str">
        <f>[1]ALL!A164</f>
        <v>2105C</v>
      </c>
      <c r="C19" s="2" t="str">
        <f>[1]ALL!B164</f>
        <v>Swampbotics</v>
      </c>
      <c r="D19" s="2" t="str">
        <f>[1]ALL!C164</f>
        <v>Ware County High School</v>
      </c>
      <c r="E19" s="2" t="str">
        <f>[1]ALL!D164</f>
        <v>Waycross, Georgia, United States</v>
      </c>
      <c r="F19" s="8">
        <f>[1]ALL!E164</f>
        <v>279</v>
      </c>
      <c r="G19" s="8">
        <f>[1]ALL!F164</f>
        <v>320</v>
      </c>
      <c r="H19" s="8">
        <f>[1]ALL!G164</f>
        <v>96.957400000000007</v>
      </c>
      <c r="I19" s="11">
        <f>[1]ALL!H164</f>
        <v>61.325899999999997</v>
      </c>
      <c r="J19" s="11">
        <f>[1]ALL!I164</f>
        <v>92.936700000000002</v>
      </c>
      <c r="K19" s="11">
        <f>[1]ALL!J164</f>
        <v>95.884699999999995</v>
      </c>
      <c r="L19" s="11">
        <f>[1]ALL!K164</f>
        <v>96.957400000000007</v>
      </c>
      <c r="M19" s="11">
        <f>[1]ALL!L164</f>
        <v>51.7883</v>
      </c>
      <c r="N19" s="11">
        <f>[1]ALL!M164</f>
        <v>0</v>
      </c>
      <c r="O19" s="11">
        <f>[1]ALL!N164</f>
        <v>0</v>
      </c>
      <c r="P19" s="11">
        <f>[1]ALL!O164</f>
        <v>0</v>
      </c>
      <c r="Q19" s="11">
        <f>[1]ALL!P164</f>
        <v>0</v>
      </c>
      <c r="R19" s="11">
        <f>[1]ALL!Q164</f>
        <v>0</v>
      </c>
      <c r="S19" s="11">
        <f>[1]ALL!R15</f>
        <v>0</v>
      </c>
      <c r="T19" s="9"/>
      <c r="U19" s="9"/>
      <c r="V19" s="10"/>
    </row>
    <row r="20" spans="1:22">
      <c r="A20" s="2">
        <v>277</v>
      </c>
      <c r="B20" s="1" t="str">
        <f>[1]ALL!A278</f>
        <v>5225A</v>
      </c>
      <c r="C20" s="2" t="str">
        <f>[1]ALL!B278</f>
        <v>E-Bots Pilons</v>
      </c>
      <c r="D20" s="2" t="str">
        <f>[1]ALL!C278</f>
        <v>E-Bots</v>
      </c>
      <c r="E20" s="2" t="str">
        <f>[1]ALL!D278</f>
        <v>Oakville, Ontario, Canada</v>
      </c>
      <c r="F20" s="8">
        <f>[1]ALL!E278</f>
        <v>227</v>
      </c>
      <c r="G20" s="8">
        <f>[1]ALL!F278</f>
        <v>320</v>
      </c>
      <c r="H20" s="8">
        <f>[1]ALL!G278</f>
        <v>84.736699999999999</v>
      </c>
      <c r="I20" s="11">
        <f>[1]ALL!H278</f>
        <v>61.508400000000002</v>
      </c>
      <c r="J20" s="11">
        <f>[1]ALL!I278</f>
        <v>84.736699999999999</v>
      </c>
      <c r="K20" s="11">
        <f>[1]ALL!J278</f>
        <v>59.034799999999997</v>
      </c>
      <c r="L20" s="11">
        <f>[1]ALL!K278</f>
        <v>0</v>
      </c>
      <c r="M20" s="11">
        <f>[1]ALL!L278</f>
        <v>0</v>
      </c>
      <c r="N20" s="11">
        <f>[1]ALL!M278</f>
        <v>0</v>
      </c>
      <c r="O20" s="11">
        <f>[1]ALL!N278</f>
        <v>0</v>
      </c>
      <c r="P20" s="11">
        <f>[1]ALL!O278</f>
        <v>0</v>
      </c>
      <c r="Q20" s="11">
        <f>[1]ALL!P278</f>
        <v>0</v>
      </c>
      <c r="R20" s="11">
        <f>[1]ALL!Q278</f>
        <v>0</v>
      </c>
      <c r="S20" s="11">
        <f>[1]ALL!R16</f>
        <v>0</v>
      </c>
      <c r="T20" s="9"/>
      <c r="U20" s="9"/>
      <c r="V20" s="10"/>
    </row>
    <row r="21" spans="1:22">
      <c r="A21" s="2">
        <v>224</v>
      </c>
      <c r="B21" s="1" t="str">
        <f>[1]ALL!A225</f>
        <v>3946W</v>
      </c>
      <c r="C21" s="2" t="str">
        <f>[1]ALL!B225</f>
        <v>Sun Devils</v>
      </c>
      <c r="D21" s="2" t="str">
        <f>[1]ALL!C225</f>
        <v>Kent Denver School</v>
      </c>
      <c r="E21" s="2" t="str">
        <f>[1]ALL!D225</f>
        <v>Englewood, Colorado, United States</v>
      </c>
      <c r="F21" s="8">
        <f>[1]ALL!E225</f>
        <v>194</v>
      </c>
      <c r="G21" s="8">
        <f>[1]ALL!F225</f>
        <v>320</v>
      </c>
      <c r="H21" s="8">
        <f>[1]ALL!G225</f>
        <v>85.489699999999999</v>
      </c>
      <c r="I21" s="11">
        <f>[1]ALL!H225</f>
        <v>67.125799999999998</v>
      </c>
      <c r="J21" s="11">
        <f>[1]ALL!I225</f>
        <v>85.489699999999999</v>
      </c>
      <c r="K21" s="11">
        <f>[1]ALL!J225</f>
        <v>56.720399999999998</v>
      </c>
      <c r="L21" s="11">
        <f>[1]ALL!K225</f>
        <v>72.283900000000003</v>
      </c>
      <c r="M21" s="11">
        <f>[1]ALL!L225</f>
        <v>3.5691600000000001</v>
      </c>
      <c r="N21" s="11">
        <f>[1]ALL!M225</f>
        <v>21.238800000000001</v>
      </c>
      <c r="O21" s="11">
        <f>[1]ALL!N225</f>
        <v>0</v>
      </c>
      <c r="P21" s="11">
        <f>[1]ALL!O225</f>
        <v>0</v>
      </c>
      <c r="Q21" s="11">
        <f>[1]ALL!P225</f>
        <v>0</v>
      </c>
      <c r="R21" s="11">
        <f>[1]ALL!Q225</f>
        <v>0</v>
      </c>
      <c r="S21" s="11">
        <f>[1]ALL!R17</f>
        <v>85.322999999999993</v>
      </c>
      <c r="T21" s="9"/>
      <c r="U21" s="9"/>
      <c r="V21" s="10"/>
    </row>
    <row r="22" spans="1:22">
      <c r="A22" s="2">
        <v>207</v>
      </c>
      <c r="B22" s="1" t="str">
        <f>[1]ALL!A208</f>
        <v>3288C</v>
      </c>
      <c r="C22" s="2" t="str">
        <f>[1]ALL!B208</f>
        <v>China ROBOTC</v>
      </c>
      <c r="D22" s="2" t="str">
        <f>[1]ALL!C208</f>
        <v>ChinaRobotC</v>
      </c>
      <c r="E22" s="2" t="str">
        <f>[1]ALL!D208</f>
        <v>Xi'an, N/A, China</v>
      </c>
      <c r="F22" s="8">
        <f>[1]ALL!E208</f>
        <v>0</v>
      </c>
      <c r="G22" s="8">
        <f>[1]ALL!F208</f>
        <v>320</v>
      </c>
      <c r="H22" s="8">
        <f>[1]ALL!G208</f>
        <v>0</v>
      </c>
      <c r="I22" s="11">
        <f>[1]ALL!H208</f>
        <v>0</v>
      </c>
      <c r="J22" s="11">
        <f>[1]ALL!I208</f>
        <v>0</v>
      </c>
      <c r="K22" s="11">
        <f>[1]ALL!J208</f>
        <v>0</v>
      </c>
      <c r="L22" s="11">
        <f>[1]ALL!K208</f>
        <v>0</v>
      </c>
      <c r="M22" s="11">
        <f>[1]ALL!L208</f>
        <v>0</v>
      </c>
      <c r="N22" s="11">
        <f>[1]ALL!M208</f>
        <v>0</v>
      </c>
      <c r="O22" s="11">
        <f>[1]ALL!N208</f>
        <v>0</v>
      </c>
      <c r="P22" s="11">
        <f>[1]ALL!O208</f>
        <v>0</v>
      </c>
      <c r="Q22" s="11">
        <f>[1]ALL!P208</f>
        <v>0</v>
      </c>
      <c r="R22" s="11">
        <f>[1]ALL!Q208</f>
        <v>0</v>
      </c>
      <c r="S22" s="11">
        <f>[1]ALL!R18</f>
        <v>0</v>
      </c>
      <c r="T22" s="9"/>
      <c r="U22" s="9"/>
      <c r="V22" s="10"/>
    </row>
    <row r="23" spans="1:22">
      <c r="A23" s="2">
        <v>351</v>
      </c>
      <c r="B23" s="1" t="str">
        <f>[1]ALL!A352</f>
        <v>6891</v>
      </c>
      <c r="C23" s="2" t="str">
        <f>[1]ALL!B352</f>
        <v>Jackpot</v>
      </c>
      <c r="D23" s="2" t="str">
        <f>[1]ALL!C352</f>
        <v>Faith Lutheran High School</v>
      </c>
      <c r="E23" s="2" t="str">
        <f>[1]ALL!D352</f>
        <v>Las Vegas, Nevada, United States</v>
      </c>
      <c r="F23" s="8">
        <f>[1]ALL!E352</f>
        <v>315</v>
      </c>
      <c r="G23" s="8">
        <f>[1]ALL!F352</f>
        <v>316</v>
      </c>
      <c r="H23" s="8">
        <f>[1]ALL!G352</f>
        <v>143.566</v>
      </c>
      <c r="I23" s="11">
        <f>[1]ALL!H352</f>
        <v>71.621200000000002</v>
      </c>
      <c r="J23" s="11">
        <f>[1]ALL!I352</f>
        <v>143.566</v>
      </c>
      <c r="K23" s="11">
        <f>[1]ALL!J352</f>
        <v>79.794899999999998</v>
      </c>
      <c r="L23" s="11">
        <f>[1]ALL!K352</f>
        <v>68.917299999999997</v>
      </c>
      <c r="M23" s="11">
        <f>[1]ALL!L352</f>
        <v>0</v>
      </c>
      <c r="N23" s="11">
        <f>[1]ALL!M352</f>
        <v>0</v>
      </c>
      <c r="O23" s="11">
        <f>[1]ALL!N352</f>
        <v>0</v>
      </c>
      <c r="P23" s="11">
        <f>[1]ALL!O352</f>
        <v>0</v>
      </c>
      <c r="Q23" s="11">
        <f>[1]ALL!P352</f>
        <v>0</v>
      </c>
      <c r="R23" s="11">
        <f>[1]ALL!Q352</f>
        <v>0</v>
      </c>
      <c r="S23" s="11">
        <f>[1]ALL!R19</f>
        <v>0</v>
      </c>
      <c r="T23" s="9"/>
      <c r="U23" s="9"/>
      <c r="V23" s="10"/>
    </row>
    <row r="24" spans="1:22">
      <c r="A24" s="2">
        <v>94</v>
      </c>
      <c r="B24" s="1" t="str">
        <f>[1]ALL!A95</f>
        <v>974X</v>
      </c>
      <c r="C24" s="2" t="str">
        <f>[1]ALL!B95</f>
        <v>Cyberbrains</v>
      </c>
      <c r="D24" s="2" t="str">
        <f>[1]ALL!C95</f>
        <v>Loveland, CO Community Team</v>
      </c>
      <c r="E24" s="2" t="str">
        <f>[1]ALL!D95</f>
        <v>Loveland, Colorado, United States</v>
      </c>
      <c r="F24" s="8">
        <f>[1]ALL!E95</f>
        <v>308</v>
      </c>
      <c r="G24" s="8">
        <f>[1]ALL!F95</f>
        <v>316</v>
      </c>
      <c r="H24" s="8">
        <f>[1]ALL!G95</f>
        <v>149.577</v>
      </c>
      <c r="I24" s="11">
        <f>[1]ALL!H95</f>
        <v>100.19199999999999</v>
      </c>
      <c r="J24" s="11">
        <f>[1]ALL!I95</f>
        <v>86.113</v>
      </c>
      <c r="K24" s="11">
        <f>[1]ALL!J95</f>
        <v>149.577</v>
      </c>
      <c r="L24" s="11">
        <f>[1]ALL!K95</f>
        <v>96.572699999999998</v>
      </c>
      <c r="M24" s="11">
        <f>[1]ALL!L95</f>
        <v>145.715</v>
      </c>
      <c r="N24" s="11">
        <f>[1]ALL!M95</f>
        <v>97.711200000000005</v>
      </c>
      <c r="O24" s="11">
        <f>[1]ALL!N95</f>
        <v>122.446</v>
      </c>
      <c r="P24" s="11">
        <f>[1]ALL!O95</f>
        <v>66.379800000000003</v>
      </c>
      <c r="Q24" s="11">
        <f>[1]ALL!P95</f>
        <v>0</v>
      </c>
      <c r="R24" s="11">
        <f>[1]ALL!Q95</f>
        <v>0</v>
      </c>
      <c r="S24" s="11">
        <f>[1]ALL!R20</f>
        <v>0</v>
      </c>
      <c r="T24" s="9"/>
      <c r="U24" s="9"/>
      <c r="V24" s="10"/>
    </row>
    <row r="25" spans="1:22">
      <c r="A25" s="2">
        <v>206</v>
      </c>
      <c r="B25" s="1" t="str">
        <f>[1]ALL!A207</f>
        <v>3288A</v>
      </c>
      <c r="C25" s="2" t="str">
        <f>[1]ALL!B207</f>
        <v>China ROBOTC</v>
      </c>
      <c r="D25" s="2" t="str">
        <f>[1]ALL!C207</f>
        <v>ChinaRobotC</v>
      </c>
      <c r="E25" s="2" t="str">
        <f>[1]ALL!D207</f>
        <v>Xi'an, Not Applicable or Not Listed, China</v>
      </c>
      <c r="F25" s="8">
        <f>[1]ALL!E207</f>
        <v>0</v>
      </c>
      <c r="G25" s="8">
        <f>[1]ALL!F207</f>
        <v>316</v>
      </c>
      <c r="H25" s="8">
        <f>[1]ALL!G207</f>
        <v>0</v>
      </c>
      <c r="I25" s="11">
        <f>[1]ALL!H207</f>
        <v>0</v>
      </c>
      <c r="J25" s="11">
        <f>[1]ALL!I207</f>
        <v>0</v>
      </c>
      <c r="K25" s="11">
        <f>[1]ALL!J207</f>
        <v>0</v>
      </c>
      <c r="L25" s="11">
        <f>[1]ALL!K207</f>
        <v>0</v>
      </c>
      <c r="M25" s="11">
        <f>[1]ALL!L207</f>
        <v>0</v>
      </c>
      <c r="N25" s="11">
        <f>[1]ALL!M207</f>
        <v>0</v>
      </c>
      <c r="O25" s="11">
        <f>[1]ALL!N207</f>
        <v>0</v>
      </c>
      <c r="P25" s="11">
        <f>[1]ALL!O207</f>
        <v>0</v>
      </c>
      <c r="Q25" s="11">
        <f>[1]ALL!P207</f>
        <v>0</v>
      </c>
      <c r="R25" s="11">
        <f>[1]ALL!Q207</f>
        <v>0</v>
      </c>
      <c r="S25" s="11">
        <f>[1]ALL!R21</f>
        <v>0</v>
      </c>
      <c r="T25" s="9"/>
      <c r="U25" s="9"/>
      <c r="V25" s="10"/>
    </row>
    <row r="26" spans="1:22">
      <c r="A26" s="2">
        <v>281</v>
      </c>
      <c r="B26" s="1" t="str">
        <f>[1]ALL!A282</f>
        <v>5327C</v>
      </c>
      <c r="C26" s="2" t="str">
        <f>[1]ALL!B282</f>
        <v>Gael Force</v>
      </c>
      <c r="D26" s="2" t="str">
        <f>[1]ALL!C282</f>
        <v>Dublin High School</v>
      </c>
      <c r="E26" s="2" t="str">
        <f>[1]ALL!D282</f>
        <v>Dublin, California, United States</v>
      </c>
      <c r="F26" s="8">
        <f>[1]ALL!E282</f>
        <v>387</v>
      </c>
      <c r="G26" s="8">
        <f>[1]ALL!F282</f>
        <v>315</v>
      </c>
      <c r="H26" s="8">
        <f>[1]ALL!G282</f>
        <v>130.02799999999999</v>
      </c>
      <c r="I26" s="11">
        <f>[1]ALL!H282</f>
        <v>130.02799999999999</v>
      </c>
      <c r="J26" s="11">
        <f>[1]ALL!I282</f>
        <v>106.928</v>
      </c>
      <c r="K26" s="11">
        <f>[1]ALL!J282</f>
        <v>78.1785</v>
      </c>
      <c r="L26" s="11">
        <f>[1]ALL!K282</f>
        <v>87.047200000000004</v>
      </c>
      <c r="M26" s="11">
        <f>[1]ALL!L282</f>
        <v>70.007599999999996</v>
      </c>
      <c r="N26" s="11">
        <f>[1]ALL!M282</f>
        <v>0</v>
      </c>
      <c r="O26" s="11">
        <f>[1]ALL!N282</f>
        <v>0</v>
      </c>
      <c r="P26" s="11">
        <f>[1]ALL!O282</f>
        <v>0</v>
      </c>
      <c r="Q26" s="11">
        <f>[1]ALL!P282</f>
        <v>0</v>
      </c>
      <c r="R26" s="11">
        <f>[1]ALL!Q282</f>
        <v>0</v>
      </c>
      <c r="S26" s="11">
        <f>[1]ALL!R22</f>
        <v>0</v>
      </c>
      <c r="T26" s="9"/>
      <c r="U26" s="9"/>
      <c r="V26" s="10"/>
    </row>
    <row r="27" spans="1:22">
      <c r="A27" s="2">
        <v>223</v>
      </c>
      <c r="B27" s="1" t="str">
        <f>[1]ALL!A224</f>
        <v>3946E</v>
      </c>
      <c r="C27" s="2" t="str">
        <f>[1]ALL!B224</f>
        <v>Sun Devils</v>
      </c>
      <c r="D27" s="2" t="str">
        <f>[1]ALL!C224</f>
        <v>Kent Denver School</v>
      </c>
      <c r="E27" s="2" t="str">
        <f>[1]ALL!D224</f>
        <v>Englewood, Colorado, United States</v>
      </c>
      <c r="F27" s="8">
        <f>[1]ALL!E224</f>
        <v>363</v>
      </c>
      <c r="G27" s="8">
        <f>[1]ALL!F224</f>
        <v>315</v>
      </c>
      <c r="H27" s="8">
        <f>[1]ALL!G224</f>
        <v>142.22200000000001</v>
      </c>
      <c r="I27" s="11">
        <f>[1]ALL!H224</f>
        <v>142.22200000000001</v>
      </c>
      <c r="J27" s="11">
        <f>[1]ALL!I224</f>
        <v>103.527</v>
      </c>
      <c r="K27" s="11">
        <f>[1]ALL!J224</f>
        <v>95.291700000000006</v>
      </c>
      <c r="L27" s="11">
        <f>[1]ALL!K224</f>
        <v>16.667000000000002</v>
      </c>
      <c r="M27" s="11">
        <f>[1]ALL!L224</f>
        <v>68.207499999999996</v>
      </c>
      <c r="N27" s="11">
        <f>[1]ALL!M224</f>
        <v>0</v>
      </c>
      <c r="O27" s="11">
        <f>[1]ALL!N224</f>
        <v>0</v>
      </c>
      <c r="P27" s="11">
        <f>[1]ALL!O224</f>
        <v>0</v>
      </c>
      <c r="Q27" s="11">
        <f>[1]ALL!P224</f>
        <v>0</v>
      </c>
      <c r="R27" s="11">
        <f>[1]ALL!Q224</f>
        <v>0</v>
      </c>
      <c r="S27" s="11">
        <f>[1]ALL!R23</f>
        <v>0</v>
      </c>
      <c r="T27" s="9"/>
      <c r="U27" s="9"/>
      <c r="V27" s="10"/>
    </row>
    <row r="28" spans="1:22">
      <c r="A28" s="2">
        <v>309</v>
      </c>
      <c r="B28" s="1" t="str">
        <f>[1]ALL!A310</f>
        <v>5839A</v>
      </c>
      <c r="C28" s="2" t="str">
        <f>[1]ALL!B310</f>
        <v>Tech 1</v>
      </c>
      <c r="D28" s="2" t="str">
        <f>[1]ALL!C310</f>
        <v>Eastern Technical High School</v>
      </c>
      <c r="E28" s="2" t="str">
        <f>[1]ALL!D310</f>
        <v>Baltimore, Maryland, United States</v>
      </c>
      <c r="F28" s="8">
        <f>[1]ALL!E310</f>
        <v>337</v>
      </c>
      <c r="G28" s="8">
        <f>[1]ALL!F310</f>
        <v>315</v>
      </c>
      <c r="H28" s="8">
        <f>[1]ALL!G310</f>
        <v>128.351</v>
      </c>
      <c r="I28" s="11">
        <f>[1]ALL!H310</f>
        <v>128.351</v>
      </c>
      <c r="J28" s="11">
        <f>[1]ALL!I310</f>
        <v>101.30500000000001</v>
      </c>
      <c r="K28" s="11">
        <f>[1]ALL!J310</f>
        <v>89.174000000000007</v>
      </c>
      <c r="L28" s="11">
        <f>[1]ALL!K310</f>
        <v>77.369200000000006</v>
      </c>
      <c r="M28" s="11">
        <f>[1]ALL!L310</f>
        <v>84.855099999999993</v>
      </c>
      <c r="N28" s="11">
        <f>[1]ALL!M310</f>
        <v>90.146600000000007</v>
      </c>
      <c r="O28" s="11">
        <f>[1]ALL!N310</f>
        <v>77.812399999999997</v>
      </c>
      <c r="P28" s="11">
        <f>[1]ALL!O310</f>
        <v>27.382999999999999</v>
      </c>
      <c r="Q28" s="11">
        <f>[1]ALL!P310</f>
        <v>0</v>
      </c>
      <c r="R28" s="11">
        <f>[1]ALL!Q310</f>
        <v>0</v>
      </c>
      <c r="S28" s="11">
        <f>[1]ALL!R24</f>
        <v>0</v>
      </c>
      <c r="T28" s="9"/>
      <c r="U28" s="9"/>
      <c r="V28" s="10"/>
    </row>
    <row r="29" spans="1:22">
      <c r="A29" s="2">
        <v>191</v>
      </c>
      <c r="B29" s="1" t="str">
        <f>[1]ALL!A192</f>
        <v>2719C</v>
      </c>
      <c r="C29" s="2" t="str">
        <f>[1]ALL!B192</f>
        <v>The Mike Wang Experience</v>
      </c>
      <c r="D29" s="2" t="str">
        <f>[1]ALL!C192</f>
        <v>Triton Central High School</v>
      </c>
      <c r="E29" s="2" t="str">
        <f>[1]ALL!D192</f>
        <v>Fairland, Indiana, United States</v>
      </c>
      <c r="F29" s="8">
        <f>[1]ALL!E192</f>
        <v>325</v>
      </c>
      <c r="G29" s="8">
        <f>[1]ALL!F192</f>
        <v>315</v>
      </c>
      <c r="H29" s="8">
        <f>[1]ALL!G192</f>
        <v>151.34100000000001</v>
      </c>
      <c r="I29" s="11">
        <f>[1]ALL!H192</f>
        <v>96.649199999999993</v>
      </c>
      <c r="J29" s="11">
        <f>[1]ALL!I192</f>
        <v>134.45599999999999</v>
      </c>
      <c r="K29" s="11">
        <f>[1]ALL!J192</f>
        <v>128.71299999999999</v>
      </c>
      <c r="L29" s="11">
        <f>[1]ALL!K192</f>
        <v>151.34100000000001</v>
      </c>
      <c r="M29" s="11">
        <f>[1]ALL!L192</f>
        <v>120.943</v>
      </c>
      <c r="N29" s="11">
        <f>[1]ALL!M192</f>
        <v>81.594700000000003</v>
      </c>
      <c r="O29" s="11">
        <f>[1]ALL!N192</f>
        <v>62.901400000000002</v>
      </c>
      <c r="P29" s="11">
        <f>[1]ALL!O192</f>
        <v>23.585599999999999</v>
      </c>
      <c r="Q29" s="11">
        <f>[1]ALL!P192</f>
        <v>0</v>
      </c>
      <c r="R29" s="11">
        <f>[1]ALL!Q192</f>
        <v>0</v>
      </c>
      <c r="S29" s="11">
        <f>[1]ALL!R25</f>
        <v>0</v>
      </c>
      <c r="T29" s="9"/>
      <c r="U29" s="9"/>
      <c r="V29" s="10"/>
    </row>
    <row r="30" spans="1:22">
      <c r="A30" s="2">
        <v>44</v>
      </c>
      <c r="B30" s="1" t="str">
        <f>[1]ALL!A45</f>
        <v>254C</v>
      </c>
      <c r="C30" s="2" t="str">
        <f>[1]ALL!B45</f>
        <v>The Cheesy Poofs</v>
      </c>
      <c r="D30" s="2" t="str">
        <f>[1]ALL!C45</f>
        <v>Bellarmine College Prep</v>
      </c>
      <c r="E30" s="2" t="str">
        <f>[1]ALL!D45</f>
        <v>San Jose, California, United States</v>
      </c>
      <c r="F30" s="8">
        <f>[1]ALL!E45</f>
        <v>259</v>
      </c>
      <c r="G30" s="8">
        <f>[1]ALL!F45</f>
        <v>315</v>
      </c>
      <c r="H30" s="8">
        <f>[1]ALL!G45</f>
        <v>118.122</v>
      </c>
      <c r="I30" s="11">
        <f>[1]ALL!H45</f>
        <v>95.724199999999996</v>
      </c>
      <c r="J30" s="11">
        <f>[1]ALL!I45</f>
        <v>113.61199999999999</v>
      </c>
      <c r="K30" s="11">
        <f>[1]ALL!J45</f>
        <v>99.792299999999997</v>
      </c>
      <c r="L30" s="11">
        <f>[1]ALL!K45</f>
        <v>118.122</v>
      </c>
      <c r="M30" s="11">
        <f>[1]ALL!L45</f>
        <v>48.502200000000002</v>
      </c>
      <c r="N30" s="11">
        <f>[1]ALL!M45</f>
        <v>0</v>
      </c>
      <c r="O30" s="11">
        <f>[1]ALL!N45</f>
        <v>0</v>
      </c>
      <c r="P30" s="11">
        <f>[1]ALL!O45</f>
        <v>0</v>
      </c>
      <c r="Q30" s="11">
        <f>[1]ALL!P45</f>
        <v>0</v>
      </c>
      <c r="R30" s="11">
        <f>[1]ALL!Q45</f>
        <v>0</v>
      </c>
      <c r="S30" s="11">
        <f>[1]ALL!R26</f>
        <v>0</v>
      </c>
      <c r="T30" s="9"/>
      <c r="U30" s="9"/>
      <c r="V30" s="10"/>
    </row>
    <row r="31" spans="1:22">
      <c r="A31" s="2">
        <v>66</v>
      </c>
      <c r="B31" s="1" t="str">
        <f>[1]ALL!A67</f>
        <v>536C</v>
      </c>
      <c r="C31" s="2" t="str">
        <f>[1]ALL!B67</f>
        <v>Life</v>
      </c>
      <c r="D31" s="2" t="str">
        <f>[1]ALL!C67</f>
        <v>Xavier High School</v>
      </c>
      <c r="E31" s="2" t="str">
        <f>[1]ALL!D67</f>
        <v>Appleton, Wisconsin, United States</v>
      </c>
      <c r="F31" s="8">
        <f>[1]ALL!E67</f>
        <v>293</v>
      </c>
      <c r="G31" s="8">
        <f>[1]ALL!F67</f>
        <v>311</v>
      </c>
      <c r="H31" s="8">
        <f>[1]ALL!G67</f>
        <v>148.916</v>
      </c>
      <c r="I31" s="11">
        <f>[1]ALL!H67</f>
        <v>148.916</v>
      </c>
      <c r="J31" s="11">
        <f>[1]ALL!I67</f>
        <v>83.472099999999998</v>
      </c>
      <c r="K31" s="11">
        <f>[1]ALL!J67</f>
        <v>84.5578</v>
      </c>
      <c r="L31" s="11">
        <f>[1]ALL!K67</f>
        <v>50.0867</v>
      </c>
      <c r="M31" s="11">
        <f>[1]ALL!L67</f>
        <v>82.779600000000002</v>
      </c>
      <c r="N31" s="11">
        <f>[1]ALL!M67</f>
        <v>27.037500000000001</v>
      </c>
      <c r="O31" s="11">
        <f>[1]ALL!N67</f>
        <v>0</v>
      </c>
      <c r="P31" s="11">
        <f>[1]ALL!O67</f>
        <v>0</v>
      </c>
      <c r="Q31" s="11">
        <f>[1]ALL!P67</f>
        <v>0</v>
      </c>
      <c r="R31" s="11">
        <f>[1]ALL!Q67</f>
        <v>0</v>
      </c>
      <c r="S31" s="11">
        <f>[1]ALL!R27</f>
        <v>0</v>
      </c>
      <c r="T31" s="9"/>
      <c r="U31" s="9"/>
      <c r="V31" s="10"/>
    </row>
    <row r="32" spans="1:22">
      <c r="A32" s="2">
        <v>300</v>
      </c>
      <c r="B32" s="1" t="str">
        <f>[1]ALL!A301</f>
        <v>5772B</v>
      </c>
      <c r="C32" s="2" t="str">
        <f>[1]ALL!B301</f>
        <v>Eaglebots</v>
      </c>
      <c r="D32" s="2" t="str">
        <f>[1]ALL!C301</f>
        <v>The Harker School</v>
      </c>
      <c r="E32" s="2" t="str">
        <f>[1]ALL!D301</f>
        <v>Santa Clara, California, United States</v>
      </c>
      <c r="F32" s="8">
        <f>[1]ALL!E301</f>
        <v>68</v>
      </c>
      <c r="G32" s="8">
        <f>[1]ALL!F301</f>
        <v>311</v>
      </c>
      <c r="H32" s="8">
        <f>[1]ALL!G301</f>
        <v>103.187</v>
      </c>
      <c r="I32" s="11">
        <f>[1]ALL!H301</f>
        <v>73.071200000000005</v>
      </c>
      <c r="J32" s="11">
        <f>[1]ALL!I301</f>
        <v>69.942499999999995</v>
      </c>
      <c r="K32" s="11">
        <f>[1]ALL!J301</f>
        <v>75.437100000000001</v>
      </c>
      <c r="L32" s="11">
        <f>[1]ALL!K301</f>
        <v>103.187</v>
      </c>
      <c r="M32" s="11">
        <f>[1]ALL!L301</f>
        <v>26.689699999999998</v>
      </c>
      <c r="N32" s="11">
        <f>[1]ALL!M301</f>
        <v>0</v>
      </c>
      <c r="O32" s="11">
        <f>[1]ALL!N301</f>
        <v>0</v>
      </c>
      <c r="P32" s="11">
        <f>[1]ALL!O301</f>
        <v>0</v>
      </c>
      <c r="Q32" s="11">
        <f>[1]ALL!P301</f>
        <v>0</v>
      </c>
      <c r="R32" s="11">
        <f>[1]ALL!Q301</f>
        <v>0</v>
      </c>
      <c r="S32" s="11">
        <f>[1]ALL!R28</f>
        <v>0</v>
      </c>
      <c r="T32" s="9"/>
      <c r="U32" s="9"/>
      <c r="V32" s="10"/>
    </row>
    <row r="33" spans="1:22">
      <c r="A33" s="2">
        <v>54</v>
      </c>
      <c r="B33" s="1" t="str">
        <f>[1]ALL!A55</f>
        <v>355B</v>
      </c>
      <c r="C33" s="2" t="str">
        <f>[1]ALL!B55</f>
        <v>Steel Pythons</v>
      </c>
      <c r="D33" s="2" t="str">
        <f>[1]ALL!C55</f>
        <v>Fox Valley Robotics</v>
      </c>
      <c r="E33" s="2" t="str">
        <f>[1]ALL!D55</f>
        <v>Batavia, Illinois, United States</v>
      </c>
      <c r="F33" s="8">
        <f>[1]ALL!E55</f>
        <v>290</v>
      </c>
      <c r="G33" s="8">
        <f>[1]ALL!F55</f>
        <v>310</v>
      </c>
      <c r="H33" s="8">
        <f>[1]ALL!G55</f>
        <v>159.673</v>
      </c>
      <c r="I33" s="11">
        <f>[1]ALL!H55</f>
        <v>159.673</v>
      </c>
      <c r="J33" s="11">
        <f>[1]ALL!I55</f>
        <v>113.943</v>
      </c>
      <c r="K33" s="11">
        <f>[1]ALL!J55</f>
        <v>135.017</v>
      </c>
      <c r="L33" s="11">
        <f>[1]ALL!K55</f>
        <v>118.334</v>
      </c>
      <c r="M33" s="11">
        <f>[1]ALL!L55</f>
        <v>69.414400000000001</v>
      </c>
      <c r="N33" s="11">
        <f>[1]ALL!M55</f>
        <v>83.448300000000003</v>
      </c>
      <c r="O33" s="11">
        <f>[1]ALL!N55</f>
        <v>0</v>
      </c>
      <c r="P33" s="11">
        <f>[1]ALL!O55</f>
        <v>0</v>
      </c>
      <c r="Q33" s="11">
        <f>[1]ALL!P55</f>
        <v>0</v>
      </c>
      <c r="R33" s="11">
        <f>[1]ALL!Q55</f>
        <v>0</v>
      </c>
      <c r="S33" s="11">
        <f>[1]ALL!R29</f>
        <v>0</v>
      </c>
      <c r="T33" s="9"/>
      <c r="U33" s="9"/>
      <c r="V33" s="10"/>
    </row>
    <row r="34" spans="1:22">
      <c r="A34" s="2">
        <v>190</v>
      </c>
      <c r="B34" s="1" t="str">
        <f>[1]ALL!A191</f>
        <v>2719B</v>
      </c>
      <c r="C34" s="2" t="str">
        <f>[1]ALL!B191</f>
        <v>T.A.R.D.I.S.</v>
      </c>
      <c r="D34" s="2" t="str">
        <f>[1]ALL!C191</f>
        <v>Triton Central High School</v>
      </c>
      <c r="E34" s="2" t="str">
        <f>[1]ALL!D191</f>
        <v>Fairland, Indiana, United States</v>
      </c>
      <c r="F34" s="8">
        <f>[1]ALL!E191</f>
        <v>289</v>
      </c>
      <c r="G34" s="8">
        <f>[1]ALL!F191</f>
        <v>310</v>
      </c>
      <c r="H34" s="8">
        <f>[1]ALL!G191</f>
        <v>114.21</v>
      </c>
      <c r="I34" s="11">
        <f>[1]ALL!H191</f>
        <v>84.832400000000007</v>
      </c>
      <c r="J34" s="11">
        <f>[1]ALL!I191</f>
        <v>62.251600000000003</v>
      </c>
      <c r="K34" s="11">
        <f>[1]ALL!J191</f>
        <v>114.21</v>
      </c>
      <c r="L34" s="11">
        <f>[1]ALL!K191</f>
        <v>42.592599999999997</v>
      </c>
      <c r="M34" s="11">
        <f>[1]ALL!L191</f>
        <v>3.79731</v>
      </c>
      <c r="N34" s="11">
        <f>[1]ALL!M191</f>
        <v>19.578399999999998</v>
      </c>
      <c r="O34" s="11">
        <f>[1]ALL!N191</f>
        <v>25.552</v>
      </c>
      <c r="P34" s="11">
        <f>[1]ALL!O191</f>
        <v>15.0596</v>
      </c>
      <c r="Q34" s="11">
        <f>[1]ALL!P191</f>
        <v>0</v>
      </c>
      <c r="R34" s="11">
        <f>[1]ALL!Q191</f>
        <v>0</v>
      </c>
      <c r="S34" s="11">
        <f>[1]ALL!R30</f>
        <v>0</v>
      </c>
      <c r="T34" s="9"/>
      <c r="U34" s="9"/>
      <c r="V34" s="10"/>
    </row>
    <row r="35" spans="1:22">
      <c r="A35" s="2">
        <v>170</v>
      </c>
      <c r="B35" s="1" t="str">
        <f>[1]ALL!A171</f>
        <v>2188A</v>
      </c>
      <c r="C35" s="2" t="str">
        <f>[1]ALL!B171</f>
        <v>Robosource.net</v>
      </c>
      <c r="D35" s="2" t="str">
        <f>[1]ALL!C171</f>
        <v>Independent</v>
      </c>
      <c r="E35" s="2" t="str">
        <f>[1]ALL!D171</f>
        <v>Oakville, Ontario, Canada</v>
      </c>
      <c r="F35" s="8">
        <f>[1]ALL!E171</f>
        <v>167</v>
      </c>
      <c r="G35" s="8">
        <f>[1]ALL!F171</f>
        <v>310</v>
      </c>
      <c r="H35" s="8">
        <f>[1]ALL!G171</f>
        <v>118.85599999999999</v>
      </c>
      <c r="I35" s="11">
        <f>[1]ALL!H171</f>
        <v>118.85599999999999</v>
      </c>
      <c r="J35" s="11">
        <f>[1]ALL!I171</f>
        <v>57.242199999999997</v>
      </c>
      <c r="K35" s="11">
        <f>[1]ALL!J171</f>
        <v>109.774</v>
      </c>
      <c r="L35" s="11">
        <f>[1]ALL!K171</f>
        <v>0</v>
      </c>
      <c r="M35" s="11">
        <f>[1]ALL!L171</f>
        <v>0</v>
      </c>
      <c r="N35" s="11">
        <f>[1]ALL!M171</f>
        <v>0</v>
      </c>
      <c r="O35" s="11">
        <f>[1]ALL!N171</f>
        <v>0</v>
      </c>
      <c r="P35" s="11">
        <f>[1]ALL!O171</f>
        <v>0</v>
      </c>
      <c r="Q35" s="11">
        <f>[1]ALL!P171</f>
        <v>0</v>
      </c>
      <c r="R35" s="11">
        <f>[1]ALL!Q171</f>
        <v>0</v>
      </c>
      <c r="S35" s="11">
        <f>[1]ALL!R31</f>
        <v>0</v>
      </c>
      <c r="T35" s="9"/>
      <c r="U35" s="9"/>
      <c r="V35" s="10"/>
    </row>
    <row r="36" spans="1:22">
      <c r="A36" s="2">
        <v>130</v>
      </c>
      <c r="B36" s="1" t="str">
        <f>[1]ALL!A131</f>
        <v>1404B</v>
      </c>
      <c r="C36" s="2" t="str">
        <f>[1]ALL!B131</f>
        <v>Shocks - 🍁 #OMG #DiscoGotShocked</v>
      </c>
      <c r="D36" s="2" t="str">
        <f>[1]ALL!C131</f>
        <v>Dr. Norman Bethune C.I.</v>
      </c>
      <c r="E36" s="2" t="str">
        <f>[1]ALL!D131</f>
        <v>Toronto, Ontario, Canada</v>
      </c>
      <c r="F36" s="8">
        <f>[1]ALL!E131</f>
        <v>435</v>
      </c>
      <c r="G36" s="8">
        <f>[1]ALL!F131</f>
        <v>307</v>
      </c>
      <c r="H36" s="8">
        <f>[1]ALL!G131</f>
        <v>182.745</v>
      </c>
      <c r="I36" s="11">
        <f>[1]ALL!H131</f>
        <v>156.59800000000001</v>
      </c>
      <c r="J36" s="11">
        <f>[1]ALL!I131</f>
        <v>182.745</v>
      </c>
      <c r="K36" s="11">
        <f>[1]ALL!J131</f>
        <v>175.72</v>
      </c>
      <c r="L36" s="11">
        <f>[1]ALL!K131</f>
        <v>141.48099999999999</v>
      </c>
      <c r="M36" s="11">
        <f>[1]ALL!L131</f>
        <v>99.986800000000002</v>
      </c>
      <c r="N36" s="11">
        <f>[1]ALL!M131</f>
        <v>142.46899999999999</v>
      </c>
      <c r="O36" s="11">
        <f>[1]ALL!N131</f>
        <v>0</v>
      </c>
      <c r="P36" s="11">
        <f>[1]ALL!O131</f>
        <v>0</v>
      </c>
      <c r="Q36" s="11">
        <f>[1]ALL!P131</f>
        <v>0</v>
      </c>
      <c r="R36" s="11">
        <f>[1]ALL!Q131</f>
        <v>0</v>
      </c>
      <c r="S36" s="11">
        <f>[1]ALL!R32</f>
        <v>0</v>
      </c>
      <c r="T36" s="9"/>
      <c r="U36" s="9"/>
      <c r="V36" s="10"/>
    </row>
    <row r="37" spans="1:22">
      <c r="A37" s="2">
        <v>293</v>
      </c>
      <c r="B37" s="1" t="str">
        <f>[1]ALL!A294</f>
        <v>5588C</v>
      </c>
      <c r="C37" s="2" t="str">
        <f>[1]ALL!B294</f>
        <v>Calvert Hall Cardinals</v>
      </c>
      <c r="D37" s="2" t="str">
        <f>[1]ALL!C294</f>
        <v>Calvert Hall College High School</v>
      </c>
      <c r="E37" s="2" t="str">
        <f>[1]ALL!D294</f>
        <v>Towson, Maryland, United States</v>
      </c>
      <c r="F37" s="8">
        <f>[1]ALL!E294</f>
        <v>326</v>
      </c>
      <c r="G37" s="8">
        <f>[1]ALL!F294</f>
        <v>306</v>
      </c>
      <c r="H37" s="8">
        <f>[1]ALL!G294</f>
        <v>154.471</v>
      </c>
      <c r="I37" s="11">
        <f>[1]ALL!H294</f>
        <v>139.18600000000001</v>
      </c>
      <c r="J37" s="11">
        <f>[1]ALL!I294</f>
        <v>129.28299999999999</v>
      </c>
      <c r="K37" s="11">
        <f>[1]ALL!J294</f>
        <v>111.251</v>
      </c>
      <c r="L37" s="11">
        <f>[1]ALL!K294</f>
        <v>154.471</v>
      </c>
      <c r="M37" s="11">
        <f>[1]ALL!L294</f>
        <v>98.900999999999996</v>
      </c>
      <c r="N37" s="11">
        <f>[1]ALL!M294</f>
        <v>87.624700000000004</v>
      </c>
      <c r="O37" s="11">
        <f>[1]ALL!N294</f>
        <v>41.599800000000002</v>
      </c>
      <c r="P37" s="11">
        <f>[1]ALL!O294</f>
        <v>0</v>
      </c>
      <c r="Q37" s="11">
        <f>[1]ALL!P294</f>
        <v>0</v>
      </c>
      <c r="R37" s="11">
        <f>[1]ALL!Q294</f>
        <v>0</v>
      </c>
      <c r="S37" s="11">
        <f>[1]ALL!R33</f>
        <v>0</v>
      </c>
      <c r="T37" s="9"/>
      <c r="U37" s="9"/>
      <c r="V37" s="10"/>
    </row>
    <row r="38" spans="1:22">
      <c r="A38" s="2">
        <v>29</v>
      </c>
      <c r="B38" s="1" t="str">
        <f>[1]ALL!A30</f>
        <v>169B</v>
      </c>
      <c r="C38" s="2" t="str">
        <f>[1]ALL!B30</f>
        <v>The Cavalry</v>
      </c>
      <c r="D38" s="2" t="str">
        <f>[1]ALL!C30</f>
        <v>Haverford School Robotics</v>
      </c>
      <c r="E38" s="2" t="str">
        <f>[1]ALL!D30</f>
        <v>Haverford, Pennsylvania, United States</v>
      </c>
      <c r="F38" s="8">
        <f>[1]ALL!E30</f>
        <v>300</v>
      </c>
      <c r="G38" s="8">
        <f>[1]ALL!F30</f>
        <v>306</v>
      </c>
      <c r="H38" s="8">
        <f>[1]ALL!G30</f>
        <v>70.460599999999999</v>
      </c>
      <c r="I38" s="11">
        <f>[1]ALL!H30</f>
        <v>61.6098</v>
      </c>
      <c r="J38" s="11">
        <f>[1]ALL!I30</f>
        <v>70.460599999999999</v>
      </c>
      <c r="K38" s="11">
        <f>[1]ALL!J30</f>
        <v>50.3825</v>
      </c>
      <c r="L38" s="11">
        <f>[1]ALL!K30</f>
        <v>0</v>
      </c>
      <c r="M38" s="11">
        <f>[1]ALL!L30</f>
        <v>0</v>
      </c>
      <c r="N38" s="11">
        <f>[1]ALL!M30</f>
        <v>0</v>
      </c>
      <c r="O38" s="11">
        <f>[1]ALL!N30</f>
        <v>0</v>
      </c>
      <c r="P38" s="11">
        <f>[1]ALL!O30</f>
        <v>0</v>
      </c>
      <c r="Q38" s="11">
        <f>[1]ALL!P30</f>
        <v>0</v>
      </c>
      <c r="R38" s="11">
        <f>[1]ALL!Q30</f>
        <v>0</v>
      </c>
      <c r="S38" s="11">
        <f>[1]ALL!R34</f>
        <v>0</v>
      </c>
      <c r="T38" s="9"/>
      <c r="U38" s="9"/>
      <c r="V38" s="10"/>
    </row>
    <row r="39" spans="1:22">
      <c r="A39" s="2">
        <v>213</v>
      </c>
      <c r="B39" s="1" t="str">
        <f>[1]ALL!A214</f>
        <v>3396</v>
      </c>
      <c r="C39" s="2" t="str">
        <f>[1]ALL!B214</f>
        <v>The Galaxies</v>
      </c>
      <c r="D39" s="2" t="str">
        <f>[1]ALL!C214</f>
        <v>The Harker School</v>
      </c>
      <c r="E39" s="2" t="str">
        <f>[1]ALL!D214</f>
        <v>Los Gatos , California, United States</v>
      </c>
      <c r="F39" s="8">
        <f>[1]ALL!E214</f>
        <v>191</v>
      </c>
      <c r="G39" s="8">
        <f>[1]ALL!F214</f>
        <v>306</v>
      </c>
      <c r="H39" s="8">
        <f>[1]ALL!G214</f>
        <v>116.67</v>
      </c>
      <c r="I39" s="11">
        <f>[1]ALL!H214</f>
        <v>102.101</v>
      </c>
      <c r="J39" s="11">
        <f>[1]ALL!I214</f>
        <v>88.612799999999993</v>
      </c>
      <c r="K39" s="11">
        <f>[1]ALL!J214</f>
        <v>104.77500000000001</v>
      </c>
      <c r="L39" s="11">
        <f>[1]ALL!K214</f>
        <v>68.983999999999995</v>
      </c>
      <c r="M39" s="11">
        <f>[1]ALL!L214</f>
        <v>97.607100000000003</v>
      </c>
      <c r="N39" s="11">
        <f>[1]ALL!M214</f>
        <v>116.67</v>
      </c>
      <c r="O39" s="11">
        <f>[1]ALL!N214</f>
        <v>78.343400000000003</v>
      </c>
      <c r="P39" s="11">
        <f>[1]ALL!O214</f>
        <v>0</v>
      </c>
      <c r="Q39" s="11">
        <f>[1]ALL!P214</f>
        <v>0</v>
      </c>
      <c r="R39" s="11">
        <f>[1]ALL!Q214</f>
        <v>0</v>
      </c>
      <c r="S39" s="11">
        <f>[1]ALL!R35</f>
        <v>0</v>
      </c>
      <c r="T39" s="9"/>
      <c r="U39" s="9"/>
      <c r="V39" s="10"/>
    </row>
    <row r="40" spans="1:22">
      <c r="A40" s="2">
        <v>394</v>
      </c>
      <c r="B40" s="1" t="str">
        <f>[1]ALL!A395</f>
        <v>7972B</v>
      </c>
      <c r="C40" s="2" t="str">
        <f>[1]ALL!B395</f>
        <v>Gaoxin NO.1 High Sch B</v>
      </c>
      <c r="D40" s="2" t="str">
        <f>[1]ALL!C395</f>
        <v>Xi'an Gaoxin NO.1 High School</v>
      </c>
      <c r="E40" s="2" t="str">
        <f>[1]ALL!D395</f>
        <v>xi'an, Not Applicable or Not Listed, China</v>
      </c>
      <c r="F40" s="8">
        <f>[1]ALL!E395</f>
        <v>398</v>
      </c>
      <c r="G40" s="8">
        <f>[1]ALL!F395</f>
        <v>305</v>
      </c>
      <c r="H40" s="8">
        <f>[1]ALL!G395</f>
        <v>50.019599999999997</v>
      </c>
      <c r="I40" s="11">
        <f>[1]ALL!H395</f>
        <v>50.019599999999997</v>
      </c>
      <c r="J40" s="11">
        <f>[1]ALL!I395</f>
        <v>0</v>
      </c>
      <c r="K40" s="11">
        <f>[1]ALL!J395</f>
        <v>0</v>
      </c>
      <c r="L40" s="11">
        <f>[1]ALL!K395</f>
        <v>0</v>
      </c>
      <c r="M40" s="11">
        <f>[1]ALL!L395</f>
        <v>0</v>
      </c>
      <c r="N40" s="11">
        <f>[1]ALL!M395</f>
        <v>0</v>
      </c>
      <c r="O40" s="11">
        <f>[1]ALL!N395</f>
        <v>0</v>
      </c>
      <c r="P40" s="11">
        <f>[1]ALL!O395</f>
        <v>0</v>
      </c>
      <c r="Q40" s="11">
        <f>[1]ALL!P395</f>
        <v>0</v>
      </c>
      <c r="R40" s="11">
        <f>[1]ALL!Q395</f>
        <v>0</v>
      </c>
      <c r="S40" s="11">
        <f>[1]ALL!R36</f>
        <v>0</v>
      </c>
      <c r="T40" s="9"/>
      <c r="U40" s="9"/>
      <c r="V40" s="10"/>
    </row>
    <row r="41" spans="1:22">
      <c r="A41" s="2">
        <v>181</v>
      </c>
      <c r="B41" s="1" t="str">
        <f>[1]ALL!A182</f>
        <v>2501J</v>
      </c>
      <c r="C41" s="2" t="str">
        <f>[1]ALL!B182</f>
        <v>Full Metal Jackets</v>
      </c>
      <c r="D41" s="2" t="str">
        <f>[1]ALL!C182</f>
        <v>Thomas Jefferson High School</v>
      </c>
      <c r="E41" s="2" t="str">
        <f>[1]ALL!D182</f>
        <v>Council Bluffs, Iowa, United States</v>
      </c>
      <c r="F41" s="8">
        <f>[1]ALL!E182</f>
        <v>320</v>
      </c>
      <c r="G41" s="8">
        <f>[1]ALL!F182</f>
        <v>305</v>
      </c>
      <c r="H41" s="8">
        <f>[1]ALL!G182</f>
        <v>159.93700000000001</v>
      </c>
      <c r="I41" s="11">
        <f>[1]ALL!H182</f>
        <v>96.953900000000004</v>
      </c>
      <c r="J41" s="11">
        <f>[1]ALL!I182</f>
        <v>109.473</v>
      </c>
      <c r="K41" s="11">
        <f>[1]ALL!J182</f>
        <v>159.93700000000001</v>
      </c>
      <c r="L41" s="11">
        <f>[1]ALL!K182</f>
        <v>103.727</v>
      </c>
      <c r="M41" s="11">
        <f>[1]ALL!L182</f>
        <v>67.284599999999998</v>
      </c>
      <c r="N41" s="11">
        <f>[1]ALL!M182</f>
        <v>129.785</v>
      </c>
      <c r="O41" s="11">
        <f>[1]ALL!N182</f>
        <v>105.926</v>
      </c>
      <c r="P41" s="11">
        <f>[1]ALL!O182</f>
        <v>102.877</v>
      </c>
      <c r="Q41" s="11">
        <f>[1]ALL!P182</f>
        <v>82.574200000000005</v>
      </c>
      <c r="R41" s="11">
        <f>[1]ALL!Q182</f>
        <v>68.384500000000003</v>
      </c>
      <c r="S41" s="11">
        <f>[1]ALL!R37</f>
        <v>0</v>
      </c>
      <c r="T41" s="9"/>
      <c r="U41" s="9"/>
      <c r="V41" s="10"/>
    </row>
    <row r="42" spans="1:22">
      <c r="A42" s="2">
        <v>24</v>
      </c>
      <c r="B42" s="1" t="str">
        <f>[1]ALL!A25</f>
        <v>118</v>
      </c>
      <c r="C42" s="2" t="str">
        <f>[1]ALL!B25</f>
        <v>Robonauts</v>
      </c>
      <c r="D42" s="2" t="str">
        <f>[1]ALL!C25</f>
        <v>Clear Creek ISD</v>
      </c>
      <c r="E42" s="2" t="str">
        <f>[1]ALL!D25</f>
        <v>League City, Texas, United States</v>
      </c>
      <c r="F42" s="8">
        <f>[1]ALL!E25</f>
        <v>300</v>
      </c>
      <c r="G42" s="8">
        <f>[1]ALL!F25</f>
        <v>305</v>
      </c>
      <c r="H42" s="8">
        <f>[1]ALL!G25</f>
        <v>202.67599999999999</v>
      </c>
      <c r="I42" s="11">
        <f>[1]ALL!H25</f>
        <v>202.67599999999999</v>
      </c>
      <c r="J42" s="11">
        <f>[1]ALL!I25</f>
        <v>121.91500000000001</v>
      </c>
      <c r="K42" s="11">
        <f>[1]ALL!J25</f>
        <v>158.59700000000001</v>
      </c>
      <c r="L42" s="11">
        <f>[1]ALL!K25</f>
        <v>163.447</v>
      </c>
      <c r="M42" s="11">
        <f>[1]ALL!L25</f>
        <v>82.5471</v>
      </c>
      <c r="N42" s="11">
        <f>[1]ALL!M25</f>
        <v>0</v>
      </c>
      <c r="O42" s="11">
        <f>[1]ALL!N25</f>
        <v>0</v>
      </c>
      <c r="P42" s="11">
        <f>[1]ALL!O25</f>
        <v>0</v>
      </c>
      <c r="Q42" s="11">
        <f>[1]ALL!P25</f>
        <v>0</v>
      </c>
      <c r="R42" s="11">
        <f>[1]ALL!Q25</f>
        <v>0</v>
      </c>
      <c r="S42" s="11">
        <f>[1]ALL!R38</f>
        <v>0</v>
      </c>
      <c r="T42" s="9"/>
      <c r="U42" s="9"/>
      <c r="V42" s="10"/>
    </row>
    <row r="43" spans="1:22">
      <c r="A43" s="2">
        <v>31</v>
      </c>
      <c r="B43" s="1" t="str">
        <f>[1]ALL!A32</f>
        <v>169Y</v>
      </c>
      <c r="C43" s="2" t="str">
        <f>[1]ALL!B32</f>
        <v>The Cavalry</v>
      </c>
      <c r="D43" s="2" t="str">
        <f>[1]ALL!C32</f>
        <v>Haverford School Robotics</v>
      </c>
      <c r="E43" s="2" t="str">
        <f>[1]ALL!D32</f>
        <v>Haverford, Pennsylvania, United States</v>
      </c>
      <c r="F43" s="8">
        <f>[1]ALL!E32</f>
        <v>262</v>
      </c>
      <c r="G43" s="8">
        <f>[1]ALL!F32</f>
        <v>305</v>
      </c>
      <c r="H43" s="8">
        <f>[1]ALL!G32</f>
        <v>104.93</v>
      </c>
      <c r="I43" s="11">
        <f>[1]ALL!H32</f>
        <v>104.93</v>
      </c>
      <c r="J43" s="11">
        <f>[1]ALL!I32</f>
        <v>77.441900000000004</v>
      </c>
      <c r="K43" s="11">
        <f>[1]ALL!J32</f>
        <v>96.641199999999998</v>
      </c>
      <c r="L43" s="11">
        <f>[1]ALL!K32</f>
        <v>78.876900000000006</v>
      </c>
      <c r="M43" s="11">
        <f>[1]ALL!L32</f>
        <v>89.7012</v>
      </c>
      <c r="N43" s="11">
        <f>[1]ALL!M32</f>
        <v>0</v>
      </c>
      <c r="O43" s="11">
        <f>[1]ALL!N32</f>
        <v>0</v>
      </c>
      <c r="P43" s="11">
        <f>[1]ALL!O32</f>
        <v>0</v>
      </c>
      <c r="Q43" s="11">
        <f>[1]ALL!P32</f>
        <v>0</v>
      </c>
      <c r="R43" s="11">
        <f>[1]ALL!Q32</f>
        <v>0</v>
      </c>
      <c r="S43" s="11">
        <f>[1]ALL!R39</f>
        <v>0</v>
      </c>
      <c r="T43" s="9"/>
      <c r="U43" s="9"/>
      <c r="V43" s="10"/>
    </row>
    <row r="44" spans="1:22">
      <c r="A44" s="2">
        <v>426</v>
      </c>
      <c r="B44" s="1" t="str">
        <f>[1]ALL!A427</f>
        <v>8675</v>
      </c>
      <c r="C44" s="2" t="str">
        <f>[1]ALL!B427</f>
        <v>Fuzzy Wuzzy 2.0</v>
      </c>
      <c r="D44" s="2" t="str">
        <f>[1]ALL!C427</f>
        <v>National Robotics Academy, Inc.</v>
      </c>
      <c r="E44" s="2" t="str">
        <f>[1]ALL!D427</f>
        <v>Waterloo, Nebraska, United States</v>
      </c>
      <c r="F44" s="8">
        <f>[1]ALL!E427</f>
        <v>106</v>
      </c>
      <c r="G44" s="8">
        <f>[1]ALL!F427</f>
        <v>303</v>
      </c>
      <c r="H44" s="8">
        <f>[1]ALL!G427</f>
        <v>55.563200000000002</v>
      </c>
      <c r="I44" s="11">
        <f>[1]ALL!H427</f>
        <v>26.0364</v>
      </c>
      <c r="J44" s="11">
        <f>[1]ALL!I427</f>
        <v>32.0184</v>
      </c>
      <c r="K44" s="11">
        <f>[1]ALL!J427</f>
        <v>34.992100000000001</v>
      </c>
      <c r="L44" s="11">
        <f>[1]ALL!K427</f>
        <v>55.563200000000002</v>
      </c>
      <c r="M44" s="11">
        <f>[1]ALL!L427</f>
        <v>0</v>
      </c>
      <c r="N44" s="11">
        <f>[1]ALL!M427</f>
        <v>0</v>
      </c>
      <c r="O44" s="11">
        <f>[1]ALL!N427</f>
        <v>0</v>
      </c>
      <c r="P44" s="11">
        <f>[1]ALL!O427</f>
        <v>0</v>
      </c>
      <c r="Q44" s="11">
        <f>[1]ALL!P427</f>
        <v>0</v>
      </c>
      <c r="R44" s="11">
        <f>[1]ALL!Q427</f>
        <v>0</v>
      </c>
      <c r="S44" s="11">
        <f>[1]ALL!R40</f>
        <v>0</v>
      </c>
      <c r="T44" s="9"/>
      <c r="U44" s="9"/>
      <c r="V44" s="10"/>
    </row>
    <row r="45" spans="1:22">
      <c r="A45" s="2">
        <v>96</v>
      </c>
      <c r="B45" s="1" t="str">
        <f>[1]ALL!A97</f>
        <v>986B</v>
      </c>
      <c r="C45" s="2" t="str">
        <f>[1]ALL!B97</f>
        <v>Lancers B</v>
      </c>
      <c r="D45" s="2" t="str">
        <f>[1]ALL!C97</f>
        <v>Grace Brethren JH/High School</v>
      </c>
      <c r="E45" s="2" t="str">
        <f>[1]ALL!D97</f>
        <v>Simi Valley, California, United States</v>
      </c>
      <c r="F45" s="8">
        <f>[1]ALL!E97</f>
        <v>320</v>
      </c>
      <c r="G45" s="8">
        <f>[1]ALL!F97</f>
        <v>302</v>
      </c>
      <c r="H45" s="8">
        <f>[1]ALL!G97</f>
        <v>161.22200000000001</v>
      </c>
      <c r="I45" s="11">
        <f>[1]ALL!H97</f>
        <v>145.33500000000001</v>
      </c>
      <c r="J45" s="11">
        <f>[1]ALL!I97</f>
        <v>161.22200000000001</v>
      </c>
      <c r="K45" s="11">
        <f>[1]ALL!J97</f>
        <v>160.44900000000001</v>
      </c>
      <c r="L45" s="11">
        <f>[1]ALL!K97</f>
        <v>132.45699999999999</v>
      </c>
      <c r="M45" s="11">
        <f>[1]ALL!L97</f>
        <v>105.256</v>
      </c>
      <c r="N45" s="11">
        <f>[1]ALL!M97</f>
        <v>0</v>
      </c>
      <c r="O45" s="11">
        <f>[1]ALL!N97</f>
        <v>0</v>
      </c>
      <c r="P45" s="11">
        <f>[1]ALL!O97</f>
        <v>0</v>
      </c>
      <c r="Q45" s="11">
        <f>[1]ALL!P97</f>
        <v>0</v>
      </c>
      <c r="R45" s="11">
        <f>[1]ALL!Q97</f>
        <v>0</v>
      </c>
      <c r="S45" s="11">
        <f>[1]ALL!R41</f>
        <v>0</v>
      </c>
      <c r="T45" s="9"/>
      <c r="U45" s="9"/>
      <c r="V45" s="10"/>
    </row>
    <row r="46" spans="1:22">
      <c r="A46" s="2">
        <v>156</v>
      </c>
      <c r="B46" s="1" t="str">
        <f>[1]ALL!A157</f>
        <v>1970K</v>
      </c>
      <c r="C46" s="2" t="str">
        <f>[1]ALL!B157</f>
        <v>Knight Shift</v>
      </c>
      <c r="D46" s="2" t="str">
        <f>[1]ALL!C157</f>
        <v>Mount Michael Benedictine High School</v>
      </c>
      <c r="E46" s="2" t="str">
        <f>[1]ALL!D157</f>
        <v>Elkhorn, Nebraska, United States</v>
      </c>
      <c r="F46" s="8">
        <f>[1]ALL!E157</f>
        <v>297</v>
      </c>
      <c r="G46" s="8">
        <f>[1]ALL!F157</f>
        <v>302</v>
      </c>
      <c r="H46" s="8">
        <f>[1]ALL!G157</f>
        <v>89.0488</v>
      </c>
      <c r="I46" s="11">
        <f>[1]ALL!H157</f>
        <v>88.721800000000002</v>
      </c>
      <c r="J46" s="11">
        <f>[1]ALL!I157</f>
        <v>89.0488</v>
      </c>
      <c r="K46" s="11">
        <f>[1]ALL!J157</f>
        <v>75.042400000000001</v>
      </c>
      <c r="L46" s="11">
        <f>[1]ALL!K157</f>
        <v>47.041699999999999</v>
      </c>
      <c r="M46" s="11">
        <f>[1]ALL!L157</f>
        <v>33.590000000000003</v>
      </c>
      <c r="N46" s="11">
        <f>[1]ALL!M157</f>
        <v>66.888000000000005</v>
      </c>
      <c r="O46" s="11">
        <f>[1]ALL!N157</f>
        <v>51.243099999999998</v>
      </c>
      <c r="P46" s="11">
        <f>[1]ALL!O157</f>
        <v>0</v>
      </c>
      <c r="Q46" s="11">
        <f>[1]ALL!P157</f>
        <v>0</v>
      </c>
      <c r="R46" s="11">
        <f>[1]ALL!Q157</f>
        <v>0</v>
      </c>
      <c r="S46" s="11">
        <f>[1]ALL!R42</f>
        <v>0</v>
      </c>
      <c r="T46" s="9"/>
      <c r="U46" s="9"/>
      <c r="V46" s="10"/>
    </row>
    <row r="47" spans="1:22">
      <c r="A47" s="2">
        <v>341</v>
      </c>
      <c r="B47" s="1" t="str">
        <f>[1]ALL!A342</f>
        <v>6659</v>
      </c>
      <c r="C47" s="2" t="str">
        <f>[1]ALL!B342</f>
        <v>Jackie Moon</v>
      </c>
      <c r="D47" s="2" t="str">
        <f>[1]ALL!C342</f>
        <v>Master's Academy &amp; College</v>
      </c>
      <c r="E47" s="2" t="str">
        <f>[1]ALL!D342</f>
        <v>Calgary, Alberta, Canada</v>
      </c>
      <c r="F47" s="8">
        <f>[1]ALL!E342</f>
        <v>176</v>
      </c>
      <c r="G47" s="8">
        <f>[1]ALL!F342</f>
        <v>301</v>
      </c>
      <c r="H47" s="8">
        <f>[1]ALL!G342</f>
        <v>121.7</v>
      </c>
      <c r="I47" s="11">
        <f>[1]ALL!H342</f>
        <v>91.950699999999998</v>
      </c>
      <c r="J47" s="11">
        <f>[1]ALL!I342</f>
        <v>121.7</v>
      </c>
      <c r="K47" s="11">
        <f>[1]ALL!J342</f>
        <v>102.002</v>
      </c>
      <c r="L47" s="11">
        <f>[1]ALL!K342</f>
        <v>31.083200000000001</v>
      </c>
      <c r="M47" s="11">
        <f>[1]ALL!L342</f>
        <v>0</v>
      </c>
      <c r="N47" s="11">
        <f>[1]ALL!M342</f>
        <v>0</v>
      </c>
      <c r="O47" s="11">
        <f>[1]ALL!N342</f>
        <v>0</v>
      </c>
      <c r="P47" s="11">
        <f>[1]ALL!O342</f>
        <v>0</v>
      </c>
      <c r="Q47" s="11">
        <f>[1]ALL!P342</f>
        <v>0</v>
      </c>
      <c r="R47" s="11">
        <f>[1]ALL!Q342</f>
        <v>0</v>
      </c>
      <c r="S47" s="11">
        <f>[1]ALL!R43</f>
        <v>0</v>
      </c>
      <c r="T47" s="9"/>
      <c r="U47" s="9"/>
      <c r="V47" s="10"/>
    </row>
    <row r="48" spans="1:22">
      <c r="A48" s="2">
        <v>455</v>
      </c>
      <c r="B48" s="1" t="str">
        <f>[1]ALL!A456</f>
        <v>9282</v>
      </c>
      <c r="C48" s="2" t="str">
        <f>[1]ALL!B456</f>
        <v>Freezing Code</v>
      </c>
      <c r="D48" s="2" t="str">
        <f>[1]ALL!C456</f>
        <v>Freezing Code Robotics Club</v>
      </c>
      <c r="E48" s="2" t="str">
        <f>[1]ALL!D456</f>
        <v>Oswego, New York, United States</v>
      </c>
      <c r="F48" s="8">
        <f>[1]ALL!E456</f>
        <v>150</v>
      </c>
      <c r="G48" s="8">
        <f>[1]ALL!F456</f>
        <v>300</v>
      </c>
      <c r="H48" s="8">
        <f>[1]ALL!G456</f>
        <v>140.32900000000001</v>
      </c>
      <c r="I48" s="11">
        <f>[1]ALL!H456</f>
        <v>140.32900000000001</v>
      </c>
      <c r="J48" s="11">
        <f>[1]ALL!I456</f>
        <v>133.898</v>
      </c>
      <c r="K48" s="11">
        <f>[1]ALL!J456</f>
        <v>54.665999999999997</v>
      </c>
      <c r="L48" s="11">
        <f>[1]ALL!K456</f>
        <v>77.057299999999998</v>
      </c>
      <c r="M48" s="11">
        <f>[1]ALL!L456</f>
        <v>0</v>
      </c>
      <c r="N48" s="11">
        <f>[1]ALL!M456</f>
        <v>46.993099999999998</v>
      </c>
      <c r="O48" s="11">
        <f>[1]ALL!N456</f>
        <v>64.642099999999999</v>
      </c>
      <c r="P48" s="11">
        <f>[1]ALL!O456</f>
        <v>14.107200000000001</v>
      </c>
      <c r="Q48" s="11">
        <f>[1]ALL!P456</f>
        <v>49.549700000000001</v>
      </c>
      <c r="R48" s="11">
        <f>[1]ALL!Q456</f>
        <v>0</v>
      </c>
      <c r="S48" s="11">
        <f>[1]ALL!R44</f>
        <v>0</v>
      </c>
      <c r="T48" s="9"/>
      <c r="U48" s="9"/>
      <c r="V48" s="10"/>
    </row>
    <row r="49" spans="1:22">
      <c r="A49" s="2">
        <v>418</v>
      </c>
      <c r="B49" s="1" t="str">
        <f>[1]ALL!A419</f>
        <v>8568A</v>
      </c>
      <c r="C49" s="2" t="str">
        <f>[1]ALL!B419</f>
        <v>Knights</v>
      </c>
      <c r="D49" s="2" t="str">
        <f>[1]ALL!C419</f>
        <v>North Andover High School</v>
      </c>
      <c r="E49" s="2" t="str">
        <f>[1]ALL!D419</f>
        <v>North Andover, Massachusetts, United States</v>
      </c>
      <c r="F49" s="8">
        <f>[1]ALL!E419</f>
        <v>340</v>
      </c>
      <c r="G49" s="8">
        <f>[1]ALL!F419</f>
        <v>298</v>
      </c>
      <c r="H49" s="8">
        <f>[1]ALL!G419</f>
        <v>55.2575</v>
      </c>
      <c r="I49" s="11">
        <f>[1]ALL!H419</f>
        <v>42.392299999999999</v>
      </c>
      <c r="J49" s="11">
        <f>[1]ALL!I419</f>
        <v>55.2575</v>
      </c>
      <c r="K49" s="11">
        <f>[1]ALL!J419</f>
        <v>30.300699999999999</v>
      </c>
      <c r="L49" s="11">
        <f>[1]ALL!K419</f>
        <v>33.899900000000002</v>
      </c>
      <c r="M49" s="11">
        <f>[1]ALL!L419</f>
        <v>0</v>
      </c>
      <c r="N49" s="11">
        <f>[1]ALL!M419</f>
        <v>0</v>
      </c>
      <c r="O49" s="11">
        <f>[1]ALL!N419</f>
        <v>0</v>
      </c>
      <c r="P49" s="11">
        <f>[1]ALL!O419</f>
        <v>0</v>
      </c>
      <c r="Q49" s="11">
        <f>[1]ALL!P419</f>
        <v>0</v>
      </c>
      <c r="R49" s="11">
        <f>[1]ALL!Q419</f>
        <v>0</v>
      </c>
      <c r="S49" s="11">
        <f>[1]ALL!R45</f>
        <v>0</v>
      </c>
      <c r="T49" s="9"/>
      <c r="U49" s="9"/>
      <c r="V49" s="10"/>
    </row>
    <row r="50" spans="1:22">
      <c r="A50" s="2">
        <v>397</v>
      </c>
      <c r="B50" s="1" t="str">
        <f>[1]ALL!A398</f>
        <v>7983G</v>
      </c>
      <c r="C50" s="2" t="str">
        <f>[1]ALL!B398</f>
        <v>Centennial CyberHawks</v>
      </c>
      <c r="D50" s="2" t="str">
        <f>[1]ALL!C398</f>
        <v>Centennial High School</v>
      </c>
      <c r="E50" s="2" t="str">
        <f>[1]ALL!D398</f>
        <v>Bakersfield, California, United States</v>
      </c>
      <c r="F50" s="8">
        <f>[1]ALL!E398</f>
        <v>331</v>
      </c>
      <c r="G50" s="8">
        <f>[1]ALL!F398</f>
        <v>297</v>
      </c>
      <c r="H50" s="8">
        <f>[1]ALL!G398</f>
        <v>154.762</v>
      </c>
      <c r="I50" s="11">
        <f>[1]ALL!H398</f>
        <v>114.123</v>
      </c>
      <c r="J50" s="11">
        <f>[1]ALL!I398</f>
        <v>104.84699999999999</v>
      </c>
      <c r="K50" s="11">
        <f>[1]ALL!J398</f>
        <v>154.762</v>
      </c>
      <c r="L50" s="11">
        <f>[1]ALL!K398</f>
        <v>144.589</v>
      </c>
      <c r="M50" s="11">
        <f>[1]ALL!L398</f>
        <v>78.489199999999997</v>
      </c>
      <c r="N50" s="11">
        <f>[1]ALL!M398</f>
        <v>0</v>
      </c>
      <c r="O50" s="11">
        <f>[1]ALL!N398</f>
        <v>0</v>
      </c>
      <c r="P50" s="11">
        <f>[1]ALL!O398</f>
        <v>0</v>
      </c>
      <c r="Q50" s="11">
        <f>[1]ALL!P398</f>
        <v>0</v>
      </c>
      <c r="R50" s="11">
        <f>[1]ALL!Q398</f>
        <v>0</v>
      </c>
      <c r="S50" s="11">
        <f>[1]ALL!R46</f>
        <v>0</v>
      </c>
      <c r="T50" s="9"/>
      <c r="U50" s="9"/>
      <c r="V50" s="10"/>
    </row>
    <row r="51" spans="1:22">
      <c r="A51" s="2">
        <v>166</v>
      </c>
      <c r="B51" s="1" t="str">
        <f>[1]ALL!A167</f>
        <v>2131E</v>
      </c>
      <c r="C51" s="2" t="str">
        <f>[1]ALL!B167</f>
        <v>How do you turn this on?</v>
      </c>
      <c r="D51" s="2" t="str">
        <f>[1]ALL!C167</f>
        <v>Davis High School</v>
      </c>
      <c r="E51" s="2" t="str">
        <f>[1]ALL!D167</f>
        <v>Kaysville, Utah, United States</v>
      </c>
      <c r="F51" s="8">
        <f>[1]ALL!E167</f>
        <v>325</v>
      </c>
      <c r="G51" s="8">
        <f>[1]ALL!F167</f>
        <v>296</v>
      </c>
      <c r="H51" s="8">
        <f>[1]ALL!G167</f>
        <v>146.57400000000001</v>
      </c>
      <c r="I51" s="11">
        <f>[1]ALL!H167</f>
        <v>0</v>
      </c>
      <c r="J51" s="11">
        <f>[1]ALL!I167</f>
        <v>71.516499999999994</v>
      </c>
      <c r="K51" s="11">
        <f>[1]ALL!J167</f>
        <v>93.179000000000002</v>
      </c>
      <c r="L51" s="11">
        <f>[1]ALL!K167</f>
        <v>89.042100000000005</v>
      </c>
      <c r="M51" s="11">
        <f>[1]ALL!L167</f>
        <v>113.093</v>
      </c>
      <c r="N51" s="11">
        <f>[1]ALL!M167</f>
        <v>126.337</v>
      </c>
      <c r="O51" s="11">
        <f>[1]ALL!N167</f>
        <v>123.038</v>
      </c>
      <c r="P51" s="11">
        <f>[1]ALL!O167</f>
        <v>111.53700000000001</v>
      </c>
      <c r="Q51" s="11">
        <f>[1]ALL!P167</f>
        <v>129.94800000000001</v>
      </c>
      <c r="R51" s="11">
        <f>[1]ALL!Q167</f>
        <v>146.57400000000001</v>
      </c>
      <c r="S51" s="11">
        <f>[1]ALL!R47</f>
        <v>0</v>
      </c>
      <c r="T51" s="9"/>
      <c r="U51" s="9"/>
      <c r="V51" s="10"/>
    </row>
    <row r="52" spans="1:22">
      <c r="A52" s="2">
        <v>21</v>
      </c>
      <c r="B52" s="1" t="str">
        <f>[1]ALL!A22</f>
        <v>69</v>
      </c>
      <c r="C52" s="2" t="str">
        <f>[1]ALL!B22</f>
        <v xml:space="preserve">Hav U Seen? -  🍁 </v>
      </c>
      <c r="D52" s="2" t="str">
        <f>[1]ALL!C22</f>
        <v>Independent</v>
      </c>
      <c r="E52" s="2" t="str">
        <f>[1]ALL!D22</f>
        <v>Bloomfield Hills, Michigan, United States</v>
      </c>
      <c r="F52" s="8">
        <f>[1]ALL!E22</f>
        <v>313</v>
      </c>
      <c r="G52" s="8">
        <f>[1]ALL!F22</f>
        <v>296</v>
      </c>
      <c r="H52" s="8">
        <f>[1]ALL!G22</f>
        <v>118.947</v>
      </c>
      <c r="I52" s="11">
        <f>[1]ALL!H22</f>
        <v>61.668900000000001</v>
      </c>
      <c r="J52" s="11">
        <f>[1]ALL!I22</f>
        <v>118.947</v>
      </c>
      <c r="K52" s="11">
        <f>[1]ALL!J22</f>
        <v>85.060500000000005</v>
      </c>
      <c r="L52" s="11">
        <f>[1]ALL!K22</f>
        <v>65.999300000000005</v>
      </c>
      <c r="M52" s="11">
        <f>[1]ALL!L22</f>
        <v>81.7333</v>
      </c>
      <c r="N52" s="11">
        <f>[1]ALL!M22</f>
        <v>45.441200000000002</v>
      </c>
      <c r="O52" s="11">
        <f>[1]ALL!N22</f>
        <v>22.520299999999999</v>
      </c>
      <c r="P52" s="11">
        <f>[1]ALL!O22</f>
        <v>0</v>
      </c>
      <c r="Q52" s="11">
        <f>[1]ALL!P22</f>
        <v>0</v>
      </c>
      <c r="R52" s="11">
        <f>[1]ALL!Q22</f>
        <v>0</v>
      </c>
      <c r="S52" s="11">
        <f>[1]ALL!R48</f>
        <v>0</v>
      </c>
      <c r="T52" s="9"/>
      <c r="U52" s="9"/>
      <c r="V52" s="10"/>
    </row>
    <row r="53" spans="1:22">
      <c r="A53" s="2">
        <v>301</v>
      </c>
      <c r="B53" s="1" t="str">
        <f>[1]ALL!A302</f>
        <v>5772C</v>
      </c>
      <c r="C53" s="2" t="str">
        <f>[1]ALL!B302</f>
        <v>Eaglebots</v>
      </c>
      <c r="D53" s="2" t="str">
        <f>[1]ALL!C302</f>
        <v>The Harker School</v>
      </c>
      <c r="E53" s="2" t="str">
        <f>[1]ALL!D302</f>
        <v>Santa Clara, California, United States</v>
      </c>
      <c r="F53" s="8">
        <f>[1]ALL!E302</f>
        <v>275</v>
      </c>
      <c r="G53" s="8">
        <f>[1]ALL!F302</f>
        <v>296</v>
      </c>
      <c r="H53" s="8">
        <f>[1]ALL!G302</f>
        <v>103.05200000000001</v>
      </c>
      <c r="I53" s="11">
        <f>[1]ALL!H302</f>
        <v>49.258400000000002</v>
      </c>
      <c r="J53" s="11">
        <f>[1]ALL!I302</f>
        <v>103.05200000000001</v>
      </c>
      <c r="K53" s="11">
        <f>[1]ALL!J302</f>
        <v>17.049399999999999</v>
      </c>
      <c r="L53" s="11">
        <f>[1]ALL!K302</f>
        <v>34.848300000000002</v>
      </c>
      <c r="M53" s="11">
        <f>[1]ALL!L302</f>
        <v>49.651899999999998</v>
      </c>
      <c r="N53" s="11">
        <f>[1]ALL!M302</f>
        <v>0</v>
      </c>
      <c r="O53" s="11">
        <f>[1]ALL!N302</f>
        <v>0</v>
      </c>
      <c r="P53" s="11">
        <f>[1]ALL!O302</f>
        <v>0</v>
      </c>
      <c r="Q53" s="11">
        <f>[1]ALL!P302</f>
        <v>0</v>
      </c>
      <c r="R53" s="11">
        <f>[1]ALL!Q302</f>
        <v>0</v>
      </c>
      <c r="S53" s="11">
        <f>[1]ALL!R49</f>
        <v>0</v>
      </c>
      <c r="T53" s="9"/>
      <c r="U53" s="9"/>
      <c r="V53" s="10"/>
    </row>
    <row r="54" spans="1:22">
      <c r="A54" s="2">
        <v>131</v>
      </c>
      <c r="B54" s="1" t="str">
        <f>[1]ALL!A132</f>
        <v>1410L</v>
      </c>
      <c r="C54" s="2" t="str">
        <f>[1]ALL!B132</f>
        <v>Utopic Unicorns</v>
      </c>
      <c r="D54" s="2" t="str">
        <f>[1]ALL!C132</f>
        <v>Newport and Interlake HS</v>
      </c>
      <c r="E54" s="2" t="str">
        <f>[1]ALL!D132</f>
        <v>Bellevue, Washington, United States</v>
      </c>
      <c r="F54" s="8">
        <f>[1]ALL!E132</f>
        <v>280</v>
      </c>
      <c r="G54" s="8">
        <f>[1]ALL!F132</f>
        <v>295</v>
      </c>
      <c r="H54" s="8">
        <f>[1]ALL!G132</f>
        <v>119.976</v>
      </c>
      <c r="I54" s="11">
        <f>[1]ALL!H132</f>
        <v>114.49</v>
      </c>
      <c r="J54" s="11">
        <f>[1]ALL!I132</f>
        <v>96.1798</v>
      </c>
      <c r="K54" s="11">
        <f>[1]ALL!J132</f>
        <v>108.34099999999999</v>
      </c>
      <c r="L54" s="11">
        <f>[1]ALL!K132</f>
        <v>119.976</v>
      </c>
      <c r="M54" s="11">
        <f>[1]ALL!L132</f>
        <v>36.528100000000002</v>
      </c>
      <c r="N54" s="11">
        <f>[1]ALL!M132</f>
        <v>52.006999999999998</v>
      </c>
      <c r="O54" s="11">
        <f>[1]ALL!N132</f>
        <v>0</v>
      </c>
      <c r="P54" s="11">
        <f>[1]ALL!O132</f>
        <v>0</v>
      </c>
      <c r="Q54" s="11">
        <f>[1]ALL!P132</f>
        <v>0</v>
      </c>
      <c r="R54" s="11">
        <f>[1]ALL!Q132</f>
        <v>0</v>
      </c>
      <c r="S54" s="11">
        <f>[1]ALL!R50</f>
        <v>0</v>
      </c>
      <c r="T54" s="9"/>
      <c r="U54" s="9"/>
      <c r="V54" s="10"/>
    </row>
    <row r="55" spans="1:22">
      <c r="A55" s="2">
        <v>380</v>
      </c>
      <c r="B55" s="1" t="str">
        <f>[1]ALL!A381</f>
        <v>7682</v>
      </c>
      <c r="C55" s="2" t="str">
        <f>[1]ALL!B381</f>
        <v>Wingus &amp; Dingus</v>
      </c>
      <c r="D55" s="2" t="str">
        <f>[1]ALL!C381</f>
        <v>Wingus &amp; Dingus Robotics</v>
      </c>
      <c r="E55" s="2" t="str">
        <f>[1]ALL!D381</f>
        <v>Auckland, N/A, New Zealand</v>
      </c>
      <c r="F55" s="8">
        <f>[1]ALL!E381</f>
        <v>313</v>
      </c>
      <c r="G55" s="8">
        <f>[1]ALL!F381</f>
        <v>294</v>
      </c>
      <c r="H55" s="8">
        <f>[1]ALL!G381</f>
        <v>110.089</v>
      </c>
      <c r="I55" s="11">
        <f>[1]ALL!H381</f>
        <v>92.918599999999998</v>
      </c>
      <c r="J55" s="11">
        <f>[1]ALL!I381</f>
        <v>109.376</v>
      </c>
      <c r="K55" s="11">
        <f>[1]ALL!J381</f>
        <v>110.089</v>
      </c>
      <c r="L55" s="11">
        <f>[1]ALL!K381</f>
        <v>0</v>
      </c>
      <c r="M55" s="11">
        <f>[1]ALL!L381</f>
        <v>0</v>
      </c>
      <c r="N55" s="11">
        <f>[1]ALL!M381</f>
        <v>0</v>
      </c>
      <c r="O55" s="11">
        <f>[1]ALL!N381</f>
        <v>0</v>
      </c>
      <c r="P55" s="11">
        <f>[1]ALL!O381</f>
        <v>0</v>
      </c>
      <c r="Q55" s="11">
        <f>[1]ALL!P381</f>
        <v>0</v>
      </c>
      <c r="R55" s="11">
        <f>[1]ALL!Q381</f>
        <v>0</v>
      </c>
      <c r="S55" s="11">
        <f>[1]ALL!R51</f>
        <v>0</v>
      </c>
      <c r="T55" s="9"/>
      <c r="U55" s="9"/>
      <c r="V55" s="10"/>
    </row>
    <row r="56" spans="1:22">
      <c r="A56" s="2">
        <v>210</v>
      </c>
      <c r="B56" s="1" t="str">
        <f>[1]ALL!A211</f>
        <v>3314E</v>
      </c>
      <c r="C56" s="2" t="str">
        <f>[1]ALL!B211</f>
        <v>RoboPi</v>
      </c>
      <c r="D56" s="2" t="str">
        <f>[1]ALL!C211</f>
        <v>PACE</v>
      </c>
      <c r="E56" s="2" t="str">
        <f>[1]ALL!D211</f>
        <v>Richmond Hill, Ontario, Canada</v>
      </c>
      <c r="F56" s="8">
        <f>[1]ALL!E211</f>
        <v>213</v>
      </c>
      <c r="G56" s="8">
        <f>[1]ALL!F211</f>
        <v>294</v>
      </c>
      <c r="H56" s="8">
        <f>[1]ALL!G211</f>
        <v>75.259200000000007</v>
      </c>
      <c r="I56" s="11">
        <f>[1]ALL!H211</f>
        <v>69.329599999999999</v>
      </c>
      <c r="J56" s="11">
        <f>[1]ALL!I211</f>
        <v>75.259200000000007</v>
      </c>
      <c r="K56" s="11">
        <f>[1]ALL!J211</f>
        <v>65.828800000000001</v>
      </c>
      <c r="L56" s="11">
        <f>[1]ALL!K211</f>
        <v>34.058</v>
      </c>
      <c r="M56" s="11">
        <f>[1]ALL!L211</f>
        <v>0</v>
      </c>
      <c r="N56" s="11">
        <f>[1]ALL!M211</f>
        <v>0</v>
      </c>
      <c r="O56" s="11">
        <f>[1]ALL!N211</f>
        <v>0</v>
      </c>
      <c r="P56" s="11">
        <f>[1]ALL!O211</f>
        <v>0</v>
      </c>
      <c r="Q56" s="11">
        <f>[1]ALL!P211</f>
        <v>0</v>
      </c>
      <c r="R56" s="11">
        <f>[1]ALL!Q211</f>
        <v>0</v>
      </c>
      <c r="S56" s="11">
        <f>[1]ALL!R52</f>
        <v>0</v>
      </c>
      <c r="T56" s="9"/>
      <c r="U56" s="9"/>
      <c r="V56" s="10"/>
    </row>
    <row r="57" spans="1:22">
      <c r="A57" s="2">
        <v>56</v>
      </c>
      <c r="B57" s="1" t="str">
        <f>[1]ALL!A57</f>
        <v>356B</v>
      </c>
      <c r="C57" s="2" t="str">
        <f>[1]ALL!B57</f>
        <v>THE DRAGONS</v>
      </c>
      <c r="D57" s="2" t="str">
        <f>[1]ALL!C57</f>
        <v>THE DRAGONS</v>
      </c>
      <c r="E57" s="2" t="str">
        <f>[1]ALL!D57</f>
        <v>Brampton, Ontario, Canada</v>
      </c>
      <c r="F57" s="8">
        <f>[1]ALL!E57</f>
        <v>2</v>
      </c>
      <c r="G57" s="8">
        <f>[1]ALL!F57</f>
        <v>292</v>
      </c>
      <c r="H57" s="8">
        <f>[1]ALL!G57</f>
        <v>61.520499999999998</v>
      </c>
      <c r="I57" s="11">
        <f>[1]ALL!H57</f>
        <v>61.520499999999998</v>
      </c>
      <c r="J57" s="11">
        <f>[1]ALL!I57</f>
        <v>31.004000000000001</v>
      </c>
      <c r="K57" s="11">
        <f>[1]ALL!J57</f>
        <v>10.8574</v>
      </c>
      <c r="L57" s="11">
        <f>[1]ALL!K57</f>
        <v>-5.9510800000000001</v>
      </c>
      <c r="M57" s="11">
        <f>[1]ALL!L57</f>
        <v>46.4619</v>
      </c>
      <c r="N57" s="11">
        <f>[1]ALL!M57</f>
        <v>10.047000000000001</v>
      </c>
      <c r="O57" s="11">
        <f>[1]ALL!N57</f>
        <v>0</v>
      </c>
      <c r="P57" s="11">
        <f>[1]ALL!O57</f>
        <v>0</v>
      </c>
      <c r="Q57" s="11">
        <f>[1]ALL!P57</f>
        <v>0</v>
      </c>
      <c r="R57" s="11">
        <f>[1]ALL!Q57</f>
        <v>0</v>
      </c>
      <c r="S57" s="11">
        <f>[1]ALL!R53</f>
        <v>0</v>
      </c>
      <c r="T57" s="9"/>
      <c r="U57" s="9"/>
      <c r="V57" s="10"/>
    </row>
    <row r="58" spans="1:22">
      <c r="A58" s="2">
        <v>111</v>
      </c>
      <c r="B58" s="1" t="str">
        <f>[1]ALL!A112</f>
        <v>1114M</v>
      </c>
      <c r="C58" s="2" t="str">
        <f>[1]ALL!B112</f>
        <v>Simbotics</v>
      </c>
      <c r="D58" s="2" t="str">
        <f>[1]ALL!C112</f>
        <v>Governor Simcoe Secondary School</v>
      </c>
      <c r="E58" s="2" t="str">
        <f>[1]ALL!D112</f>
        <v>St Catharines, Ontario, Canada</v>
      </c>
      <c r="F58" s="8">
        <f>[1]ALL!E112</f>
        <v>320</v>
      </c>
      <c r="G58" s="8">
        <f>[1]ALL!F112</f>
        <v>291</v>
      </c>
      <c r="H58" s="8">
        <f>[1]ALL!G112</f>
        <v>132.738</v>
      </c>
      <c r="I58" s="11">
        <f>[1]ALL!H112</f>
        <v>123.08199999999999</v>
      </c>
      <c r="J58" s="11">
        <f>[1]ALL!I112</f>
        <v>31.989899999999999</v>
      </c>
      <c r="K58" s="11">
        <f>[1]ALL!J112</f>
        <v>132.738</v>
      </c>
      <c r="L58" s="11">
        <f>[1]ALL!K112</f>
        <v>0</v>
      </c>
      <c r="M58" s="11">
        <f>[1]ALL!L112</f>
        <v>0</v>
      </c>
      <c r="N58" s="11">
        <f>[1]ALL!M112</f>
        <v>0</v>
      </c>
      <c r="O58" s="11">
        <f>[1]ALL!N112</f>
        <v>0</v>
      </c>
      <c r="P58" s="11">
        <f>[1]ALL!O112</f>
        <v>0</v>
      </c>
      <c r="Q58" s="11">
        <f>[1]ALL!P112</f>
        <v>0</v>
      </c>
      <c r="R58" s="11">
        <f>[1]ALL!Q112</f>
        <v>0</v>
      </c>
      <c r="S58" s="11">
        <f>[1]ALL!R54</f>
        <v>0</v>
      </c>
      <c r="T58" s="9"/>
      <c r="U58" s="9"/>
      <c r="V58" s="10"/>
    </row>
    <row r="59" spans="1:22">
      <c r="A59" s="2">
        <v>91</v>
      </c>
      <c r="B59" s="1" t="str">
        <f>[1]ALL!A92</f>
        <v>929W</v>
      </c>
      <c r="C59" s="2" t="str">
        <f>[1]ALL!B92</f>
        <v>Hereford Zone Robotics</v>
      </c>
      <c r="D59" s="2" t="str">
        <f>[1]ALL!C92</f>
        <v>Hereford High School</v>
      </c>
      <c r="E59" s="2" t="str">
        <f>[1]ALL!D92</f>
        <v>Parkton, Maryland, United States</v>
      </c>
      <c r="F59" s="8">
        <f>[1]ALL!E92</f>
        <v>294</v>
      </c>
      <c r="G59" s="8">
        <f>[1]ALL!F92</f>
        <v>287</v>
      </c>
      <c r="H59" s="8">
        <f>[1]ALL!G92</f>
        <v>126.083</v>
      </c>
      <c r="I59" s="11">
        <f>[1]ALL!H92</f>
        <v>90.029300000000006</v>
      </c>
      <c r="J59" s="11">
        <f>[1]ALL!I92</f>
        <v>126.083</v>
      </c>
      <c r="K59" s="11">
        <f>[1]ALL!J92</f>
        <v>94.180599999999998</v>
      </c>
      <c r="L59" s="11">
        <f>[1]ALL!K92</f>
        <v>94.916799999999995</v>
      </c>
      <c r="M59" s="11">
        <f>[1]ALL!L92</f>
        <v>77.675600000000003</v>
      </c>
      <c r="N59" s="11">
        <f>[1]ALL!M92</f>
        <v>72.485500000000002</v>
      </c>
      <c r="O59" s="11">
        <f>[1]ALL!N92</f>
        <v>42.474499999999999</v>
      </c>
      <c r="P59" s="11">
        <f>[1]ALL!O92</f>
        <v>72.3767</v>
      </c>
      <c r="Q59" s="11">
        <f>[1]ALL!P92</f>
        <v>0</v>
      </c>
      <c r="R59" s="11">
        <f>[1]ALL!Q92</f>
        <v>0</v>
      </c>
      <c r="S59" s="11">
        <f>[1]ALL!R55</f>
        <v>0</v>
      </c>
      <c r="T59" s="9"/>
      <c r="U59" s="9"/>
      <c r="V59" s="10"/>
    </row>
    <row r="60" spans="1:22">
      <c r="A60" s="2">
        <v>279</v>
      </c>
      <c r="B60" s="1" t="str">
        <f>[1]ALL!A280</f>
        <v>5267B</v>
      </c>
      <c r="C60" s="2" t="str">
        <f>[1]ALL!B280</f>
        <v>Skull &amp; Bones</v>
      </c>
      <c r="D60" s="2" t="str">
        <f>[1]ALL!C280</f>
        <v>Braden River High School</v>
      </c>
      <c r="E60" s="2" t="str">
        <f>[1]ALL!D280</f>
        <v>Bradenton, Florida, United States</v>
      </c>
      <c r="F60" s="8">
        <f>[1]ALL!E280</f>
        <v>272</v>
      </c>
      <c r="G60" s="8">
        <f>[1]ALL!F280</f>
        <v>287</v>
      </c>
      <c r="H60" s="8">
        <f>[1]ALL!G280</f>
        <v>130.21</v>
      </c>
      <c r="I60" s="11">
        <f>[1]ALL!H280</f>
        <v>0</v>
      </c>
      <c r="J60" s="11">
        <f>[1]ALL!I280</f>
        <v>94.375200000000007</v>
      </c>
      <c r="K60" s="11">
        <f>[1]ALL!J280</f>
        <v>106.788</v>
      </c>
      <c r="L60" s="11">
        <f>[1]ALL!K280</f>
        <v>113.779</v>
      </c>
      <c r="M60" s="11">
        <f>[1]ALL!L280</f>
        <v>130.21</v>
      </c>
      <c r="N60" s="11">
        <f>[1]ALL!M280</f>
        <v>124.337</v>
      </c>
      <c r="O60" s="11">
        <f>[1]ALL!N280</f>
        <v>112.42400000000001</v>
      </c>
      <c r="P60" s="11">
        <f>[1]ALL!O280</f>
        <v>0</v>
      </c>
      <c r="Q60" s="11">
        <f>[1]ALL!P280</f>
        <v>0</v>
      </c>
      <c r="R60" s="11">
        <f>[1]ALL!Q280</f>
        <v>0</v>
      </c>
      <c r="S60" s="11">
        <f>[1]ALL!R56</f>
        <v>0</v>
      </c>
      <c r="T60" s="9"/>
      <c r="U60" s="9"/>
      <c r="V60" s="10"/>
    </row>
    <row r="61" spans="1:22">
      <c r="A61" s="2">
        <v>50</v>
      </c>
      <c r="B61" s="1" t="str">
        <f>[1]ALL!A51</f>
        <v>323Z</v>
      </c>
      <c r="C61" s="2" t="str">
        <f>[1]ALL!B51</f>
        <v>Aftershock - ☣</v>
      </c>
      <c r="D61" s="2" t="str">
        <f>[1]ALL!C51</f>
        <v>Cornerstone Robotics North</v>
      </c>
      <c r="E61" s="2" t="str">
        <f>[1]ALL!D51</f>
        <v>Indianapolis, Indiana, United States</v>
      </c>
      <c r="F61" s="8">
        <f>[1]ALL!E51</f>
        <v>345</v>
      </c>
      <c r="G61" s="8">
        <f>[1]ALL!F51</f>
        <v>286</v>
      </c>
      <c r="H61" s="8">
        <f>[1]ALL!G51</f>
        <v>122.547</v>
      </c>
      <c r="I61" s="11">
        <f>[1]ALL!H51</f>
        <v>122.547</v>
      </c>
      <c r="J61" s="11">
        <f>[1]ALL!I51</f>
        <v>116.14100000000001</v>
      </c>
      <c r="K61" s="11">
        <f>[1]ALL!J51</f>
        <v>112.631</v>
      </c>
      <c r="L61" s="11">
        <f>[1]ALL!K51</f>
        <v>121.12</v>
      </c>
      <c r="M61" s="11">
        <f>[1]ALL!L51</f>
        <v>85.282499999999999</v>
      </c>
      <c r="N61" s="11">
        <f>[1]ALL!M51</f>
        <v>100.07599999999999</v>
      </c>
      <c r="O61" s="11">
        <f>[1]ALL!N51</f>
        <v>66.046499999999995</v>
      </c>
      <c r="P61" s="11">
        <f>[1]ALL!O51</f>
        <v>0</v>
      </c>
      <c r="Q61" s="11">
        <f>[1]ALL!P51</f>
        <v>0</v>
      </c>
      <c r="R61" s="11">
        <f>[1]ALL!Q51</f>
        <v>0</v>
      </c>
      <c r="S61" s="11">
        <f>[1]ALL!R57</f>
        <v>0</v>
      </c>
      <c r="T61" s="9"/>
      <c r="U61" s="9"/>
      <c r="V61" s="10"/>
    </row>
    <row r="62" spans="1:22">
      <c r="A62" s="2">
        <v>335</v>
      </c>
      <c r="B62" s="1" t="str">
        <f>[1]ALL!A336</f>
        <v>6430</v>
      </c>
      <c r="C62" s="2" t="str">
        <f>[1]ALL!B336</f>
        <v>Trinity Dragons</v>
      </c>
      <c r="D62" s="2" t="str">
        <f>[1]ALL!C336</f>
        <v>Trinity Robotics Club</v>
      </c>
      <c r="E62" s="2" t="str">
        <f>[1]ALL!D336</f>
        <v>Lutz, Florida, United States</v>
      </c>
      <c r="F62" s="8">
        <f>[1]ALL!E336</f>
        <v>331</v>
      </c>
      <c r="G62" s="8">
        <f>[1]ALL!F336</f>
        <v>286</v>
      </c>
      <c r="H62" s="8">
        <f>[1]ALL!G336</f>
        <v>168.34399999999999</v>
      </c>
      <c r="I62" s="11">
        <f>[1]ALL!H336</f>
        <v>161.51499999999999</v>
      </c>
      <c r="J62" s="11">
        <f>[1]ALL!I336</f>
        <v>158.54599999999999</v>
      </c>
      <c r="K62" s="11">
        <f>[1]ALL!J336</f>
        <v>116.59699999999999</v>
      </c>
      <c r="L62" s="11">
        <f>[1]ALL!K336</f>
        <v>168.34399999999999</v>
      </c>
      <c r="M62" s="11">
        <f>[1]ALL!L336</f>
        <v>113.137</v>
      </c>
      <c r="N62" s="11">
        <f>[1]ALL!M336</f>
        <v>123.60299999999999</v>
      </c>
      <c r="O62" s="11">
        <f>[1]ALL!N336</f>
        <v>0</v>
      </c>
      <c r="P62" s="11">
        <f>[1]ALL!O336</f>
        <v>0</v>
      </c>
      <c r="Q62" s="11">
        <f>[1]ALL!P336</f>
        <v>0</v>
      </c>
      <c r="R62" s="11">
        <f>[1]ALL!Q336</f>
        <v>0</v>
      </c>
      <c r="S62" s="11">
        <f>[1]ALL!R58</f>
        <v>0</v>
      </c>
      <c r="T62" s="9"/>
      <c r="U62" s="9"/>
      <c r="V62" s="10"/>
    </row>
    <row r="63" spans="1:22">
      <c r="A63" s="2">
        <v>199</v>
      </c>
      <c r="B63" s="1" t="str">
        <f>[1]ALL!A200</f>
        <v>2990A</v>
      </c>
      <c r="C63" s="2" t="str">
        <f>[1]ALL!B200</f>
        <v>Titan Team Kronos</v>
      </c>
      <c r="D63" s="2" t="str">
        <f>[1]ALL!C200</f>
        <v>West Salem High School</v>
      </c>
      <c r="E63" s="2" t="str">
        <f>[1]ALL!D200</f>
        <v>Salem, Oregon, United States</v>
      </c>
      <c r="F63" s="8">
        <f>[1]ALL!E200</f>
        <v>295</v>
      </c>
      <c r="G63" s="8">
        <f>[1]ALL!F200</f>
        <v>286</v>
      </c>
      <c r="H63" s="8">
        <f>[1]ALL!G200</f>
        <v>107.675</v>
      </c>
      <c r="I63" s="11">
        <f>[1]ALL!H200</f>
        <v>86.428100000000001</v>
      </c>
      <c r="J63" s="11">
        <f>[1]ALL!I200</f>
        <v>79.649199999999993</v>
      </c>
      <c r="K63" s="11">
        <f>[1]ALL!J200</f>
        <v>107.675</v>
      </c>
      <c r="L63" s="11">
        <f>[1]ALL!K200</f>
        <v>75.2</v>
      </c>
      <c r="M63" s="11">
        <f>[1]ALL!L200</f>
        <v>54.109900000000003</v>
      </c>
      <c r="N63" s="11">
        <f>[1]ALL!M200</f>
        <v>0</v>
      </c>
      <c r="O63" s="11">
        <f>[1]ALL!N200</f>
        <v>0</v>
      </c>
      <c r="P63" s="11">
        <f>[1]ALL!O200</f>
        <v>0</v>
      </c>
      <c r="Q63" s="11">
        <f>[1]ALL!P200</f>
        <v>0</v>
      </c>
      <c r="R63" s="11">
        <f>[1]ALL!Q200</f>
        <v>0</v>
      </c>
      <c r="S63" s="11">
        <f>[1]ALL!R59</f>
        <v>0</v>
      </c>
      <c r="T63" s="9"/>
      <c r="U63" s="9"/>
      <c r="V63" s="10"/>
    </row>
    <row r="64" spans="1:22">
      <c r="A64" s="2">
        <v>318</v>
      </c>
      <c r="B64" s="1" t="str">
        <f>[1]ALL!A319</f>
        <v>6030J</v>
      </c>
      <c r="C64" s="2" t="str">
        <f>[1]ALL!B319</f>
        <v>Jesters</v>
      </c>
      <c r="D64" s="2" t="str">
        <f>[1]ALL!C319</f>
        <v>Arizona College Prep - Erie</v>
      </c>
      <c r="E64" s="2" t="str">
        <f>[1]ALL!D319</f>
        <v>Chandler, Arizona, United States</v>
      </c>
      <c r="F64" s="8">
        <f>[1]ALL!E319</f>
        <v>281</v>
      </c>
      <c r="G64" s="8">
        <f>[1]ALL!F319</f>
        <v>285</v>
      </c>
      <c r="H64" s="8">
        <f>[1]ALL!G319</f>
        <v>85.1143</v>
      </c>
      <c r="I64" s="11">
        <f>[1]ALL!H319</f>
        <v>85.1143</v>
      </c>
      <c r="J64" s="11">
        <f>[1]ALL!I319</f>
        <v>66.758499999999998</v>
      </c>
      <c r="K64" s="11">
        <f>[1]ALL!J319</f>
        <v>20.473299999999998</v>
      </c>
      <c r="L64" s="11">
        <f>[1]ALL!K319</f>
        <v>74.468500000000006</v>
      </c>
      <c r="M64" s="11">
        <f>[1]ALL!L319</f>
        <v>41.542900000000003</v>
      </c>
      <c r="N64" s="11">
        <f>[1]ALL!M319</f>
        <v>76.986699999999999</v>
      </c>
      <c r="O64" s="11">
        <f>[1]ALL!N319</f>
        <v>45.329900000000002</v>
      </c>
      <c r="P64" s="11">
        <f>[1]ALL!O319</f>
        <v>0</v>
      </c>
      <c r="Q64" s="11">
        <f>[1]ALL!P319</f>
        <v>0</v>
      </c>
      <c r="R64" s="11">
        <f>[1]ALL!Q319</f>
        <v>0</v>
      </c>
      <c r="S64" s="11">
        <f>[1]ALL!R60</f>
        <v>0</v>
      </c>
      <c r="T64" s="9"/>
      <c r="U64" s="9"/>
      <c r="V64" s="10"/>
    </row>
    <row r="65" spans="1:22">
      <c r="A65" s="2">
        <v>381</v>
      </c>
      <c r="B65" s="1" t="str">
        <f>[1]ALL!A382</f>
        <v>7682E</v>
      </c>
      <c r="C65" s="2" t="str">
        <f>[1]ALL!B382</f>
        <v>Wingus &amp; Dingus</v>
      </c>
      <c r="D65" s="2" t="str">
        <f>[1]ALL!C382</f>
        <v>Wingus &amp; Dingus Robotics</v>
      </c>
      <c r="E65" s="2" t="str">
        <f>[1]ALL!D382</f>
        <v>Auckland, N/A, New Zealand</v>
      </c>
      <c r="F65" s="8">
        <f>[1]ALL!E382</f>
        <v>230</v>
      </c>
      <c r="G65" s="8">
        <f>[1]ALL!F382</f>
        <v>285</v>
      </c>
      <c r="H65" s="8">
        <f>[1]ALL!G382</f>
        <v>157.851</v>
      </c>
      <c r="I65" s="11">
        <f>[1]ALL!H382</f>
        <v>157.851</v>
      </c>
      <c r="J65" s="11">
        <f>[1]ALL!I382</f>
        <v>145.33600000000001</v>
      </c>
      <c r="K65" s="11">
        <f>[1]ALL!J382</f>
        <v>108.307</v>
      </c>
      <c r="L65" s="11">
        <f>[1]ALL!K382</f>
        <v>125.81</v>
      </c>
      <c r="M65" s="11">
        <f>[1]ALL!L382</f>
        <v>0</v>
      </c>
      <c r="N65" s="11">
        <f>[1]ALL!M382</f>
        <v>0</v>
      </c>
      <c r="O65" s="11">
        <f>[1]ALL!N382</f>
        <v>0</v>
      </c>
      <c r="P65" s="11">
        <f>[1]ALL!O382</f>
        <v>0</v>
      </c>
      <c r="Q65" s="11">
        <f>[1]ALL!P382</f>
        <v>0</v>
      </c>
      <c r="R65" s="11">
        <f>[1]ALL!Q382</f>
        <v>0</v>
      </c>
      <c r="S65" s="11">
        <f>[1]ALL!R61</f>
        <v>0</v>
      </c>
      <c r="T65" s="9"/>
      <c r="U65" s="9"/>
      <c r="V65" s="10"/>
    </row>
    <row r="66" spans="1:22">
      <c r="A66" s="2">
        <v>90</v>
      </c>
      <c r="B66" s="1" t="str">
        <f>[1]ALL!A91</f>
        <v>917S</v>
      </c>
      <c r="C66" s="2" t="str">
        <f>[1]ALL!B91</f>
        <v>Quantum Senpai</v>
      </c>
      <c r="D66" s="2" t="str">
        <f>[1]ALL!C91</f>
        <v>QUANTUM ROBOTICS</v>
      </c>
      <c r="E66" s="2" t="str">
        <f>[1]ALL!D91</f>
        <v>Kirkland, Washington, United States</v>
      </c>
      <c r="F66" s="8">
        <f>[1]ALL!E91</f>
        <v>281</v>
      </c>
      <c r="G66" s="8">
        <f>[1]ALL!F91</f>
        <v>281</v>
      </c>
      <c r="H66" s="8">
        <f>[1]ALL!G91</f>
        <v>149.321</v>
      </c>
      <c r="I66" s="11">
        <f>[1]ALL!H91</f>
        <v>149.321</v>
      </c>
      <c r="J66" s="11">
        <f>[1]ALL!I91</f>
        <v>97.296599999999998</v>
      </c>
      <c r="K66" s="11">
        <f>[1]ALL!J91</f>
        <v>69.528199999999998</v>
      </c>
      <c r="L66" s="11">
        <f>[1]ALL!K91</f>
        <v>102.242</v>
      </c>
      <c r="M66" s="11">
        <f>[1]ALL!L91</f>
        <v>100.11199999999999</v>
      </c>
      <c r="N66" s="11">
        <f>[1]ALL!M91</f>
        <v>0</v>
      </c>
      <c r="O66" s="11">
        <f>[1]ALL!N91</f>
        <v>0</v>
      </c>
      <c r="P66" s="11">
        <f>[1]ALL!O91</f>
        <v>0</v>
      </c>
      <c r="Q66" s="11">
        <f>[1]ALL!P91</f>
        <v>0</v>
      </c>
      <c r="R66" s="11">
        <f>[1]ALL!Q91</f>
        <v>0</v>
      </c>
      <c r="S66" s="11">
        <f>[1]ALL!R62</f>
        <v>0</v>
      </c>
      <c r="T66" s="9"/>
      <c r="U66" s="9"/>
      <c r="V66" s="10"/>
    </row>
    <row r="67" spans="1:22">
      <c r="A67" s="2">
        <v>110</v>
      </c>
      <c r="B67" s="1" t="str">
        <f>[1]ALL!A111</f>
        <v>1104Z</v>
      </c>
      <c r="C67" s="2" t="str">
        <f>[1]ALL!B111</f>
        <v>Discobots ζ - 🍁 #PrayForThomas2k16</v>
      </c>
      <c r="D67" s="2" t="str">
        <f>[1]ALL!C111</f>
        <v>Brampton Robotics Education</v>
      </c>
      <c r="E67" s="2" t="str">
        <f>[1]ALL!D111</f>
        <v>Brampton, Ontario, Canada</v>
      </c>
      <c r="F67" s="8">
        <f>[1]ALL!E111</f>
        <v>425</v>
      </c>
      <c r="G67" s="8">
        <f>[1]ALL!F111</f>
        <v>280</v>
      </c>
      <c r="H67" s="8">
        <f>[1]ALL!G111</f>
        <v>168.84700000000001</v>
      </c>
      <c r="I67" s="11">
        <f>[1]ALL!H111</f>
        <v>136.28100000000001</v>
      </c>
      <c r="J67" s="11">
        <f>[1]ALL!I111</f>
        <v>168.84700000000001</v>
      </c>
      <c r="K67" s="11">
        <f>[1]ALL!J111</f>
        <v>130.80600000000001</v>
      </c>
      <c r="L67" s="11">
        <f>[1]ALL!K111</f>
        <v>144.53</v>
      </c>
      <c r="M67" s="11">
        <f>[1]ALL!L111</f>
        <v>149.482</v>
      </c>
      <c r="N67" s="11">
        <f>[1]ALL!M111</f>
        <v>114.66200000000001</v>
      </c>
      <c r="O67" s="11">
        <f>[1]ALL!N111</f>
        <v>81.417500000000004</v>
      </c>
      <c r="P67" s="11">
        <f>[1]ALL!O111</f>
        <v>0</v>
      </c>
      <c r="Q67" s="11">
        <f>[1]ALL!P111</f>
        <v>0</v>
      </c>
      <c r="R67" s="11">
        <f>[1]ALL!Q111</f>
        <v>0</v>
      </c>
      <c r="S67" s="11">
        <f>[1]ALL!R63</f>
        <v>0</v>
      </c>
      <c r="T67" s="9"/>
      <c r="U67" s="9"/>
      <c r="V67" s="10"/>
    </row>
    <row r="68" spans="1:22">
      <c r="A68" s="2">
        <v>266</v>
      </c>
      <c r="B68" s="1" t="str">
        <f>[1]ALL!A267</f>
        <v>5062A</v>
      </c>
      <c r="C68" s="2" t="str">
        <f>[1]ALL!B267</f>
        <v>Red Fox</v>
      </c>
      <c r="D68" s="2" t="str">
        <f>[1]ALL!C267</f>
        <v>Fox Valley Lutheran High School</v>
      </c>
      <c r="E68" s="2" t="str">
        <f>[1]ALL!D267</f>
        <v>Appleton, Wisconsin, United States</v>
      </c>
      <c r="F68" s="8">
        <f>[1]ALL!E267</f>
        <v>290</v>
      </c>
      <c r="G68" s="8">
        <f>[1]ALL!F267</f>
        <v>280</v>
      </c>
      <c r="H68" s="8">
        <f>[1]ALL!G267</f>
        <v>116.646</v>
      </c>
      <c r="I68" s="11">
        <f>[1]ALL!H267</f>
        <v>96.074200000000005</v>
      </c>
      <c r="J68" s="11">
        <f>[1]ALL!I267</f>
        <v>101.455</v>
      </c>
      <c r="K68" s="11">
        <f>[1]ALL!J267</f>
        <v>113.387</v>
      </c>
      <c r="L68" s="11">
        <f>[1]ALL!K267</f>
        <v>80.169899999999998</v>
      </c>
      <c r="M68" s="11">
        <f>[1]ALL!L267</f>
        <v>96.9328</v>
      </c>
      <c r="N68" s="11">
        <f>[1]ALL!M267</f>
        <v>116.646</v>
      </c>
      <c r="O68" s="11">
        <f>[1]ALL!N267</f>
        <v>69.486599999999996</v>
      </c>
      <c r="P68" s="11">
        <f>[1]ALL!O267</f>
        <v>75.136600000000001</v>
      </c>
      <c r="Q68" s="11">
        <f>[1]ALL!P267</f>
        <v>0</v>
      </c>
      <c r="R68" s="11">
        <f>[1]ALL!Q267</f>
        <v>0</v>
      </c>
      <c r="S68" s="11">
        <f>[1]ALL!R64</f>
        <v>0</v>
      </c>
      <c r="T68" s="9"/>
      <c r="U68" s="9"/>
      <c r="V68" s="10"/>
    </row>
    <row r="69" spans="1:22">
      <c r="A69" s="2">
        <v>167</v>
      </c>
      <c r="B69" s="1" t="str">
        <f>[1]ALL!A168</f>
        <v>2131G</v>
      </c>
      <c r="C69" s="2" t="str">
        <f>[1]ALL!B168</f>
        <v>Golden StallionZ</v>
      </c>
      <c r="D69" s="2" t="str">
        <f>[1]ALL!C168</f>
        <v>Davis High School</v>
      </c>
      <c r="E69" s="2" t="str">
        <f>[1]ALL!D168</f>
        <v>Kaysville, Utah, United States</v>
      </c>
      <c r="F69" s="8">
        <f>[1]ALL!E168</f>
        <v>277</v>
      </c>
      <c r="G69" s="8">
        <f>[1]ALL!F168</f>
        <v>280</v>
      </c>
      <c r="H69" s="8">
        <f>[1]ALL!G168</f>
        <v>142.321</v>
      </c>
      <c r="I69" s="11">
        <f>[1]ALL!H168</f>
        <v>142.321</v>
      </c>
      <c r="J69" s="11">
        <f>[1]ALL!I168</f>
        <v>121.52</v>
      </c>
      <c r="K69" s="11">
        <f>[1]ALL!J168</f>
        <v>122.584</v>
      </c>
      <c r="L69" s="11">
        <f>[1]ALL!K168</f>
        <v>121.661</v>
      </c>
      <c r="M69" s="11">
        <f>[1]ALL!L168</f>
        <v>36.493899999999996</v>
      </c>
      <c r="N69" s="11">
        <f>[1]ALL!M168</f>
        <v>88.694199999999995</v>
      </c>
      <c r="O69" s="11">
        <f>[1]ALL!N168</f>
        <v>134.239</v>
      </c>
      <c r="P69" s="11">
        <f>[1]ALL!O168</f>
        <v>0</v>
      </c>
      <c r="Q69" s="11">
        <f>[1]ALL!P168</f>
        <v>0</v>
      </c>
      <c r="R69" s="11">
        <f>[1]ALL!Q168</f>
        <v>0</v>
      </c>
      <c r="S69" s="11">
        <f>[1]ALL!R65</f>
        <v>0</v>
      </c>
      <c r="T69" s="9"/>
      <c r="U69" s="9"/>
      <c r="V69" s="10"/>
    </row>
    <row r="70" spans="1:22">
      <c r="A70" s="2">
        <v>278</v>
      </c>
      <c r="B70" s="1" t="str">
        <f>[1]ALL!A279</f>
        <v>5233J</v>
      </c>
      <c r="C70" s="2" t="str">
        <f>[1]ALL!B279</f>
        <v>Justice League</v>
      </c>
      <c r="D70" s="2" t="str">
        <f>[1]ALL!C279</f>
        <v>National Robotics Academy, Inc.</v>
      </c>
      <c r="E70" s="2" t="str">
        <f>[1]ALL!D279</f>
        <v>Waterloo, Nebraska, United States</v>
      </c>
      <c r="F70" s="8">
        <f>[1]ALL!E279</f>
        <v>228</v>
      </c>
      <c r="G70" s="8">
        <f>[1]ALL!F279</f>
        <v>277</v>
      </c>
      <c r="H70" s="8">
        <f>[1]ALL!G279</f>
        <v>102.586</v>
      </c>
      <c r="I70" s="11">
        <f>[1]ALL!H279</f>
        <v>81.115099999999998</v>
      </c>
      <c r="J70" s="11">
        <f>[1]ALL!I279</f>
        <v>102.586</v>
      </c>
      <c r="K70" s="11">
        <f>[1]ALL!J279</f>
        <v>72.068299999999994</v>
      </c>
      <c r="L70" s="11">
        <f>[1]ALL!K279</f>
        <v>79.566800000000001</v>
      </c>
      <c r="M70" s="11">
        <f>[1]ALL!L279</f>
        <v>78.900999999999996</v>
      </c>
      <c r="N70" s="11">
        <f>[1]ALL!M279</f>
        <v>74.974199999999996</v>
      </c>
      <c r="O70" s="11">
        <f>[1]ALL!N279</f>
        <v>37.213200000000001</v>
      </c>
      <c r="P70" s="11">
        <f>[1]ALL!O279</f>
        <v>0</v>
      </c>
      <c r="Q70" s="11">
        <f>[1]ALL!P279</f>
        <v>0</v>
      </c>
      <c r="R70" s="11">
        <f>[1]ALL!Q279</f>
        <v>0</v>
      </c>
      <c r="S70" s="11">
        <f>[1]ALL!R66</f>
        <v>0</v>
      </c>
      <c r="T70" s="9"/>
      <c r="U70" s="9"/>
      <c r="V70" s="10"/>
    </row>
    <row r="71" spans="1:22">
      <c r="A71" s="2">
        <v>489</v>
      </c>
      <c r="B71" s="1" t="str">
        <f>[1]ALL!A490</f>
        <v>98725B</v>
      </c>
      <c r="C71" s="2" t="str">
        <f>[1]ALL!B490</f>
        <v>Falcon</v>
      </c>
      <c r="D71" s="2" t="str">
        <f>[1]ALL!C490</f>
        <v>Rochester Hills Christian School</v>
      </c>
      <c r="E71" s="2" t="str">
        <f>[1]ALL!D490</f>
        <v>Rochester Hills, Michigan, United States</v>
      </c>
      <c r="F71" s="8">
        <f>[1]ALL!E490</f>
        <v>273</v>
      </c>
      <c r="G71" s="8">
        <f>[1]ALL!F490</f>
        <v>276</v>
      </c>
      <c r="H71" s="8">
        <f>[1]ALL!G490</f>
        <v>140.899</v>
      </c>
      <c r="I71" s="11">
        <f>[1]ALL!H490</f>
        <v>140.899</v>
      </c>
      <c r="J71" s="11">
        <f>[1]ALL!I490</f>
        <v>106.349</v>
      </c>
      <c r="K71" s="11">
        <f>[1]ALL!J490</f>
        <v>84.209800000000001</v>
      </c>
      <c r="L71" s="11">
        <f>[1]ALL!K490</f>
        <v>135.518</v>
      </c>
      <c r="M71" s="11">
        <f>[1]ALL!L490</f>
        <v>0</v>
      </c>
      <c r="N71" s="11">
        <f>[1]ALL!M490</f>
        <v>0</v>
      </c>
      <c r="O71" s="11">
        <f>[1]ALL!N490</f>
        <v>0</v>
      </c>
      <c r="P71" s="11">
        <f>[1]ALL!O490</f>
        <v>0</v>
      </c>
      <c r="Q71" s="11">
        <f>[1]ALL!P490</f>
        <v>0</v>
      </c>
      <c r="R71" s="11">
        <f>[1]ALL!Q490</f>
        <v>0</v>
      </c>
      <c r="S71" s="11">
        <f>[1]ALL!R67</f>
        <v>0</v>
      </c>
      <c r="T71" s="9"/>
      <c r="U71" s="9"/>
      <c r="V71" s="10"/>
    </row>
    <row r="72" spans="1:22">
      <c r="A72" s="2">
        <v>343</v>
      </c>
      <c r="B72" s="1" t="str">
        <f>[1]ALL!A344</f>
        <v>6685R</v>
      </c>
      <c r="C72" s="2" t="str">
        <f>[1]ALL!B344</f>
        <v>Vexorsism</v>
      </c>
      <c r="D72" s="2" t="str">
        <f>[1]ALL!C344</f>
        <v>Millard South High School</v>
      </c>
      <c r="E72" s="2" t="str">
        <f>[1]ALL!D344</f>
        <v>Omaha, Nebraska, United States</v>
      </c>
      <c r="F72" s="8">
        <f>[1]ALL!E344</f>
        <v>287</v>
      </c>
      <c r="G72" s="8">
        <f>[1]ALL!F344</f>
        <v>275</v>
      </c>
      <c r="H72" s="8">
        <f>[1]ALL!G344</f>
        <v>102.583</v>
      </c>
      <c r="I72" s="11">
        <f>[1]ALL!H344</f>
        <v>102.583</v>
      </c>
      <c r="J72" s="11">
        <f>[1]ALL!I344</f>
        <v>85.001400000000004</v>
      </c>
      <c r="K72" s="11">
        <f>[1]ALL!J344</f>
        <v>70.370500000000007</v>
      </c>
      <c r="L72" s="11">
        <f>[1]ALL!K344</f>
        <v>75.260800000000003</v>
      </c>
      <c r="M72" s="11">
        <f>[1]ALL!L344</f>
        <v>65.789500000000004</v>
      </c>
      <c r="N72" s="11">
        <f>[1]ALL!M344</f>
        <v>94.399199999999993</v>
      </c>
      <c r="O72" s="11">
        <f>[1]ALL!N344</f>
        <v>0</v>
      </c>
      <c r="P72" s="11">
        <f>[1]ALL!O344</f>
        <v>0</v>
      </c>
      <c r="Q72" s="11">
        <f>[1]ALL!P344</f>
        <v>0</v>
      </c>
      <c r="R72" s="11">
        <f>[1]ALL!Q344</f>
        <v>0</v>
      </c>
      <c r="S72" s="11">
        <f>[1]ALL!R68</f>
        <v>0</v>
      </c>
      <c r="T72" s="9"/>
      <c r="U72" s="9"/>
      <c r="V72" s="10"/>
    </row>
    <row r="73" spans="1:22">
      <c r="A73" s="2">
        <v>302</v>
      </c>
      <c r="B73" s="1" t="str">
        <f>[1]ALL!A303</f>
        <v>5776</v>
      </c>
      <c r="C73" s="2" t="str">
        <f>[1]ALL!B303</f>
        <v>DVHS Robotics</v>
      </c>
      <c r="D73" s="2" t="str">
        <f>[1]ALL!C303</f>
        <v>Dougherty Valley High School</v>
      </c>
      <c r="E73" s="2" t="str">
        <f>[1]ALL!D303</f>
        <v>San Ramon, California, United States</v>
      </c>
      <c r="F73" s="8">
        <f>[1]ALL!E303</f>
        <v>309</v>
      </c>
      <c r="G73" s="8">
        <f>[1]ALL!F303</f>
        <v>273</v>
      </c>
      <c r="H73" s="8">
        <f>[1]ALL!G303</f>
        <v>93.028599999999997</v>
      </c>
      <c r="I73" s="11">
        <f>[1]ALL!H303</f>
        <v>93.028599999999997</v>
      </c>
      <c r="J73" s="11">
        <f>[1]ALL!I303</f>
        <v>81.656599999999997</v>
      </c>
      <c r="K73" s="11">
        <f>[1]ALL!J303</f>
        <v>62.527999999999999</v>
      </c>
      <c r="L73" s="11">
        <f>[1]ALL!K303</f>
        <v>89.557699999999997</v>
      </c>
      <c r="M73" s="11">
        <f>[1]ALL!L303</f>
        <v>55.154000000000003</v>
      </c>
      <c r="N73" s="11">
        <f>[1]ALL!M303</f>
        <v>64.810699999999997</v>
      </c>
      <c r="O73" s="11">
        <f>[1]ALL!N303</f>
        <v>0</v>
      </c>
      <c r="P73" s="11">
        <f>[1]ALL!O303</f>
        <v>0</v>
      </c>
      <c r="Q73" s="11">
        <f>[1]ALL!P303</f>
        <v>0</v>
      </c>
      <c r="R73" s="11">
        <f>[1]ALL!Q303</f>
        <v>0</v>
      </c>
      <c r="S73" s="11">
        <f>[1]ALL!R69</f>
        <v>0</v>
      </c>
      <c r="T73" s="9"/>
      <c r="U73" s="9"/>
      <c r="V73" s="10"/>
    </row>
    <row r="74" spans="1:22">
      <c r="A74" s="2">
        <v>12</v>
      </c>
      <c r="B74" s="1" t="str">
        <f>[1]ALL!A13</f>
        <v>35B</v>
      </c>
      <c r="C74" s="2" t="str">
        <f>[1]ALL!B13</f>
        <v>The Baylyfe Brigade</v>
      </c>
      <c r="D74" s="2" t="str">
        <f>[1]ALL!C13</f>
        <v>Cranbrook Schools</v>
      </c>
      <c r="E74" s="2" t="str">
        <f>[1]ALL!D13</f>
        <v>Bloomfield Hills, Michigan, United States</v>
      </c>
      <c r="F74" s="8">
        <f>[1]ALL!E13</f>
        <v>198</v>
      </c>
      <c r="G74" s="8">
        <f>[1]ALL!F13</f>
        <v>270</v>
      </c>
      <c r="H74" s="8">
        <f>[1]ALL!G13</f>
        <v>97.616</v>
      </c>
      <c r="I74" s="11">
        <f>[1]ALL!H13</f>
        <v>97.616</v>
      </c>
      <c r="J74" s="11">
        <f>[1]ALL!I13</f>
        <v>54.735199999999999</v>
      </c>
      <c r="K74" s="11">
        <f>[1]ALL!J13</f>
        <v>91.7881</v>
      </c>
      <c r="L74" s="11">
        <f>[1]ALL!K13</f>
        <v>25.4038</v>
      </c>
      <c r="M74" s="11">
        <f>[1]ALL!L13</f>
        <v>42.045000000000002</v>
      </c>
      <c r="N74" s="11">
        <f>[1]ALL!M13</f>
        <v>37.795699999999997</v>
      </c>
      <c r="O74" s="11">
        <f>[1]ALL!N13</f>
        <v>0</v>
      </c>
      <c r="P74" s="11">
        <f>[1]ALL!O13</f>
        <v>0</v>
      </c>
      <c r="Q74" s="11">
        <f>[1]ALL!P13</f>
        <v>0</v>
      </c>
      <c r="R74" s="11">
        <f>[1]ALL!Q13</f>
        <v>0</v>
      </c>
      <c r="S74" s="11">
        <f>[1]ALL!R70</f>
        <v>0</v>
      </c>
      <c r="T74" s="9"/>
      <c r="U74" s="9"/>
      <c r="V74" s="10"/>
    </row>
    <row r="75" spans="1:22">
      <c r="A75" s="2">
        <v>306</v>
      </c>
      <c r="B75" s="1" t="str">
        <f>[1]ALL!A307</f>
        <v>5776Z</v>
      </c>
      <c r="C75" s="2" t="str">
        <f>[1]ALL!B307</f>
        <v>DVHS Robotics</v>
      </c>
      <c r="D75" s="2" t="str">
        <f>[1]ALL!C307</f>
        <v>Dougherty Valley High School</v>
      </c>
      <c r="E75" s="2" t="str">
        <f>[1]ALL!D307</f>
        <v>San Ramon, California, United States</v>
      </c>
      <c r="F75" s="8">
        <f>[1]ALL!E307</f>
        <v>76</v>
      </c>
      <c r="G75" s="8">
        <f>[1]ALL!F307</f>
        <v>270</v>
      </c>
      <c r="H75" s="8">
        <f>[1]ALL!G307</f>
        <v>36.089399999999998</v>
      </c>
      <c r="I75" s="11">
        <f>[1]ALL!H307</f>
        <v>36.089399999999998</v>
      </c>
      <c r="J75" s="11">
        <f>[1]ALL!I307</f>
        <v>9.6886200000000002</v>
      </c>
      <c r="K75" s="11">
        <f>[1]ALL!J307</f>
        <v>20.522200000000002</v>
      </c>
      <c r="L75" s="11">
        <f>[1]ALL!K307</f>
        <v>12.0098</v>
      </c>
      <c r="M75" s="11">
        <f>[1]ALL!L307</f>
        <v>24.327300000000001</v>
      </c>
      <c r="N75" s="11">
        <f>[1]ALL!M307</f>
        <v>0</v>
      </c>
      <c r="O75" s="11">
        <f>[1]ALL!N307</f>
        <v>0</v>
      </c>
      <c r="P75" s="11">
        <f>[1]ALL!O307</f>
        <v>0</v>
      </c>
      <c r="Q75" s="11">
        <f>[1]ALL!P307</f>
        <v>0</v>
      </c>
      <c r="R75" s="11">
        <f>[1]ALL!Q307</f>
        <v>0</v>
      </c>
      <c r="S75" s="11">
        <f>[1]ALL!R71</f>
        <v>0</v>
      </c>
      <c r="T75" s="9"/>
      <c r="U75" s="9"/>
      <c r="V75" s="10"/>
    </row>
    <row r="76" spans="1:22">
      <c r="A76" s="2">
        <v>269</v>
      </c>
      <c r="B76" s="1" t="str">
        <f>[1]ALL!A270</f>
        <v>5090A</v>
      </c>
      <c r="C76" s="2" t="str">
        <f>[1]ALL!B270</f>
        <v>Radio Active</v>
      </c>
      <c r="D76" s="2" t="str">
        <f>[1]ALL!C270</f>
        <v>Microchip Technology, Inc</v>
      </c>
      <c r="E76" s="2" t="str">
        <f>[1]ALL!D270</f>
        <v>Chandler, Arizona, United States</v>
      </c>
      <c r="F76" s="8">
        <f>[1]ALL!E270</f>
        <v>316</v>
      </c>
      <c r="G76" s="8">
        <f>[1]ALL!F270</f>
        <v>267</v>
      </c>
      <c r="H76" s="8">
        <f>[1]ALL!G270</f>
        <v>152.184</v>
      </c>
      <c r="I76" s="11">
        <f>[1]ALL!H270</f>
        <v>91.058099999999996</v>
      </c>
      <c r="J76" s="11">
        <f>[1]ALL!I270</f>
        <v>152.184</v>
      </c>
      <c r="K76" s="11">
        <f>[1]ALL!J270</f>
        <v>140.84899999999999</v>
      </c>
      <c r="L76" s="11">
        <f>[1]ALL!K270</f>
        <v>113.075</v>
      </c>
      <c r="M76" s="11">
        <f>[1]ALL!L270</f>
        <v>141.17599999999999</v>
      </c>
      <c r="N76" s="11">
        <f>[1]ALL!M270</f>
        <v>90.104600000000005</v>
      </c>
      <c r="O76" s="11">
        <f>[1]ALL!N270</f>
        <v>24.1052</v>
      </c>
      <c r="P76" s="11">
        <f>[1]ALL!O270</f>
        <v>0</v>
      </c>
      <c r="Q76" s="11">
        <f>[1]ALL!P270</f>
        <v>0</v>
      </c>
      <c r="R76" s="11">
        <f>[1]ALL!Q270</f>
        <v>0</v>
      </c>
      <c r="S76" s="11">
        <f>[1]ALL!R72</f>
        <v>0</v>
      </c>
      <c r="T76" s="9"/>
      <c r="U76" s="9"/>
      <c r="V76" s="10"/>
    </row>
    <row r="77" spans="1:22">
      <c r="A77" s="2">
        <v>193</v>
      </c>
      <c r="B77" s="1" t="str">
        <f>[1]ALL!A194</f>
        <v>2886A</v>
      </c>
      <c r="C77" s="2" t="str">
        <f>[1]ALL!B194</f>
        <v>Bull Dawgs A</v>
      </c>
      <c r="D77" s="2" t="str">
        <f>[1]ALL!C194</f>
        <v>John Hardin High School PLTW</v>
      </c>
      <c r="E77" s="2" t="str">
        <f>[1]ALL!D194</f>
        <v>Elizabethtown, Kentucky, United States</v>
      </c>
      <c r="F77" s="8">
        <f>[1]ALL!E194</f>
        <v>270</v>
      </c>
      <c r="G77" s="8">
        <f>[1]ALL!F194</f>
        <v>267</v>
      </c>
      <c r="H77" s="8">
        <f>[1]ALL!G194</f>
        <v>141.874</v>
      </c>
      <c r="I77" s="11">
        <f>[1]ALL!H194</f>
        <v>141.874</v>
      </c>
      <c r="J77" s="11">
        <f>[1]ALL!I194</f>
        <v>128.85599999999999</v>
      </c>
      <c r="K77" s="11">
        <f>[1]ALL!J194</f>
        <v>92.710300000000004</v>
      </c>
      <c r="L77" s="11">
        <f>[1]ALL!K194</f>
        <v>99.960700000000003</v>
      </c>
      <c r="M77" s="11">
        <f>[1]ALL!L194</f>
        <v>124.953</v>
      </c>
      <c r="N77" s="11">
        <f>[1]ALL!M194</f>
        <v>99.876099999999994</v>
      </c>
      <c r="O77" s="11">
        <f>[1]ALL!N194</f>
        <v>139.50399999999999</v>
      </c>
      <c r="P77" s="11">
        <f>[1]ALL!O194</f>
        <v>0</v>
      </c>
      <c r="Q77" s="11">
        <f>[1]ALL!P194</f>
        <v>0</v>
      </c>
      <c r="R77" s="11">
        <f>[1]ALL!Q194</f>
        <v>0</v>
      </c>
      <c r="S77" s="11">
        <f>[1]ALL!R73</f>
        <v>0</v>
      </c>
      <c r="T77" s="9"/>
      <c r="U77" s="9"/>
      <c r="V77" s="10"/>
    </row>
    <row r="78" spans="1:22">
      <c r="A78" s="2">
        <v>359</v>
      </c>
      <c r="B78" s="1" t="str">
        <f>[1]ALL!A360</f>
        <v>7110A</v>
      </c>
      <c r="C78" s="2" t="str">
        <f>[1]ALL!B360</f>
        <v>Fired Up!</v>
      </c>
      <c r="D78" s="2" t="str">
        <f>[1]ALL!C360</f>
        <v>Carroll Senior High School</v>
      </c>
      <c r="E78" s="2" t="str">
        <f>[1]ALL!D360</f>
        <v>Southlake, Texas, United States</v>
      </c>
      <c r="F78" s="8">
        <f>[1]ALL!E360</f>
        <v>239</v>
      </c>
      <c r="G78" s="8">
        <f>[1]ALL!F360</f>
        <v>266</v>
      </c>
      <c r="H78" s="8">
        <f>[1]ALL!G360</f>
        <v>150.85900000000001</v>
      </c>
      <c r="I78" s="11">
        <f>[1]ALL!H360</f>
        <v>139.15</v>
      </c>
      <c r="J78" s="11">
        <f>[1]ALL!I360</f>
        <v>121.128</v>
      </c>
      <c r="K78" s="11">
        <f>[1]ALL!J360</f>
        <v>150.85900000000001</v>
      </c>
      <c r="L78" s="11">
        <f>[1]ALL!K360</f>
        <v>77.162400000000005</v>
      </c>
      <c r="M78" s="11">
        <f>[1]ALL!L360</f>
        <v>0</v>
      </c>
      <c r="N78" s="11">
        <f>[1]ALL!M360</f>
        <v>0</v>
      </c>
      <c r="O78" s="11">
        <f>[1]ALL!N360</f>
        <v>0</v>
      </c>
      <c r="P78" s="11">
        <f>[1]ALL!O360</f>
        <v>0</v>
      </c>
      <c r="Q78" s="11">
        <f>[1]ALL!P360</f>
        <v>0</v>
      </c>
      <c r="R78" s="11">
        <f>[1]ALL!Q360</f>
        <v>0</v>
      </c>
      <c r="S78" s="11">
        <f>[1]ALL!R74</f>
        <v>0</v>
      </c>
      <c r="T78" s="9"/>
      <c r="U78" s="9"/>
      <c r="V78" s="10"/>
    </row>
    <row r="79" spans="1:22">
      <c r="A79" s="2">
        <v>333</v>
      </c>
      <c r="B79" s="1" t="str">
        <f>[1]ALL!A334</f>
        <v>6302Y</v>
      </c>
      <c r="C79" s="2" t="str">
        <f>[1]ALL!B334</f>
        <v>Rockets</v>
      </c>
      <c r="D79" s="2" t="str">
        <f>[1]ALL!C334</f>
        <v>Ridgedale High School</v>
      </c>
      <c r="E79" s="2" t="str">
        <f>[1]ALL!D334</f>
        <v>Morral, Ohio, United States</v>
      </c>
      <c r="F79" s="8">
        <f>[1]ALL!E334</f>
        <v>335</v>
      </c>
      <c r="G79" s="8">
        <f>[1]ALL!F334</f>
        <v>265</v>
      </c>
      <c r="H79" s="8">
        <f>[1]ALL!G334</f>
        <v>117.559</v>
      </c>
      <c r="I79" s="11">
        <f>[1]ALL!H334</f>
        <v>86.634</v>
      </c>
      <c r="J79" s="11">
        <f>[1]ALL!I334</f>
        <v>117.559</v>
      </c>
      <c r="K79" s="11">
        <f>[1]ALL!J334</f>
        <v>92.394499999999994</v>
      </c>
      <c r="L79" s="11">
        <f>[1]ALL!K334</f>
        <v>69.703299999999999</v>
      </c>
      <c r="M79" s="11">
        <f>[1]ALL!L334</f>
        <v>0</v>
      </c>
      <c r="N79" s="11">
        <f>[1]ALL!M334</f>
        <v>75.162999999999997</v>
      </c>
      <c r="O79" s="11">
        <f>[1]ALL!N334</f>
        <v>76.433400000000006</v>
      </c>
      <c r="P79" s="11">
        <f>[1]ALL!O334</f>
        <v>29.2591</v>
      </c>
      <c r="Q79" s="11">
        <f>[1]ALL!P334</f>
        <v>11.9977</v>
      </c>
      <c r="R79" s="11">
        <f>[1]ALL!Q334</f>
        <v>0</v>
      </c>
      <c r="S79" s="11">
        <f>[1]ALL!R75</f>
        <v>0</v>
      </c>
      <c r="T79" s="9"/>
      <c r="U79" s="9"/>
      <c r="V79" s="10"/>
    </row>
    <row r="80" spans="1:22">
      <c r="A80" s="2">
        <v>257</v>
      </c>
      <c r="B80" s="1" t="str">
        <f>[1]ALL!A258</f>
        <v>4815B</v>
      </c>
      <c r="C80" s="2" t="str">
        <f>[1]ALL!B258</f>
        <v>CPC B Team</v>
      </c>
      <c r="D80" s="2" t="str">
        <f>[1]ALL!C258</f>
        <v>WEO CHANG PUI CHUNG MEMORIAL SCHOOL</v>
      </c>
      <c r="E80" s="2" t="str">
        <f>[1]ALL!D258</f>
        <v>TSEUNG KWAN O, Not Applicable or Not Listed, Hong Kong</v>
      </c>
      <c r="F80" s="8">
        <f>[1]ALL!E258</f>
        <v>295</v>
      </c>
      <c r="G80" s="8">
        <f>[1]ALL!F258</f>
        <v>263</v>
      </c>
      <c r="H80" s="8">
        <f>[1]ALL!G258</f>
        <v>91.036600000000007</v>
      </c>
      <c r="I80" s="11">
        <f>[1]ALL!H258</f>
        <v>91.036600000000007</v>
      </c>
      <c r="J80" s="11">
        <f>[1]ALL!I258</f>
        <v>0</v>
      </c>
      <c r="K80" s="11">
        <f>[1]ALL!J258</f>
        <v>0</v>
      </c>
      <c r="L80" s="11">
        <f>[1]ALL!K258</f>
        <v>0</v>
      </c>
      <c r="M80" s="11">
        <f>[1]ALL!L258</f>
        <v>0</v>
      </c>
      <c r="N80" s="11">
        <f>[1]ALL!M258</f>
        <v>0</v>
      </c>
      <c r="O80" s="11">
        <f>[1]ALL!N258</f>
        <v>0</v>
      </c>
      <c r="P80" s="11">
        <f>[1]ALL!O258</f>
        <v>0</v>
      </c>
      <c r="Q80" s="11">
        <f>[1]ALL!P258</f>
        <v>0</v>
      </c>
      <c r="R80" s="11">
        <f>[1]ALL!Q258</f>
        <v>0</v>
      </c>
      <c r="S80" s="11">
        <f>[1]ALL!R76</f>
        <v>0</v>
      </c>
      <c r="T80" s="9"/>
      <c r="U80" s="9"/>
      <c r="V80" s="10"/>
    </row>
    <row r="81" spans="1:22">
      <c r="A81" s="2">
        <v>285</v>
      </c>
      <c r="B81" s="1" t="str">
        <f>[1]ALL!A286</f>
        <v>5408X</v>
      </c>
      <c r="C81" s="2" t="str">
        <f>[1]ALL!B286</f>
        <v>Sachse HAX</v>
      </c>
      <c r="D81" s="2" t="str">
        <f>[1]ALL!C286</f>
        <v>Sachse High School</v>
      </c>
      <c r="E81" s="2" t="str">
        <f>[1]ALL!D286</f>
        <v>Sachse, Texas, United States</v>
      </c>
      <c r="F81" s="8">
        <f>[1]ALL!E286</f>
        <v>222</v>
      </c>
      <c r="G81" s="8">
        <f>[1]ALL!F286</f>
        <v>263</v>
      </c>
      <c r="H81" s="8">
        <f>[1]ALL!G286</f>
        <v>100.703</v>
      </c>
      <c r="I81" s="11">
        <f>[1]ALL!H286</f>
        <v>100.703</v>
      </c>
      <c r="J81" s="11">
        <f>[1]ALL!I286</f>
        <v>81.694999999999993</v>
      </c>
      <c r="K81" s="11">
        <f>[1]ALL!J286</f>
        <v>52.994</v>
      </c>
      <c r="L81" s="11">
        <f>[1]ALL!K286</f>
        <v>50.581400000000002</v>
      </c>
      <c r="M81" s="11">
        <f>[1]ALL!L286</f>
        <v>1.74901</v>
      </c>
      <c r="N81" s="11">
        <f>[1]ALL!M286</f>
        <v>0</v>
      </c>
      <c r="O81" s="11">
        <f>[1]ALL!N286</f>
        <v>0</v>
      </c>
      <c r="P81" s="11">
        <f>[1]ALL!O286</f>
        <v>0</v>
      </c>
      <c r="Q81" s="11">
        <f>[1]ALL!P286</f>
        <v>0</v>
      </c>
      <c r="R81" s="11">
        <f>[1]ALL!Q286</f>
        <v>0</v>
      </c>
      <c r="S81" s="11">
        <f>[1]ALL!R77</f>
        <v>0</v>
      </c>
      <c r="T81" s="9"/>
      <c r="U81" s="9"/>
      <c r="V81" s="10"/>
    </row>
    <row r="82" spans="1:22">
      <c r="A82" s="2">
        <v>33</v>
      </c>
      <c r="B82" s="1" t="str">
        <f>[1]ALL!A34</f>
        <v>180</v>
      </c>
      <c r="C82" s="2" t="str">
        <f>[1]ALL!B34</f>
        <v>Born to Bot</v>
      </c>
      <c r="D82" s="2" t="str">
        <f>[1]ALL!C34</f>
        <v>O.G. Robotics</v>
      </c>
      <c r="E82" s="2" t="str">
        <f>[1]ALL!D34</f>
        <v>Haymarket, Virginia, United States</v>
      </c>
      <c r="F82" s="8">
        <f>[1]ALL!E34</f>
        <v>295</v>
      </c>
      <c r="G82" s="8">
        <f>[1]ALL!F34</f>
        <v>261</v>
      </c>
      <c r="H82" s="8">
        <f>[1]ALL!G34</f>
        <v>143.226</v>
      </c>
      <c r="I82" s="11">
        <f>[1]ALL!H34</f>
        <v>143.226</v>
      </c>
      <c r="J82" s="11">
        <f>[1]ALL!I34</f>
        <v>94.762299999999996</v>
      </c>
      <c r="K82" s="11">
        <f>[1]ALL!J34</f>
        <v>104.351</v>
      </c>
      <c r="L82" s="11">
        <f>[1]ALL!K34</f>
        <v>88.797700000000006</v>
      </c>
      <c r="M82" s="11">
        <f>[1]ALL!L34</f>
        <v>24.397600000000001</v>
      </c>
      <c r="N82" s="11">
        <f>[1]ALL!M34</f>
        <v>69.854100000000003</v>
      </c>
      <c r="O82" s="11">
        <f>[1]ALL!N34</f>
        <v>58.885100000000001</v>
      </c>
      <c r="P82" s="11">
        <f>[1]ALL!O34</f>
        <v>62.192900000000002</v>
      </c>
      <c r="Q82" s="11">
        <f>[1]ALL!P34</f>
        <v>0</v>
      </c>
      <c r="R82" s="11">
        <f>[1]ALL!Q34</f>
        <v>0</v>
      </c>
      <c r="S82" s="11">
        <f>[1]ALL!R78</f>
        <v>0</v>
      </c>
      <c r="T82" s="9"/>
      <c r="U82" s="9"/>
      <c r="V82" s="10"/>
    </row>
    <row r="83" spans="1:22">
      <c r="A83" s="2">
        <v>265</v>
      </c>
      <c r="B83" s="1" t="str">
        <f>[1]ALL!A266</f>
        <v>4915</v>
      </c>
      <c r="C83" s="2" t="str">
        <f>[1]ALL!B266</f>
        <v>Virus Robotics</v>
      </c>
      <c r="D83" s="2" t="str">
        <f>[1]ALL!C266</f>
        <v>Virus Robotics</v>
      </c>
      <c r="E83" s="2" t="str">
        <f>[1]ALL!D266</f>
        <v>New Barnet, Hertfordshire , United Kingdom</v>
      </c>
      <c r="F83" s="8">
        <f>[1]ALL!E266</f>
        <v>284</v>
      </c>
      <c r="G83" s="8">
        <f>[1]ALL!F266</f>
        <v>261</v>
      </c>
      <c r="H83" s="8">
        <f>[1]ALL!G266</f>
        <v>135.339</v>
      </c>
      <c r="I83" s="11">
        <f>[1]ALL!H266</f>
        <v>118.70099999999999</v>
      </c>
      <c r="J83" s="11">
        <f>[1]ALL!I266</f>
        <v>135.339</v>
      </c>
      <c r="K83" s="11">
        <f>[1]ALL!J266</f>
        <v>100.812</v>
      </c>
      <c r="L83" s="11">
        <f>[1]ALL!K266</f>
        <v>108.65</v>
      </c>
      <c r="M83" s="11">
        <f>[1]ALL!L266</f>
        <v>99.400199999999998</v>
      </c>
      <c r="N83" s="11">
        <f>[1]ALL!M266</f>
        <v>77.237399999999994</v>
      </c>
      <c r="O83" s="11">
        <f>[1]ALL!N266</f>
        <v>91.315200000000004</v>
      </c>
      <c r="P83" s="11">
        <f>[1]ALL!O266</f>
        <v>72.273399999999995</v>
      </c>
      <c r="Q83" s="11">
        <f>[1]ALL!P266</f>
        <v>0</v>
      </c>
      <c r="R83" s="11">
        <f>[1]ALL!Q266</f>
        <v>0</v>
      </c>
      <c r="S83" s="11">
        <f>[1]ALL!R79</f>
        <v>0</v>
      </c>
      <c r="T83" s="9"/>
      <c r="U83" s="9"/>
      <c r="V83" s="10"/>
    </row>
    <row r="84" spans="1:22">
      <c r="A84" s="2">
        <v>11</v>
      </c>
      <c r="B84" s="1" t="str">
        <f>[1]ALL!A12</f>
        <v>35A</v>
      </c>
      <c r="C84" s="2" t="str">
        <f>[1]ALL!B12</f>
        <v>Made of Steel</v>
      </c>
      <c r="D84" s="2" t="str">
        <f>[1]ALL!C12</f>
        <v>Cranbrook Schools</v>
      </c>
      <c r="E84" s="2" t="str">
        <f>[1]ALL!D12</f>
        <v>Bloomfield Hills, Michigan, United States</v>
      </c>
      <c r="F84" s="8">
        <f>[1]ALL!E12</f>
        <v>269</v>
      </c>
      <c r="G84" s="8">
        <f>[1]ALL!F12</f>
        <v>261</v>
      </c>
      <c r="H84" s="8">
        <f>[1]ALL!G12</f>
        <v>140.76400000000001</v>
      </c>
      <c r="I84" s="11">
        <f>[1]ALL!H12</f>
        <v>71.459699999999998</v>
      </c>
      <c r="J84" s="11">
        <f>[1]ALL!I12</f>
        <v>84.537499999999994</v>
      </c>
      <c r="K84" s="11">
        <f>[1]ALL!J12</f>
        <v>140.76400000000001</v>
      </c>
      <c r="L84" s="11">
        <f>[1]ALL!K12</f>
        <v>83.189099999999996</v>
      </c>
      <c r="M84" s="11">
        <f>[1]ALL!L12</f>
        <v>81.9268</v>
      </c>
      <c r="N84" s="11">
        <f>[1]ALL!M12</f>
        <v>90.562200000000004</v>
      </c>
      <c r="O84" s="11">
        <f>[1]ALL!N12</f>
        <v>59.546999999999997</v>
      </c>
      <c r="P84" s="11">
        <f>[1]ALL!O12</f>
        <v>24.939900000000002</v>
      </c>
      <c r="Q84" s="11">
        <f>[1]ALL!P12</f>
        <v>0</v>
      </c>
      <c r="R84" s="11">
        <f>[1]ALL!Q12</f>
        <v>0</v>
      </c>
      <c r="S84" s="11">
        <f>[1]ALL!R80</f>
        <v>0</v>
      </c>
      <c r="T84" s="9"/>
      <c r="U84" s="9"/>
      <c r="V84" s="10"/>
    </row>
    <row r="85" spans="1:22">
      <c r="A85" s="2">
        <v>452</v>
      </c>
      <c r="B85" s="1" t="str">
        <f>[1]ALL!A453</f>
        <v>9181B</v>
      </c>
      <c r="C85" s="2" t="str">
        <f>[1]ALL!B453</f>
        <v>Seaquam Seahawks</v>
      </c>
      <c r="D85" s="2" t="str">
        <f>[1]ALL!C453</f>
        <v>Seaquam Secondary</v>
      </c>
      <c r="E85" s="2" t="str">
        <f>[1]ALL!D453</f>
        <v>Delta, British Columbia, Canada</v>
      </c>
      <c r="F85" s="8">
        <f>[1]ALL!E453</f>
        <v>315</v>
      </c>
      <c r="G85" s="8">
        <f>[1]ALL!F453</f>
        <v>259</v>
      </c>
      <c r="H85" s="8">
        <f>[1]ALL!G453</f>
        <v>113.373</v>
      </c>
      <c r="I85" s="11">
        <f>[1]ALL!H453</f>
        <v>113.373</v>
      </c>
      <c r="J85" s="11">
        <f>[1]ALL!I453</f>
        <v>93.694299999999998</v>
      </c>
      <c r="K85" s="11">
        <f>[1]ALL!J453</f>
        <v>28.156099999999999</v>
      </c>
      <c r="L85" s="11">
        <f>[1]ALL!K453</f>
        <v>67.011899999999997</v>
      </c>
      <c r="M85" s="11">
        <f>[1]ALL!L453</f>
        <v>48.703600000000002</v>
      </c>
      <c r="N85" s="11">
        <f>[1]ALL!M453</f>
        <v>0</v>
      </c>
      <c r="O85" s="11">
        <f>[1]ALL!N453</f>
        <v>0</v>
      </c>
      <c r="P85" s="11">
        <f>[1]ALL!O453</f>
        <v>0</v>
      </c>
      <c r="Q85" s="11">
        <f>[1]ALL!P453</f>
        <v>0</v>
      </c>
      <c r="R85" s="11">
        <f>[1]ALL!Q453</f>
        <v>0</v>
      </c>
      <c r="S85" s="11">
        <f>[1]ALL!R81</f>
        <v>0</v>
      </c>
      <c r="T85" s="9"/>
      <c r="U85" s="9"/>
      <c r="V85" s="10"/>
    </row>
    <row r="86" spans="1:22">
      <c r="A86" s="2">
        <v>53</v>
      </c>
      <c r="B86" s="1" t="str">
        <f>[1]ALL!A54</f>
        <v>333X</v>
      </c>
      <c r="C86" s="2" t="str">
        <f>[1]ALL!B54</f>
        <v>Mokito</v>
      </c>
      <c r="D86" s="2" t="str">
        <f>[1]ALL!C54</f>
        <v>Niles North Robotics</v>
      </c>
      <c r="E86" s="2" t="str">
        <f>[1]ALL!D54</f>
        <v>Skokie, Illinois, United States</v>
      </c>
      <c r="F86" s="8">
        <f>[1]ALL!E54</f>
        <v>313</v>
      </c>
      <c r="G86" s="8">
        <f>[1]ALL!F54</f>
        <v>256</v>
      </c>
      <c r="H86" s="8">
        <f>[1]ALL!G54</f>
        <v>145.50200000000001</v>
      </c>
      <c r="I86" s="11">
        <f>[1]ALL!H54</f>
        <v>129.76400000000001</v>
      </c>
      <c r="J86" s="11">
        <f>[1]ALL!I54</f>
        <v>145.50200000000001</v>
      </c>
      <c r="K86" s="11">
        <f>[1]ALL!J54</f>
        <v>107.155</v>
      </c>
      <c r="L86" s="11">
        <f>[1]ALL!K54</f>
        <v>92.940799999999996</v>
      </c>
      <c r="M86" s="11">
        <f>[1]ALL!L54</f>
        <v>95.076700000000002</v>
      </c>
      <c r="N86" s="11">
        <f>[1]ALL!M54</f>
        <v>0</v>
      </c>
      <c r="O86" s="11">
        <f>[1]ALL!N54</f>
        <v>0</v>
      </c>
      <c r="P86" s="11">
        <f>[1]ALL!O54</f>
        <v>0</v>
      </c>
      <c r="Q86" s="11">
        <f>[1]ALL!P54</f>
        <v>0</v>
      </c>
      <c r="R86" s="11">
        <f>[1]ALL!Q54</f>
        <v>0</v>
      </c>
      <c r="S86" s="11">
        <f>[1]ALL!R82</f>
        <v>0</v>
      </c>
      <c r="T86" s="9"/>
      <c r="U86" s="9"/>
      <c r="V86" s="10"/>
    </row>
    <row r="87" spans="1:22">
      <c r="A87" s="2">
        <v>61</v>
      </c>
      <c r="B87" s="1" t="str">
        <f>[1]ALL!A62</f>
        <v>400S</v>
      </c>
      <c r="C87" s="2" t="str">
        <f>[1]ALL!B62</f>
        <v>Galveston I.S.D. Robotics</v>
      </c>
      <c r="D87" s="2" t="str">
        <f>[1]ALL!C62</f>
        <v>Galveston I.S.D. Robotics</v>
      </c>
      <c r="E87" s="2" t="str">
        <f>[1]ALL!D62</f>
        <v>Galveston, Texas, United States</v>
      </c>
      <c r="F87" s="8">
        <f>[1]ALL!E62</f>
        <v>240</v>
      </c>
      <c r="G87" s="8">
        <f>[1]ALL!F62</f>
        <v>256</v>
      </c>
      <c r="H87" s="8">
        <f>[1]ALL!G62</f>
        <v>100.82</v>
      </c>
      <c r="I87" s="11">
        <f>[1]ALL!H62</f>
        <v>87.411299999999997</v>
      </c>
      <c r="J87" s="11">
        <f>[1]ALL!I62</f>
        <v>74.314300000000003</v>
      </c>
      <c r="K87" s="11">
        <f>[1]ALL!J62</f>
        <v>100.82</v>
      </c>
      <c r="L87" s="11">
        <f>[1]ALL!K62</f>
        <v>88.004800000000003</v>
      </c>
      <c r="M87" s="11">
        <f>[1]ALL!L62</f>
        <v>50.397300000000001</v>
      </c>
      <c r="N87" s="11">
        <f>[1]ALL!M62</f>
        <v>0</v>
      </c>
      <c r="O87" s="11">
        <f>[1]ALL!N62</f>
        <v>0</v>
      </c>
      <c r="P87" s="11">
        <f>[1]ALL!O62</f>
        <v>0</v>
      </c>
      <c r="Q87" s="11">
        <f>[1]ALL!P62</f>
        <v>0</v>
      </c>
      <c r="R87" s="11">
        <f>[1]ALL!Q62</f>
        <v>0</v>
      </c>
      <c r="S87" s="11">
        <f>[1]ALL!R83</f>
        <v>0</v>
      </c>
      <c r="T87" s="9"/>
      <c r="U87" s="9"/>
      <c r="V87" s="10"/>
    </row>
    <row r="88" spans="1:22">
      <c r="A88" s="2">
        <v>441</v>
      </c>
      <c r="B88" s="1" t="str">
        <f>[1]ALL!A442</f>
        <v>8926</v>
      </c>
      <c r="C88" s="2" t="str">
        <f>[1]ALL!B442</f>
        <v>Combined IQ</v>
      </c>
      <c r="D88" s="2" t="str">
        <f>[1]ALL!C442</f>
        <v>Oakbrook Preparatory School</v>
      </c>
      <c r="E88" s="2" t="str">
        <f>[1]ALL!D442</f>
        <v>Spartanburg, South Carolina, United States</v>
      </c>
      <c r="F88" s="8">
        <f>[1]ALL!E442</f>
        <v>229</v>
      </c>
      <c r="G88" s="8">
        <f>[1]ALL!F442</f>
        <v>256</v>
      </c>
      <c r="H88" s="8">
        <f>[1]ALL!G442</f>
        <v>103.383</v>
      </c>
      <c r="I88" s="11">
        <f>[1]ALL!H442</f>
        <v>64.453699999999998</v>
      </c>
      <c r="J88" s="11">
        <f>[1]ALL!I442</f>
        <v>63.439599999999999</v>
      </c>
      <c r="K88" s="11">
        <f>[1]ALL!J442</f>
        <v>56.3095</v>
      </c>
      <c r="L88" s="11">
        <f>[1]ALL!K442</f>
        <v>103.383</v>
      </c>
      <c r="M88" s="11">
        <f>[1]ALL!L442</f>
        <v>37.821399999999997</v>
      </c>
      <c r="N88" s="11">
        <f>[1]ALL!M442</f>
        <v>53.653700000000001</v>
      </c>
      <c r="O88" s="11">
        <f>[1]ALL!N442</f>
        <v>0</v>
      </c>
      <c r="P88" s="11">
        <f>[1]ALL!O442</f>
        <v>0</v>
      </c>
      <c r="Q88" s="11">
        <f>[1]ALL!P442</f>
        <v>0</v>
      </c>
      <c r="R88" s="11">
        <f>[1]ALL!Q442</f>
        <v>0</v>
      </c>
      <c r="S88" s="11">
        <f>[1]ALL!R84</f>
        <v>0</v>
      </c>
      <c r="T88" s="9"/>
      <c r="U88" s="9"/>
      <c r="V88" s="10"/>
    </row>
    <row r="89" spans="1:22">
      <c r="A89" s="2">
        <v>439</v>
      </c>
      <c r="B89" s="1" t="str">
        <f>[1]ALL!A440</f>
        <v>8899X</v>
      </c>
      <c r="C89" s="2" t="str">
        <f>[1]ALL!B440</f>
        <v>Vexecutives</v>
      </c>
      <c r="D89" s="2" t="str">
        <f>[1]ALL!C440</f>
        <v>Braden River High School</v>
      </c>
      <c r="E89" s="2" t="str">
        <f>[1]ALL!D440</f>
        <v>Bradenton, Florida, United States</v>
      </c>
      <c r="F89" s="8">
        <f>[1]ALL!E440</f>
        <v>291</v>
      </c>
      <c r="G89" s="8">
        <f>[1]ALL!F440</f>
        <v>254</v>
      </c>
      <c r="H89" s="8">
        <f>[1]ALL!G440</f>
        <v>90.317800000000005</v>
      </c>
      <c r="I89" s="11">
        <f>[1]ALL!H440</f>
        <v>0</v>
      </c>
      <c r="J89" s="11">
        <f>[1]ALL!I440</f>
        <v>10.726699999999999</v>
      </c>
      <c r="K89" s="11">
        <f>[1]ALL!J440</f>
        <v>48.268000000000001</v>
      </c>
      <c r="L89" s="11">
        <f>[1]ALL!K440</f>
        <v>51.341099999999997</v>
      </c>
      <c r="M89" s="11">
        <f>[1]ALL!L440</f>
        <v>90.317800000000005</v>
      </c>
      <c r="N89" s="11">
        <f>[1]ALL!M440</f>
        <v>0</v>
      </c>
      <c r="O89" s="11">
        <f>[1]ALL!N440</f>
        <v>0</v>
      </c>
      <c r="P89" s="11">
        <f>[1]ALL!O440</f>
        <v>0</v>
      </c>
      <c r="Q89" s="11">
        <f>[1]ALL!P440</f>
        <v>0</v>
      </c>
      <c r="R89" s="11">
        <f>[1]ALL!Q440</f>
        <v>0</v>
      </c>
      <c r="S89" s="11">
        <f>[1]ALL!R85</f>
        <v>0</v>
      </c>
      <c r="T89" s="9"/>
      <c r="U89" s="9"/>
      <c r="V89" s="10"/>
    </row>
    <row r="90" spans="1:22">
      <c r="A90" s="2">
        <v>1</v>
      </c>
      <c r="B90" s="1" t="str">
        <f>[1]ALL!A2</f>
        <v>2R</v>
      </c>
      <c r="C90" s="2" t="str">
        <f>[1]ALL!B2</f>
        <v>Robosavages R</v>
      </c>
      <c r="D90" s="2" t="str">
        <f>[1]ALL!C2</f>
        <v>Gladstone</v>
      </c>
      <c r="E90" s="2" t="str">
        <f>[1]ALL!D2</f>
        <v>Vancouver, British Columbia, Canada</v>
      </c>
      <c r="F90" s="8">
        <f>[1]ALL!E2</f>
        <v>356</v>
      </c>
      <c r="G90" s="8">
        <f>[1]ALL!F2</f>
        <v>253</v>
      </c>
      <c r="H90" s="8">
        <f>[1]ALL!G2</f>
        <v>142.357</v>
      </c>
      <c r="I90" s="11">
        <f>[1]ALL!H2</f>
        <v>142.357</v>
      </c>
      <c r="J90" s="11">
        <f>[1]ALL!I2</f>
        <v>107.38200000000001</v>
      </c>
      <c r="K90" s="11">
        <f>[1]ALL!J2</f>
        <v>138.21799999999999</v>
      </c>
      <c r="L90" s="11">
        <f>[1]ALL!K2</f>
        <v>87.828999999999994</v>
      </c>
      <c r="M90" s="11">
        <f>[1]ALL!L2</f>
        <v>82.34</v>
      </c>
      <c r="N90" s="11">
        <f>[1]ALL!M2</f>
        <v>0</v>
      </c>
      <c r="O90" s="11">
        <f>[1]ALL!N2</f>
        <v>0</v>
      </c>
      <c r="P90" s="11">
        <f>[1]ALL!O2</f>
        <v>0</v>
      </c>
      <c r="Q90" s="11">
        <f>[1]ALL!P2</f>
        <v>0</v>
      </c>
      <c r="R90" s="11">
        <f>[1]ALL!Q2</f>
        <v>0</v>
      </c>
      <c r="S90" s="11">
        <f>[1]ALL!R86</f>
        <v>0</v>
      </c>
      <c r="T90" s="9"/>
      <c r="U90" s="9"/>
      <c r="V90" s="10"/>
    </row>
    <row r="91" spans="1:22">
      <c r="A91" s="2">
        <v>71</v>
      </c>
      <c r="B91" s="1" t="str">
        <f>[1]ALL!A72</f>
        <v>586A</v>
      </c>
      <c r="C91" s="2" t="str">
        <f>[1]ALL!B72</f>
        <v>PHS A-Team</v>
      </c>
      <c r="D91" s="2" t="str">
        <f>[1]ALL!C72</f>
        <v>Plymouth High School</v>
      </c>
      <c r="E91" s="2" t="str">
        <f>[1]ALL!D72</f>
        <v>Plymouth, Indiana, United States</v>
      </c>
      <c r="F91" s="8">
        <f>[1]ALL!E72</f>
        <v>107</v>
      </c>
      <c r="G91" s="8">
        <f>[1]ALL!F72</f>
        <v>253</v>
      </c>
      <c r="H91" s="8">
        <f>[1]ALL!G72</f>
        <v>132.64699999999999</v>
      </c>
      <c r="I91" s="11">
        <f>[1]ALL!H72</f>
        <v>90.963499999999996</v>
      </c>
      <c r="J91" s="11">
        <f>[1]ALL!I72</f>
        <v>123.232</v>
      </c>
      <c r="K91" s="11">
        <f>[1]ALL!J72</f>
        <v>112.82299999999999</v>
      </c>
      <c r="L91" s="11">
        <f>[1]ALL!K72</f>
        <v>132.64699999999999</v>
      </c>
      <c r="M91" s="11">
        <f>[1]ALL!L72</f>
        <v>125.59099999999999</v>
      </c>
      <c r="N91" s="11">
        <f>[1]ALL!M72</f>
        <v>112.34099999999999</v>
      </c>
      <c r="O91" s="11">
        <f>[1]ALL!N72</f>
        <v>104.749</v>
      </c>
      <c r="P91" s="11">
        <f>[1]ALL!O72</f>
        <v>46.073799999999999</v>
      </c>
      <c r="Q91" s="11">
        <f>[1]ALL!P72</f>
        <v>0</v>
      </c>
      <c r="R91" s="11">
        <f>[1]ALL!Q72</f>
        <v>0</v>
      </c>
      <c r="S91" s="11">
        <f>[1]ALL!R87</f>
        <v>0</v>
      </c>
      <c r="T91" s="9"/>
      <c r="U91" s="9"/>
      <c r="V91" s="10"/>
    </row>
    <row r="92" spans="1:22">
      <c r="A92" s="2">
        <v>141</v>
      </c>
      <c r="B92" s="1" t="str">
        <f>[1]ALL!A142</f>
        <v>1575A</v>
      </c>
      <c r="C92" s="2" t="str">
        <f>[1]ALL!B142</f>
        <v>Athena</v>
      </c>
      <c r="D92" s="2" t="str">
        <f>[1]ALL!C142</f>
        <v>Woodbridge Senior High School</v>
      </c>
      <c r="E92" s="2" t="str">
        <f>[1]ALL!D142</f>
        <v>Woodbridge, Virginia, United States</v>
      </c>
      <c r="F92" s="8">
        <f>[1]ALL!E142</f>
        <v>271</v>
      </c>
      <c r="G92" s="8">
        <f>[1]ALL!F142</f>
        <v>250</v>
      </c>
      <c r="H92" s="8">
        <f>[1]ALL!G142</f>
        <v>149.38300000000001</v>
      </c>
      <c r="I92" s="11">
        <f>[1]ALL!H142</f>
        <v>102.536</v>
      </c>
      <c r="J92" s="11">
        <f>[1]ALL!I142</f>
        <v>113.19199999999999</v>
      </c>
      <c r="K92" s="11">
        <f>[1]ALL!J142</f>
        <v>149.38300000000001</v>
      </c>
      <c r="L92" s="11">
        <f>[1]ALL!K142</f>
        <v>90.935000000000002</v>
      </c>
      <c r="M92" s="11">
        <f>[1]ALL!L142</f>
        <v>41.176499999999997</v>
      </c>
      <c r="N92" s="11">
        <f>[1]ALL!M142</f>
        <v>65.584900000000005</v>
      </c>
      <c r="O92" s="11">
        <f>[1]ALL!N142</f>
        <v>49.987400000000001</v>
      </c>
      <c r="P92" s="11">
        <f>[1]ALL!O142</f>
        <v>0</v>
      </c>
      <c r="Q92" s="11">
        <f>[1]ALL!P142</f>
        <v>0</v>
      </c>
      <c r="R92" s="11">
        <f>[1]ALL!Q142</f>
        <v>0</v>
      </c>
      <c r="S92" s="11">
        <f>[1]ALL!R88</f>
        <v>0</v>
      </c>
      <c r="T92" s="9"/>
      <c r="U92" s="9"/>
      <c r="V92" s="10"/>
    </row>
    <row r="93" spans="1:22">
      <c r="A93" s="2">
        <v>100</v>
      </c>
      <c r="B93" s="1" t="str">
        <f>[1]ALL!A101</f>
        <v>1039A</v>
      </c>
      <c r="C93" s="2" t="str">
        <f>[1]ALL!B101</f>
        <v>Robo-Raiders</v>
      </c>
      <c r="D93" s="2" t="str">
        <f>[1]ALL!C101</f>
        <v>Highland Secondary School</v>
      </c>
      <c r="E93" s="2" t="str">
        <f>[1]ALL!D101</f>
        <v>Comox, British Columbia, Canada</v>
      </c>
      <c r="F93" s="8">
        <f>[1]ALL!E101</f>
        <v>292</v>
      </c>
      <c r="G93" s="8">
        <f>[1]ALL!F101</f>
        <v>247</v>
      </c>
      <c r="H93" s="8">
        <f>[1]ALL!G101</f>
        <v>133.50299999999999</v>
      </c>
      <c r="I93" s="11">
        <f>[1]ALL!H101</f>
        <v>115.08499999999999</v>
      </c>
      <c r="J93" s="11">
        <f>[1]ALL!I101</f>
        <v>133.50299999999999</v>
      </c>
      <c r="K93" s="11">
        <f>[1]ALL!J101</f>
        <v>73.310699999999997</v>
      </c>
      <c r="L93" s="11">
        <f>[1]ALL!K101</f>
        <v>57.020200000000003</v>
      </c>
      <c r="M93" s="11">
        <f>[1]ALL!L101</f>
        <v>0</v>
      </c>
      <c r="N93" s="11">
        <f>[1]ALL!M101</f>
        <v>0</v>
      </c>
      <c r="O93" s="11">
        <f>[1]ALL!N101</f>
        <v>0</v>
      </c>
      <c r="P93" s="11">
        <f>[1]ALL!O101</f>
        <v>0</v>
      </c>
      <c r="Q93" s="11">
        <f>[1]ALL!P101</f>
        <v>0</v>
      </c>
      <c r="R93" s="11">
        <f>[1]ALL!Q101</f>
        <v>0</v>
      </c>
      <c r="S93" s="11">
        <f>[1]ALL!R89</f>
        <v>0</v>
      </c>
      <c r="T93" s="9"/>
      <c r="U93" s="9"/>
      <c r="V93" s="10"/>
    </row>
    <row r="94" spans="1:22">
      <c r="A94" s="2">
        <v>345</v>
      </c>
      <c r="B94" s="1" t="str">
        <f>[1]ALL!A346</f>
        <v>6740A</v>
      </c>
      <c r="C94" s="2" t="str">
        <f>[1]ALL!B346</f>
        <v>Alvin</v>
      </c>
      <c r="D94" s="2" t="str">
        <f>[1]ALL!C346</f>
        <v>Team Alvin</v>
      </c>
      <c r="E94" s="2" t="str">
        <f>[1]ALL!D346</f>
        <v>Glen Allen, Virginia, United States</v>
      </c>
      <c r="F94" s="8">
        <f>[1]ALL!E346</f>
        <v>272</v>
      </c>
      <c r="G94" s="8">
        <f>[1]ALL!F346</f>
        <v>246</v>
      </c>
      <c r="H94" s="8">
        <f>[1]ALL!G346</f>
        <v>104.51600000000001</v>
      </c>
      <c r="I94" s="11">
        <f>[1]ALL!H346</f>
        <v>84.672499999999999</v>
      </c>
      <c r="J94" s="11">
        <f>[1]ALL!I346</f>
        <v>89.083299999999994</v>
      </c>
      <c r="K94" s="11">
        <f>[1]ALL!J346</f>
        <v>104.51600000000001</v>
      </c>
      <c r="L94" s="11">
        <f>[1]ALL!K346</f>
        <v>0</v>
      </c>
      <c r="M94" s="11">
        <f>[1]ALL!L346</f>
        <v>0</v>
      </c>
      <c r="N94" s="11">
        <f>[1]ALL!M346</f>
        <v>0</v>
      </c>
      <c r="O94" s="11">
        <f>[1]ALL!N346</f>
        <v>0</v>
      </c>
      <c r="P94" s="11">
        <f>[1]ALL!O346</f>
        <v>0</v>
      </c>
      <c r="Q94" s="11">
        <f>[1]ALL!P346</f>
        <v>0</v>
      </c>
      <c r="R94" s="11">
        <f>[1]ALL!Q346</f>
        <v>0</v>
      </c>
      <c r="S94" s="11">
        <f>[1]ALL!R90</f>
        <v>0</v>
      </c>
      <c r="T94" s="9"/>
      <c r="U94" s="9"/>
      <c r="V94" s="10"/>
    </row>
    <row r="95" spans="1:22">
      <c r="A95" s="2">
        <v>92</v>
      </c>
      <c r="B95" s="1" t="str">
        <f>[1]ALL!A93</f>
        <v>929Y</v>
      </c>
      <c r="C95" s="2" t="str">
        <f>[1]ALL!B93</f>
        <v>Hereford Zone Robotics</v>
      </c>
      <c r="D95" s="2" t="str">
        <f>[1]ALL!C93</f>
        <v>Hereford High School</v>
      </c>
      <c r="E95" s="2" t="str">
        <f>[1]ALL!D93</f>
        <v>Parkton, Maryland, United States</v>
      </c>
      <c r="F95" s="8">
        <f>[1]ALL!E93</f>
        <v>81</v>
      </c>
      <c r="G95" s="8">
        <f>[1]ALL!F93</f>
        <v>246</v>
      </c>
      <c r="H95" s="8">
        <f>[1]ALL!G93</f>
        <v>57.278300000000002</v>
      </c>
      <c r="I95" s="11">
        <f>[1]ALL!H93</f>
        <v>56.841099999999997</v>
      </c>
      <c r="J95" s="11">
        <f>[1]ALL!I93</f>
        <v>46.202100000000002</v>
      </c>
      <c r="K95" s="11">
        <f>[1]ALL!J93</f>
        <v>57.278300000000002</v>
      </c>
      <c r="L95" s="11">
        <f>[1]ALL!K93</f>
        <v>30.563700000000001</v>
      </c>
      <c r="M95" s="11">
        <f>[1]ALL!L93</f>
        <v>50.9739</v>
      </c>
      <c r="N95" s="11">
        <f>[1]ALL!M93</f>
        <v>21.792100000000001</v>
      </c>
      <c r="O95" s="11">
        <f>[1]ALL!N93</f>
        <v>16.838799999999999</v>
      </c>
      <c r="P95" s="11">
        <f>[1]ALL!O93</f>
        <v>0</v>
      </c>
      <c r="Q95" s="11">
        <f>[1]ALL!P93</f>
        <v>0</v>
      </c>
      <c r="R95" s="11">
        <f>[1]ALL!Q93</f>
        <v>0</v>
      </c>
      <c r="S95" s="11">
        <f>[1]ALL!R91</f>
        <v>0</v>
      </c>
      <c r="T95" s="9"/>
      <c r="U95" s="9"/>
      <c r="V95" s="10"/>
    </row>
    <row r="96" spans="1:22">
      <c r="A96" s="2">
        <v>326</v>
      </c>
      <c r="B96" s="1" t="str">
        <f>[1]ALL!A327</f>
        <v>6135K</v>
      </c>
      <c r="C96" s="2" t="str">
        <f>[1]ALL!B327</f>
        <v>CHHS Bruins K</v>
      </c>
      <c r="D96" s="2" t="str">
        <f>[1]ALL!C327</f>
        <v>Central Hardin High School PLTW</v>
      </c>
      <c r="E96" s="2" t="str">
        <f>[1]ALL!D327</f>
        <v>Cecilia, Kentucky, United States</v>
      </c>
      <c r="F96" s="8">
        <f>[1]ALL!E327</f>
        <v>238</v>
      </c>
      <c r="G96" s="8">
        <f>[1]ALL!F327</f>
        <v>245</v>
      </c>
      <c r="H96" s="8">
        <f>[1]ALL!G327</f>
        <v>76.271900000000002</v>
      </c>
      <c r="I96" s="11">
        <f>[1]ALL!H327</f>
        <v>76.271900000000002</v>
      </c>
      <c r="J96" s="11">
        <f>[1]ALL!I327</f>
        <v>61.979900000000001</v>
      </c>
      <c r="K96" s="11">
        <f>[1]ALL!J327</f>
        <v>35.088999999999999</v>
      </c>
      <c r="L96" s="11">
        <f>[1]ALL!K327</f>
        <v>63.208300000000001</v>
      </c>
      <c r="M96" s="11">
        <f>[1]ALL!L327</f>
        <v>33.561399999999999</v>
      </c>
      <c r="N96" s="11">
        <f>[1]ALL!M327</f>
        <v>26.699100000000001</v>
      </c>
      <c r="O96" s="11">
        <f>[1]ALL!N327</f>
        <v>38.849200000000003</v>
      </c>
      <c r="P96" s="11">
        <f>[1]ALL!O327</f>
        <v>17.614699999999999</v>
      </c>
      <c r="Q96" s="11">
        <f>[1]ALL!P327</f>
        <v>27.6327</v>
      </c>
      <c r="R96" s="11">
        <f>[1]ALL!Q327</f>
        <v>0</v>
      </c>
      <c r="S96" s="11">
        <f>[1]ALL!R92</f>
        <v>0</v>
      </c>
      <c r="T96" s="9"/>
      <c r="U96" s="9"/>
      <c r="V96" s="10"/>
    </row>
    <row r="97" spans="1:22">
      <c r="A97" s="2">
        <v>230</v>
      </c>
      <c r="B97" s="1" t="str">
        <f>[1]ALL!A231</f>
        <v>4142A</v>
      </c>
      <c r="C97" s="2" t="str">
        <f>[1]ALL!B231</f>
        <v>Pearl City High School</v>
      </c>
      <c r="D97" s="2" t="str">
        <f>[1]ALL!C231</f>
        <v>Pearl City High School</v>
      </c>
      <c r="E97" s="2" t="str">
        <f>[1]ALL!D231</f>
        <v>Pearl City, Hawaii, United States</v>
      </c>
      <c r="F97" s="8">
        <f>[1]ALL!E231</f>
        <v>259</v>
      </c>
      <c r="G97" s="8">
        <f>[1]ALL!F231</f>
        <v>244</v>
      </c>
      <c r="H97" s="8">
        <f>[1]ALL!G231</f>
        <v>157.41399999999999</v>
      </c>
      <c r="I97" s="11">
        <f>[1]ALL!H231</f>
        <v>110.416</v>
      </c>
      <c r="J97" s="11">
        <f>[1]ALL!I231</f>
        <v>108.746</v>
      </c>
      <c r="K97" s="11">
        <f>[1]ALL!J231</f>
        <v>157.41399999999999</v>
      </c>
      <c r="L97" s="11">
        <f>[1]ALL!K231</f>
        <v>65.322900000000004</v>
      </c>
      <c r="M97" s="11">
        <f>[1]ALL!L231</f>
        <v>98.789699999999996</v>
      </c>
      <c r="N97" s="11">
        <f>[1]ALL!M231</f>
        <v>0</v>
      </c>
      <c r="O97" s="11">
        <f>[1]ALL!N231</f>
        <v>0</v>
      </c>
      <c r="P97" s="11">
        <f>[1]ALL!O231</f>
        <v>0</v>
      </c>
      <c r="Q97" s="11">
        <f>[1]ALL!P231</f>
        <v>0</v>
      </c>
      <c r="R97" s="11">
        <f>[1]ALL!Q231</f>
        <v>0</v>
      </c>
      <c r="S97" s="11">
        <f>[1]ALL!R93</f>
        <v>0</v>
      </c>
      <c r="T97" s="9"/>
      <c r="U97" s="9"/>
      <c r="V97" s="10"/>
    </row>
    <row r="98" spans="1:22">
      <c r="A98" s="2">
        <v>280</v>
      </c>
      <c r="B98" s="1" t="str">
        <f>[1]ALL!A281</f>
        <v>5327B</v>
      </c>
      <c r="C98" s="2" t="str">
        <f>[1]ALL!B281</f>
        <v>Gael Force</v>
      </c>
      <c r="D98" s="2" t="str">
        <f>[1]ALL!C281</f>
        <v>Dublin High School</v>
      </c>
      <c r="E98" s="2" t="str">
        <f>[1]ALL!D281</f>
        <v>Dublin, California, United States</v>
      </c>
      <c r="F98" s="8">
        <f>[1]ALL!E281</f>
        <v>303</v>
      </c>
      <c r="G98" s="8">
        <f>[1]ALL!F281</f>
        <v>241</v>
      </c>
      <c r="H98" s="8">
        <f>[1]ALL!G281</f>
        <v>102.292</v>
      </c>
      <c r="I98" s="11">
        <f>[1]ALL!H281</f>
        <v>102.292</v>
      </c>
      <c r="J98" s="11">
        <f>[1]ALL!I281</f>
        <v>76.584299999999999</v>
      </c>
      <c r="K98" s="11">
        <f>[1]ALL!J281</f>
        <v>53.794400000000003</v>
      </c>
      <c r="L98" s="11">
        <f>[1]ALL!K281</f>
        <v>73.699700000000007</v>
      </c>
      <c r="M98" s="11">
        <f>[1]ALL!L281</f>
        <v>41.072699999999998</v>
      </c>
      <c r="N98" s="11">
        <f>[1]ALL!M281</f>
        <v>80.063699999999997</v>
      </c>
      <c r="O98" s="11">
        <f>[1]ALL!N281</f>
        <v>42.133499999999998</v>
      </c>
      <c r="P98" s="11">
        <f>[1]ALL!O281</f>
        <v>0</v>
      </c>
      <c r="Q98" s="11">
        <f>[1]ALL!P281</f>
        <v>0</v>
      </c>
      <c r="R98" s="11">
        <f>[1]ALL!Q281</f>
        <v>0</v>
      </c>
      <c r="S98" s="11">
        <f>[1]ALL!R94</f>
        <v>0</v>
      </c>
      <c r="T98" s="9"/>
      <c r="U98" s="9"/>
      <c r="V98" s="10"/>
    </row>
    <row r="99" spans="1:22">
      <c r="A99" s="2">
        <v>346</v>
      </c>
      <c r="B99" s="1" t="str">
        <f>[1]ALL!A347</f>
        <v>6740B</v>
      </c>
      <c r="C99" s="2" t="str">
        <f>[1]ALL!B347</f>
        <v>Simon</v>
      </c>
      <c r="D99" s="2" t="str">
        <f>[1]ALL!C347</f>
        <v>Team Alvin</v>
      </c>
      <c r="E99" s="2" t="str">
        <f>[1]ALL!D347</f>
        <v>Glen Allen, Virginia, United States</v>
      </c>
      <c r="F99" s="8">
        <f>[1]ALL!E347</f>
        <v>215</v>
      </c>
      <c r="G99" s="8">
        <f>[1]ALL!F347</f>
        <v>241</v>
      </c>
      <c r="H99" s="8">
        <f>[1]ALL!G347</f>
        <v>96.616299999999995</v>
      </c>
      <c r="I99" s="11">
        <f>[1]ALL!H347</f>
        <v>74.914699999999996</v>
      </c>
      <c r="J99" s="11">
        <f>[1]ALL!I347</f>
        <v>96.616299999999995</v>
      </c>
      <c r="K99" s="11">
        <f>[1]ALL!J347</f>
        <v>79.116200000000006</v>
      </c>
      <c r="L99" s="11">
        <f>[1]ALL!K347</f>
        <v>0</v>
      </c>
      <c r="M99" s="11">
        <f>[1]ALL!L347</f>
        <v>0</v>
      </c>
      <c r="N99" s="11">
        <f>[1]ALL!M347</f>
        <v>0</v>
      </c>
      <c r="O99" s="11">
        <f>[1]ALL!N347</f>
        <v>0</v>
      </c>
      <c r="P99" s="11">
        <f>[1]ALL!O347</f>
        <v>0</v>
      </c>
      <c r="Q99" s="11">
        <f>[1]ALL!P347</f>
        <v>0</v>
      </c>
      <c r="R99" s="11">
        <f>[1]ALL!Q347</f>
        <v>0</v>
      </c>
      <c r="S99" s="11">
        <f>[1]ALL!R95</f>
        <v>0</v>
      </c>
      <c r="T99" s="9"/>
      <c r="U99" s="9"/>
      <c r="V99" s="10"/>
    </row>
    <row r="100" spans="1:22">
      <c r="A100" s="2">
        <v>137</v>
      </c>
      <c r="B100" s="1" t="str">
        <f>[1]ALL!A138</f>
        <v>1492Y</v>
      </c>
      <c r="C100" s="2" t="str">
        <f>[1]ALL!B138</f>
        <v>W.A.S.A.B.I.</v>
      </c>
      <c r="D100" s="2" t="str">
        <f>[1]ALL!C138</f>
        <v>Big Brains Education</v>
      </c>
      <c r="E100" s="2" t="str">
        <f>[1]ALL!D138</f>
        <v>Bellevue, Washington, United States</v>
      </c>
      <c r="F100" s="8">
        <f>[1]ALL!E138</f>
        <v>219</v>
      </c>
      <c r="G100" s="8">
        <f>[1]ALL!F138</f>
        <v>240</v>
      </c>
      <c r="H100" s="8">
        <f>[1]ALL!G138</f>
        <v>102.09699999999999</v>
      </c>
      <c r="I100" s="11">
        <f>[1]ALL!H138</f>
        <v>70.155600000000007</v>
      </c>
      <c r="J100" s="11">
        <f>[1]ALL!I138</f>
        <v>53.765999999999998</v>
      </c>
      <c r="K100" s="11">
        <f>[1]ALL!J138</f>
        <v>60.601999999999997</v>
      </c>
      <c r="L100" s="11">
        <f>[1]ALL!K138</f>
        <v>62.368899999999996</v>
      </c>
      <c r="M100" s="11">
        <f>[1]ALL!L138</f>
        <v>102.09699999999999</v>
      </c>
      <c r="N100" s="11">
        <f>[1]ALL!M138</f>
        <v>67.354699999999994</v>
      </c>
      <c r="O100" s="11">
        <f>[1]ALL!N138</f>
        <v>83.266800000000003</v>
      </c>
      <c r="P100" s="11">
        <f>[1]ALL!O138</f>
        <v>0</v>
      </c>
      <c r="Q100" s="11">
        <f>[1]ALL!P138</f>
        <v>0</v>
      </c>
      <c r="R100" s="11">
        <f>[1]ALL!Q138</f>
        <v>0</v>
      </c>
      <c r="S100" s="11">
        <f>[1]ALL!R96</f>
        <v>0</v>
      </c>
      <c r="T100" s="9"/>
      <c r="U100" s="9"/>
      <c r="V100" s="10"/>
    </row>
    <row r="101" spans="1:22">
      <c r="A101" s="2">
        <v>239</v>
      </c>
      <c r="B101" s="1" t="str">
        <f>[1]ALL!A240</f>
        <v>4303C</v>
      </c>
      <c r="C101" s="2" t="str">
        <f>[1]ALL!B240</f>
        <v>Crossfire</v>
      </c>
      <c r="D101" s="2" t="str">
        <f>[1]ALL!C240</f>
        <v>Forest Park High School</v>
      </c>
      <c r="E101" s="2" t="str">
        <f>[1]ALL!D240</f>
        <v>Woodbridge, Virginia, United States</v>
      </c>
      <c r="F101" s="8">
        <f>[1]ALL!E240</f>
        <v>246</v>
      </c>
      <c r="G101" s="8">
        <f>[1]ALL!F240</f>
        <v>238</v>
      </c>
      <c r="H101" s="8">
        <f>[1]ALL!G240</f>
        <v>109.54</v>
      </c>
      <c r="I101" s="11">
        <f>[1]ALL!H240</f>
        <v>109.54</v>
      </c>
      <c r="J101" s="11">
        <f>[1]ALL!I240</f>
        <v>85.138199999999998</v>
      </c>
      <c r="K101" s="11">
        <f>[1]ALL!J240</f>
        <v>76.009699999999995</v>
      </c>
      <c r="L101" s="11">
        <f>[1]ALL!K240</f>
        <v>90.132999999999996</v>
      </c>
      <c r="M101" s="11">
        <f>[1]ALL!L240</f>
        <v>61.124600000000001</v>
      </c>
      <c r="N101" s="11">
        <f>[1]ALL!M240</f>
        <v>60.920699999999997</v>
      </c>
      <c r="O101" s="11">
        <f>[1]ALL!N240</f>
        <v>0</v>
      </c>
      <c r="P101" s="11">
        <f>[1]ALL!O240</f>
        <v>0</v>
      </c>
      <c r="Q101" s="11">
        <f>[1]ALL!P240</f>
        <v>0</v>
      </c>
      <c r="R101" s="11">
        <f>[1]ALL!Q240</f>
        <v>0</v>
      </c>
      <c r="S101" s="11">
        <f>[1]ALL!R97</f>
        <v>0</v>
      </c>
      <c r="T101" s="9"/>
      <c r="U101" s="9"/>
      <c r="V101" s="10"/>
    </row>
    <row r="102" spans="1:22">
      <c r="A102" s="2">
        <v>81</v>
      </c>
      <c r="B102" s="1" t="str">
        <f>[1]ALL!A82</f>
        <v>750C</v>
      </c>
      <c r="C102" s="2" t="str">
        <f>[1]ALL!B82</f>
        <v>4Chainz</v>
      </c>
      <c r="D102" s="2" t="str">
        <f>[1]ALL!C82</f>
        <v>South Brunswick High School</v>
      </c>
      <c r="E102" s="2" t="str">
        <f>[1]ALL!D82</f>
        <v>Monmouth Junction, New Jersey, United States</v>
      </c>
      <c r="F102" s="8">
        <f>[1]ALL!E82</f>
        <v>255</v>
      </c>
      <c r="G102" s="8">
        <f>[1]ALL!F82</f>
        <v>236</v>
      </c>
      <c r="H102" s="8">
        <f>[1]ALL!G82</f>
        <v>142.685</v>
      </c>
      <c r="I102" s="11">
        <f>[1]ALL!H82</f>
        <v>92.327399999999997</v>
      </c>
      <c r="J102" s="11">
        <f>[1]ALL!I82</f>
        <v>142.685</v>
      </c>
      <c r="K102" s="11">
        <f>[1]ALL!J82</f>
        <v>108.23699999999999</v>
      </c>
      <c r="L102" s="11">
        <f>[1]ALL!K82</f>
        <v>128.423</v>
      </c>
      <c r="M102" s="11">
        <f>[1]ALL!L82</f>
        <v>80.612200000000001</v>
      </c>
      <c r="N102" s="11">
        <f>[1]ALL!M82</f>
        <v>67.147499999999994</v>
      </c>
      <c r="O102" s="11">
        <f>[1]ALL!N82</f>
        <v>14.663</v>
      </c>
      <c r="P102" s="11">
        <f>[1]ALL!O82</f>
        <v>0</v>
      </c>
      <c r="Q102" s="11">
        <f>[1]ALL!P82</f>
        <v>0</v>
      </c>
      <c r="R102" s="11">
        <f>[1]ALL!Q82</f>
        <v>0</v>
      </c>
      <c r="S102" s="11">
        <f>[1]ALL!R98</f>
        <v>0</v>
      </c>
      <c r="T102" s="9"/>
      <c r="U102" s="9"/>
      <c r="V102" s="10"/>
    </row>
    <row r="103" spans="1:22">
      <c r="A103" s="2">
        <v>140</v>
      </c>
      <c r="B103" s="1" t="str">
        <f>[1]ALL!A141</f>
        <v>1526B</v>
      </c>
      <c r="C103" s="2" t="str">
        <f>[1]ALL!B141</f>
        <v>DuPage-Kane STEM-VEX Robo</v>
      </c>
      <c r="D103" s="2" t="str">
        <f>[1]ALL!C141</f>
        <v>Bartlett High School</v>
      </c>
      <c r="E103" s="2" t="str">
        <f>[1]ALL!D141</f>
        <v>Bartlett, Illinois, United States</v>
      </c>
      <c r="F103" s="8">
        <f>[1]ALL!E141</f>
        <v>316</v>
      </c>
      <c r="G103" s="8">
        <f>[1]ALL!F141</f>
        <v>231</v>
      </c>
      <c r="H103" s="8">
        <f>[1]ALL!G141</f>
        <v>113.633</v>
      </c>
      <c r="I103" s="11">
        <f>[1]ALL!H141</f>
        <v>113.633</v>
      </c>
      <c r="J103" s="11">
        <f>[1]ALL!I141</f>
        <v>66.328900000000004</v>
      </c>
      <c r="K103" s="11">
        <f>[1]ALL!J141</f>
        <v>22.671099999999999</v>
      </c>
      <c r="L103" s="11">
        <f>[1]ALL!K141</f>
        <v>0</v>
      </c>
      <c r="M103" s="11">
        <f>[1]ALL!L141</f>
        <v>0</v>
      </c>
      <c r="N103" s="11">
        <f>[1]ALL!M141</f>
        <v>0</v>
      </c>
      <c r="O103" s="11">
        <f>[1]ALL!N141</f>
        <v>0</v>
      </c>
      <c r="P103" s="11">
        <f>[1]ALL!O141</f>
        <v>0</v>
      </c>
      <c r="Q103" s="11">
        <f>[1]ALL!P141</f>
        <v>0</v>
      </c>
      <c r="R103" s="11">
        <f>[1]ALL!Q141</f>
        <v>0</v>
      </c>
      <c r="S103" s="11">
        <f>[1]ALL!R99</f>
        <v>0</v>
      </c>
      <c r="T103" s="9"/>
      <c r="U103" s="9"/>
      <c r="V103" s="10"/>
    </row>
    <row r="104" spans="1:22">
      <c r="A104" s="2">
        <v>365</v>
      </c>
      <c r="B104" s="1" t="str">
        <f>[1]ALL!A366</f>
        <v>7232J</v>
      </c>
      <c r="C104" s="2" t="str">
        <f>[1]ALL!B366</f>
        <v>Cyber Pirates</v>
      </c>
      <c r="D104" s="2" t="str">
        <f>[1]ALL!C366</f>
        <v>Belton High School</v>
      </c>
      <c r="E104" s="2" t="str">
        <f>[1]ALL!D366</f>
        <v>Belton, Missouri, United States</v>
      </c>
      <c r="F104" s="8">
        <f>[1]ALL!E366</f>
        <v>304</v>
      </c>
      <c r="G104" s="8">
        <f>[1]ALL!F366</f>
        <v>231</v>
      </c>
      <c r="H104" s="8">
        <f>[1]ALL!G366</f>
        <v>119.48399999999999</v>
      </c>
      <c r="I104" s="11">
        <f>[1]ALL!H366</f>
        <v>119.48399999999999</v>
      </c>
      <c r="J104" s="11">
        <f>[1]ALL!I366</f>
        <v>108.81100000000001</v>
      </c>
      <c r="K104" s="11">
        <f>[1]ALL!J366</f>
        <v>96.7102</v>
      </c>
      <c r="L104" s="11">
        <f>[1]ALL!K366</f>
        <v>111.992</v>
      </c>
      <c r="M104" s="11">
        <f>[1]ALL!L366</f>
        <v>80.602800000000002</v>
      </c>
      <c r="N104" s="11">
        <f>[1]ALL!M366</f>
        <v>42.9099</v>
      </c>
      <c r="O104" s="11">
        <f>[1]ALL!N366</f>
        <v>43.7333</v>
      </c>
      <c r="P104" s="11">
        <f>[1]ALL!O366</f>
        <v>39.051299999999998</v>
      </c>
      <c r="Q104" s="11">
        <f>[1]ALL!P366</f>
        <v>0</v>
      </c>
      <c r="R104" s="11">
        <f>[1]ALL!Q366</f>
        <v>0</v>
      </c>
      <c r="S104" s="11">
        <f>[1]ALL!R100</f>
        <v>7.3877100000000002</v>
      </c>
      <c r="T104" s="9"/>
      <c r="U104" s="9"/>
      <c r="V104" s="10"/>
    </row>
    <row r="105" spans="1:22">
      <c r="A105" s="2">
        <v>465</v>
      </c>
      <c r="B105" s="1" t="str">
        <f>[1]ALL!A466</f>
        <v>9541</v>
      </c>
      <c r="C105" s="2" t="str">
        <f>[1]ALL!B466</f>
        <v>C.H.E.S.S. Knights</v>
      </c>
      <c r="D105" s="2" t="str">
        <f>[1]ALL!C466</f>
        <v>Christian Home Educators of Sulphur Springs</v>
      </c>
      <c r="E105" s="2" t="str">
        <f>[1]ALL!D466</f>
        <v>Como, Texas, United States</v>
      </c>
      <c r="F105" s="8">
        <f>[1]ALL!E466</f>
        <v>215</v>
      </c>
      <c r="G105" s="8">
        <f>[1]ALL!F466</f>
        <v>231</v>
      </c>
      <c r="H105" s="8">
        <f>[1]ALL!G466</f>
        <v>121.13</v>
      </c>
      <c r="I105" s="11">
        <f>[1]ALL!H466</f>
        <v>55.247199999999999</v>
      </c>
      <c r="J105" s="11">
        <f>[1]ALL!I466</f>
        <v>87.430999999999997</v>
      </c>
      <c r="K105" s="11">
        <f>[1]ALL!J466</f>
        <v>92.304100000000005</v>
      </c>
      <c r="L105" s="11">
        <f>[1]ALL!K466</f>
        <v>121.13</v>
      </c>
      <c r="M105" s="11">
        <f>[1]ALL!L466</f>
        <v>110.43899999999999</v>
      </c>
      <c r="N105" s="11">
        <f>[1]ALL!M466</f>
        <v>0</v>
      </c>
      <c r="O105" s="11">
        <f>[1]ALL!N466</f>
        <v>0</v>
      </c>
      <c r="P105" s="11">
        <f>[1]ALL!O466</f>
        <v>0</v>
      </c>
      <c r="Q105" s="11">
        <f>[1]ALL!P466</f>
        <v>0</v>
      </c>
      <c r="R105" s="11">
        <f>[1]ALL!Q466</f>
        <v>0</v>
      </c>
      <c r="S105" s="11">
        <f>[1]ALL!R101</f>
        <v>0</v>
      </c>
      <c r="T105" s="9"/>
      <c r="U105" s="9"/>
      <c r="V105" s="10"/>
    </row>
    <row r="106" spans="1:22">
      <c r="A106" s="2">
        <v>227</v>
      </c>
      <c r="B106" s="1" t="str">
        <f>[1]ALL!A228</f>
        <v>4029A</v>
      </c>
      <c r="C106" s="2" t="str">
        <f>[1]ALL!B228</f>
        <v>Excalibots</v>
      </c>
      <c r="D106" s="2" t="str">
        <f>[1]ALL!C228</f>
        <v xml:space="preserve">Leesburg Robotics Alliance </v>
      </c>
      <c r="E106" s="2" t="str">
        <f>[1]ALL!D228</f>
        <v>Leesburg, Florida, United States</v>
      </c>
      <c r="F106" s="8">
        <f>[1]ALL!E228</f>
        <v>167</v>
      </c>
      <c r="G106" s="8">
        <f>[1]ALL!F228</f>
        <v>231</v>
      </c>
      <c r="H106" s="8">
        <f>[1]ALL!G228</f>
        <v>119.961</v>
      </c>
      <c r="I106" s="11">
        <f>[1]ALL!H228</f>
        <v>119.961</v>
      </c>
      <c r="J106" s="11">
        <f>[1]ALL!I228</f>
        <v>80.898799999999994</v>
      </c>
      <c r="K106" s="11">
        <f>[1]ALL!J228</f>
        <v>96.556899999999999</v>
      </c>
      <c r="L106" s="11">
        <f>[1]ALL!K228</f>
        <v>14.337300000000001</v>
      </c>
      <c r="M106" s="11">
        <f>[1]ALL!L228</f>
        <v>0</v>
      </c>
      <c r="N106" s="11">
        <f>[1]ALL!M228</f>
        <v>0</v>
      </c>
      <c r="O106" s="11">
        <f>[1]ALL!N228</f>
        <v>0</v>
      </c>
      <c r="P106" s="11">
        <f>[1]ALL!O228</f>
        <v>0</v>
      </c>
      <c r="Q106" s="11">
        <f>[1]ALL!P228</f>
        <v>0</v>
      </c>
      <c r="R106" s="11">
        <f>[1]ALL!Q228</f>
        <v>0</v>
      </c>
      <c r="S106" s="11">
        <f>[1]ALL!R102</f>
        <v>0</v>
      </c>
      <c r="T106" s="9"/>
      <c r="U106" s="9"/>
      <c r="V106" s="10"/>
    </row>
    <row r="107" spans="1:22">
      <c r="A107" s="2">
        <v>406</v>
      </c>
      <c r="B107" s="1" t="str">
        <f>[1]ALL!A407</f>
        <v>8086A</v>
      </c>
      <c r="C107" s="2" t="str">
        <f>[1]ALL!B407</f>
        <v>Semiconductors</v>
      </c>
      <c r="D107" s="2" t="str">
        <f>[1]ALL!C407</f>
        <v>Team Semiconductors</v>
      </c>
      <c r="E107" s="2" t="str">
        <f>[1]ALL!D407</f>
        <v>Glen Allen, Virginia, United States</v>
      </c>
      <c r="F107" s="8">
        <f>[1]ALL!E407</f>
        <v>223</v>
      </c>
      <c r="G107" s="8">
        <f>[1]ALL!F407</f>
        <v>230</v>
      </c>
      <c r="H107" s="8">
        <f>[1]ALL!G407</f>
        <v>119.036</v>
      </c>
      <c r="I107" s="11">
        <f>[1]ALL!H407</f>
        <v>94.817999999999998</v>
      </c>
      <c r="J107" s="11">
        <f>[1]ALL!I407</f>
        <v>119.036</v>
      </c>
      <c r="K107" s="11">
        <f>[1]ALL!J407</f>
        <v>37.289400000000001</v>
      </c>
      <c r="L107" s="11">
        <f>[1]ALL!K407</f>
        <v>57.082000000000001</v>
      </c>
      <c r="M107" s="11">
        <f>[1]ALL!L407</f>
        <v>60.566899999999997</v>
      </c>
      <c r="N107" s="11">
        <f>[1]ALL!M407</f>
        <v>0</v>
      </c>
      <c r="O107" s="11">
        <f>[1]ALL!N407</f>
        <v>0</v>
      </c>
      <c r="P107" s="11">
        <f>[1]ALL!O407</f>
        <v>0</v>
      </c>
      <c r="Q107" s="11">
        <f>[1]ALL!P407</f>
        <v>0</v>
      </c>
      <c r="R107" s="11">
        <f>[1]ALL!Q407</f>
        <v>0</v>
      </c>
      <c r="S107" s="11">
        <f>[1]ALL!R103</f>
        <v>0</v>
      </c>
      <c r="T107" s="9"/>
      <c r="U107" s="9"/>
      <c r="V107" s="10"/>
    </row>
    <row r="108" spans="1:22">
      <c r="A108" s="2">
        <v>43</v>
      </c>
      <c r="B108" s="1" t="str">
        <f>[1]ALL!A44</f>
        <v>241N</v>
      </c>
      <c r="C108" s="2" t="str">
        <f>[1]ALL!B44</f>
        <v>241N Nautilus</v>
      </c>
      <c r="D108" s="2" t="str">
        <f>[1]ALL!C44</f>
        <v>Pinkerton Academy</v>
      </c>
      <c r="E108" s="2" t="str">
        <f>[1]ALL!D44</f>
        <v>Derry, New Hampshire, United States</v>
      </c>
      <c r="F108" s="8">
        <f>[1]ALL!E44</f>
        <v>267</v>
      </c>
      <c r="G108" s="8">
        <f>[1]ALL!F44</f>
        <v>229</v>
      </c>
      <c r="H108" s="8">
        <f>[1]ALL!G44</f>
        <v>89.062100000000001</v>
      </c>
      <c r="I108" s="11">
        <f>[1]ALL!H44</f>
        <v>66.001300000000001</v>
      </c>
      <c r="J108" s="11">
        <f>[1]ALL!I44</f>
        <v>37.150300000000001</v>
      </c>
      <c r="K108" s="11">
        <f>[1]ALL!J44</f>
        <v>48.124699999999997</v>
      </c>
      <c r="L108" s="11">
        <f>[1]ALL!K44</f>
        <v>82.692499999999995</v>
      </c>
      <c r="M108" s="11">
        <f>[1]ALL!L44</f>
        <v>89.062100000000001</v>
      </c>
      <c r="N108" s="11">
        <f>[1]ALL!M44</f>
        <v>0</v>
      </c>
      <c r="O108" s="11">
        <f>[1]ALL!N44</f>
        <v>0</v>
      </c>
      <c r="P108" s="11">
        <f>[1]ALL!O44</f>
        <v>0</v>
      </c>
      <c r="Q108" s="11">
        <f>[1]ALL!P44</f>
        <v>0</v>
      </c>
      <c r="R108" s="11">
        <f>[1]ALL!Q44</f>
        <v>0</v>
      </c>
      <c r="S108" s="11">
        <f>[1]ALL!R104</f>
        <v>0</v>
      </c>
      <c r="T108" s="9"/>
      <c r="U108" s="9"/>
      <c r="V108" s="10"/>
    </row>
    <row r="109" spans="1:22">
      <c r="A109" s="56">
        <v>440</v>
      </c>
      <c r="B109" s="57" t="str">
        <f>[1]ALL!A441</f>
        <v>8900</v>
      </c>
      <c r="C109" s="56" t="str">
        <f>[1]ALL!B441</f>
        <v>Parallax</v>
      </c>
      <c r="D109" s="56" t="str">
        <f>[1]ALL!C441</f>
        <v>Phillips Academy Andover</v>
      </c>
      <c r="E109" s="56" t="str">
        <f>[1]ALL!D441</f>
        <v>Andover, Massachusetts, United States</v>
      </c>
      <c r="F109" s="58">
        <f>[1]ALL!E441</f>
        <v>287</v>
      </c>
      <c r="G109" s="58">
        <f>[1]ALL!F441</f>
        <v>228</v>
      </c>
      <c r="H109" s="58">
        <f>[1]ALL!G441</f>
        <v>119.614</v>
      </c>
      <c r="I109" s="59">
        <f>[1]ALL!H441</f>
        <v>70.974699999999999</v>
      </c>
      <c r="J109" s="59">
        <f>[1]ALL!I441</f>
        <v>100.672</v>
      </c>
      <c r="K109" s="59">
        <f>[1]ALL!J441</f>
        <v>119.614</v>
      </c>
      <c r="L109" s="59">
        <f>[1]ALL!K441</f>
        <v>85.615300000000005</v>
      </c>
      <c r="M109" s="59">
        <f>[1]ALL!L441</f>
        <v>24.953299999999999</v>
      </c>
      <c r="N109" s="59">
        <f>[1]ALL!M441</f>
        <v>0</v>
      </c>
      <c r="O109" s="59">
        <f>[1]ALL!N441</f>
        <v>0</v>
      </c>
      <c r="P109" s="59">
        <f>[1]ALL!O441</f>
        <v>0</v>
      </c>
      <c r="Q109" s="59">
        <f>[1]ALL!P441</f>
        <v>0</v>
      </c>
      <c r="R109" s="59">
        <f>[1]ALL!Q441</f>
        <v>0</v>
      </c>
      <c r="S109" s="11">
        <f>[1]ALL!R105</f>
        <v>0</v>
      </c>
      <c r="T109" s="9"/>
      <c r="U109" s="9"/>
      <c r="V109" s="10"/>
    </row>
    <row r="110" spans="1:22">
      <c r="A110" s="2">
        <v>402</v>
      </c>
      <c r="B110" s="1" t="str">
        <f>[1]ALL!A403</f>
        <v>8044</v>
      </c>
      <c r="C110" s="2" t="str">
        <f>[1]ALL!B403</f>
        <v>Gear Geeks</v>
      </c>
      <c r="D110" s="2" t="str">
        <f>[1]ALL!C403</f>
        <v>Mountain Farm Robotics</v>
      </c>
      <c r="E110" s="2" t="str">
        <f>[1]ALL!D403</f>
        <v>Broad Run, Virginia, United States</v>
      </c>
      <c r="F110" s="8">
        <f>[1]ALL!E403</f>
        <v>256</v>
      </c>
      <c r="G110" s="8">
        <f>[1]ALL!F403</f>
        <v>227</v>
      </c>
      <c r="H110" s="8">
        <f>[1]ALL!G403</f>
        <v>126.711</v>
      </c>
      <c r="I110" s="11">
        <f>[1]ALL!H403</f>
        <v>82.661299999999997</v>
      </c>
      <c r="J110" s="11">
        <f>[1]ALL!I403</f>
        <v>83.185400000000001</v>
      </c>
      <c r="K110" s="11">
        <f>[1]ALL!J403</f>
        <v>118.23699999999999</v>
      </c>
      <c r="L110" s="11">
        <f>[1]ALL!K403</f>
        <v>71.727400000000003</v>
      </c>
      <c r="M110" s="11">
        <f>[1]ALL!L403</f>
        <v>126.711</v>
      </c>
      <c r="N110" s="11">
        <f>[1]ALL!M403</f>
        <v>13.5869</v>
      </c>
      <c r="O110" s="11">
        <f>[1]ALL!N403</f>
        <v>0</v>
      </c>
      <c r="P110" s="11">
        <f>[1]ALL!O403</f>
        <v>0</v>
      </c>
      <c r="Q110" s="11">
        <f>[1]ALL!P403</f>
        <v>0</v>
      </c>
      <c r="R110" s="11">
        <f>[1]ALL!Q403</f>
        <v>0</v>
      </c>
      <c r="S110" s="11">
        <f>[1]ALL!R106</f>
        <v>0</v>
      </c>
      <c r="T110" s="9"/>
      <c r="U110" s="9"/>
      <c r="V110" s="10"/>
    </row>
    <row r="111" spans="1:22">
      <c r="A111" s="2">
        <v>336</v>
      </c>
      <c r="B111" s="1" t="str">
        <f>[1]ALL!A337</f>
        <v>6430B</v>
      </c>
      <c r="C111" s="2" t="str">
        <f>[1]ALL!B337</f>
        <v>Trinity Dragons</v>
      </c>
      <c r="D111" s="2" t="str">
        <f>[1]ALL!C337</f>
        <v>Trinity Robotics Club</v>
      </c>
      <c r="E111" s="2" t="str">
        <f>[1]ALL!D337</f>
        <v>Lutz, Florida, United States</v>
      </c>
      <c r="F111" s="8">
        <f>[1]ALL!E337</f>
        <v>277</v>
      </c>
      <c r="G111" s="8">
        <f>[1]ALL!F337</f>
        <v>226</v>
      </c>
      <c r="H111" s="8">
        <f>[1]ALL!G337</f>
        <v>178.19300000000001</v>
      </c>
      <c r="I111" s="11">
        <f>[1]ALL!H337</f>
        <v>133.75800000000001</v>
      </c>
      <c r="J111" s="11">
        <f>[1]ALL!I337</f>
        <v>152.06399999999999</v>
      </c>
      <c r="K111" s="11">
        <f>[1]ALL!J337</f>
        <v>101.04300000000001</v>
      </c>
      <c r="L111" s="11">
        <f>[1]ALL!K337</f>
        <v>178.19300000000001</v>
      </c>
      <c r="M111" s="11">
        <f>[1]ALL!L337</f>
        <v>77.030799999999999</v>
      </c>
      <c r="N111" s="11">
        <f>[1]ALL!M337</f>
        <v>99.325900000000004</v>
      </c>
      <c r="O111" s="11">
        <f>[1]ALL!N337</f>
        <v>0</v>
      </c>
      <c r="P111" s="11">
        <f>[1]ALL!O337</f>
        <v>0</v>
      </c>
      <c r="Q111" s="11">
        <f>[1]ALL!P337</f>
        <v>0</v>
      </c>
      <c r="R111" s="11">
        <f>[1]ALL!Q337</f>
        <v>0</v>
      </c>
      <c r="S111" s="11">
        <f>[1]ALL!R107</f>
        <v>0</v>
      </c>
      <c r="T111" s="9"/>
      <c r="U111" s="9"/>
      <c r="V111" s="10"/>
    </row>
    <row r="112" spans="1:22">
      <c r="A112" s="2">
        <v>6</v>
      </c>
      <c r="B112" s="1" t="str">
        <f>[1]ALL!A7</f>
        <v>10Z</v>
      </c>
      <c r="C112" s="2" t="str">
        <f>[1]ALL!B7</f>
        <v>Exothermic Zen</v>
      </c>
      <c r="D112" s="2" t="str">
        <f>[1]ALL!C7</f>
        <v>Exothermic Robotics</v>
      </c>
      <c r="E112" s="2" t="str">
        <f>[1]ALL!D7</f>
        <v>Redmond, Washington, United States</v>
      </c>
      <c r="F112" s="8">
        <f>[1]ALL!E7</f>
        <v>161</v>
      </c>
      <c r="G112" s="8">
        <f>[1]ALL!F7</f>
        <v>225</v>
      </c>
      <c r="H112" s="8">
        <f>[1]ALL!G7</f>
        <v>83.911199999999994</v>
      </c>
      <c r="I112" s="11">
        <f>[1]ALL!H7</f>
        <v>83.911199999999994</v>
      </c>
      <c r="J112" s="11">
        <f>[1]ALL!I7</f>
        <v>67.572000000000003</v>
      </c>
      <c r="K112" s="11">
        <f>[1]ALL!J7</f>
        <v>80.308899999999994</v>
      </c>
      <c r="L112" s="11">
        <f>[1]ALL!K7</f>
        <v>2.7913000000000001</v>
      </c>
      <c r="M112" s="11">
        <f>[1]ALL!L7</f>
        <v>62.307600000000001</v>
      </c>
      <c r="N112" s="11">
        <f>[1]ALL!M7</f>
        <v>31.303699999999999</v>
      </c>
      <c r="O112" s="11">
        <f>[1]ALL!N7</f>
        <v>0</v>
      </c>
      <c r="P112" s="11">
        <f>[1]ALL!O7</f>
        <v>0</v>
      </c>
      <c r="Q112" s="11">
        <f>[1]ALL!P7</f>
        <v>0</v>
      </c>
      <c r="R112" s="11">
        <f>[1]ALL!Q7</f>
        <v>0</v>
      </c>
      <c r="S112" s="11">
        <f>[1]ALL!R108</f>
        <v>0</v>
      </c>
      <c r="T112" s="9"/>
      <c r="U112" s="9"/>
      <c r="V112" s="10"/>
    </row>
    <row r="113" spans="1:22">
      <c r="A113" s="2">
        <v>234</v>
      </c>
      <c r="B113" s="1" t="str">
        <f>[1]ALL!A235</f>
        <v>4149C</v>
      </c>
      <c r="C113" s="2" t="str">
        <f>[1]ALL!B235</f>
        <v>Iron Chargers (C Team)</v>
      </c>
      <c r="D113" s="2" t="str">
        <f>[1]ALL!C235</f>
        <v>Grygla Public School Robotics</v>
      </c>
      <c r="E113" s="2" t="str">
        <f>[1]ALL!D235</f>
        <v>Grygla, Minnesota, United States</v>
      </c>
      <c r="F113" s="8">
        <f>[1]ALL!E235</f>
        <v>248</v>
      </c>
      <c r="G113" s="8">
        <f>[1]ALL!F235</f>
        <v>223</v>
      </c>
      <c r="H113" s="8">
        <f>[1]ALL!G235</f>
        <v>123.238</v>
      </c>
      <c r="I113" s="11">
        <f>[1]ALL!H235</f>
        <v>115.146</v>
      </c>
      <c r="J113" s="11">
        <f>[1]ALL!I235</f>
        <v>105.25700000000001</v>
      </c>
      <c r="K113" s="11">
        <f>[1]ALL!J235</f>
        <v>123.238</v>
      </c>
      <c r="L113" s="11">
        <f>[1]ALL!K235</f>
        <v>85.581000000000003</v>
      </c>
      <c r="M113" s="11">
        <f>[1]ALL!L235</f>
        <v>0</v>
      </c>
      <c r="N113" s="11">
        <f>[1]ALL!M235</f>
        <v>0</v>
      </c>
      <c r="O113" s="11">
        <f>[1]ALL!N235</f>
        <v>0</v>
      </c>
      <c r="P113" s="11">
        <f>[1]ALL!O235</f>
        <v>0</v>
      </c>
      <c r="Q113" s="11">
        <f>[1]ALL!P235</f>
        <v>0</v>
      </c>
      <c r="R113" s="11">
        <f>[1]ALL!Q235</f>
        <v>0</v>
      </c>
      <c r="S113" s="11">
        <f>[1]ALL!R109</f>
        <v>0</v>
      </c>
      <c r="T113" s="9"/>
      <c r="U113" s="9"/>
      <c r="V113" s="10"/>
    </row>
    <row r="114" spans="1:22">
      <c r="A114" s="2">
        <v>135</v>
      </c>
      <c r="B114" s="1" t="str">
        <f>[1]ALL!A136</f>
        <v>1460J</v>
      </c>
      <c r="C114" s="2" t="str">
        <f>[1]ALL!B136</f>
        <v>Zeus</v>
      </c>
      <c r="D114" s="2" t="str">
        <f>[1]ALL!C136</f>
        <v>Sandy Robotics Club</v>
      </c>
      <c r="E114" s="2" t="str">
        <f>[1]ALL!D136</f>
        <v>Sandy, Oregon, United States</v>
      </c>
      <c r="F114" s="8">
        <f>[1]ALL!E136</f>
        <v>131</v>
      </c>
      <c r="G114" s="8">
        <f>[1]ALL!F136</f>
        <v>223</v>
      </c>
      <c r="H114" s="8">
        <f>[1]ALL!G136</f>
        <v>34.622</v>
      </c>
      <c r="I114" s="11">
        <f>[1]ALL!H136</f>
        <v>17.127800000000001</v>
      </c>
      <c r="J114" s="11">
        <f>[1]ALL!I136</f>
        <v>29.273800000000001</v>
      </c>
      <c r="K114" s="11">
        <f>[1]ALL!J136</f>
        <v>34.622</v>
      </c>
      <c r="L114" s="11">
        <f>[1]ALL!K136</f>
        <v>29.892800000000001</v>
      </c>
      <c r="M114" s="11">
        <f>[1]ALL!L136</f>
        <v>19.0318</v>
      </c>
      <c r="N114" s="11">
        <f>[1]ALL!M136</f>
        <v>0</v>
      </c>
      <c r="O114" s="11">
        <f>[1]ALL!N136</f>
        <v>0</v>
      </c>
      <c r="P114" s="11">
        <f>[1]ALL!O136</f>
        <v>0</v>
      </c>
      <c r="Q114" s="11">
        <f>[1]ALL!P136</f>
        <v>0</v>
      </c>
      <c r="R114" s="11">
        <f>[1]ALL!Q136</f>
        <v>0</v>
      </c>
      <c r="S114" s="11">
        <f>[1]ALL!R110</f>
        <v>0</v>
      </c>
      <c r="T114" s="9"/>
      <c r="U114" s="9"/>
      <c r="V114" s="10"/>
    </row>
    <row r="115" spans="1:22">
      <c r="A115" s="2">
        <v>471</v>
      </c>
      <c r="B115" s="1" t="str">
        <f>[1]ALL!A472</f>
        <v>9727A</v>
      </c>
      <c r="C115" s="2" t="str">
        <f>[1]ALL!B472</f>
        <v>OSOS 110</v>
      </c>
      <c r="D115" s="2" t="str">
        <f>[1]ALL!C472</f>
        <v>CBTIS 110</v>
      </c>
      <c r="E115" s="2" t="str">
        <f>[1]ALL!D472</f>
        <v>Durango, Durango, Mexico</v>
      </c>
      <c r="F115" s="8">
        <f>[1]ALL!E472</f>
        <v>270</v>
      </c>
      <c r="G115" s="8">
        <f>[1]ALL!F472</f>
        <v>220</v>
      </c>
      <c r="H115" s="8">
        <f>[1]ALL!G472</f>
        <v>143.84800000000001</v>
      </c>
      <c r="I115" s="11">
        <f>[1]ALL!H472</f>
        <v>143.84800000000001</v>
      </c>
      <c r="J115" s="11">
        <f>[1]ALL!I472</f>
        <v>115.693</v>
      </c>
      <c r="K115" s="11">
        <f>[1]ALL!J472</f>
        <v>136.88999999999999</v>
      </c>
      <c r="L115" s="11">
        <f>[1]ALL!K472</f>
        <v>42.951500000000003</v>
      </c>
      <c r="M115" s="11">
        <f>[1]ALL!L472</f>
        <v>77.642099999999999</v>
      </c>
      <c r="N115" s="11">
        <f>[1]ALL!M472</f>
        <v>49.655299999999997</v>
      </c>
      <c r="O115" s="11">
        <f>[1]ALL!N472</f>
        <v>0</v>
      </c>
      <c r="P115" s="11">
        <f>[1]ALL!O472</f>
        <v>0</v>
      </c>
      <c r="Q115" s="11">
        <f>[1]ALL!P472</f>
        <v>0</v>
      </c>
      <c r="R115" s="11">
        <f>[1]ALL!Q472</f>
        <v>0</v>
      </c>
      <c r="S115" s="11">
        <f>[1]ALL!R111</f>
        <v>0</v>
      </c>
      <c r="T115" s="9"/>
      <c r="U115" s="9"/>
      <c r="V115" s="10"/>
    </row>
    <row r="116" spans="1:22">
      <c r="A116" s="2">
        <v>34</v>
      </c>
      <c r="B116" s="1" t="str">
        <f>[1]ALL!A35</f>
        <v>183Z</v>
      </c>
      <c r="C116" s="2" t="str">
        <f>[1]ALL!B35</f>
        <v>Synobotz</v>
      </c>
      <c r="D116" s="2" t="str">
        <f>[1]ALL!C35</f>
        <v>Team Synobotz</v>
      </c>
      <c r="E116" s="2" t="str">
        <f>[1]ALL!D35</f>
        <v>Westminster, Maryland, United States</v>
      </c>
      <c r="F116" s="8">
        <f>[1]ALL!E35</f>
        <v>151</v>
      </c>
      <c r="G116" s="8">
        <f>[1]ALL!F35</f>
        <v>218</v>
      </c>
      <c r="H116" s="8">
        <f>[1]ALL!G35</f>
        <v>86.099500000000006</v>
      </c>
      <c r="I116" s="11">
        <f>[1]ALL!H35</f>
        <v>70.310100000000006</v>
      </c>
      <c r="J116" s="11">
        <f>[1]ALL!I35</f>
        <v>48.178800000000003</v>
      </c>
      <c r="K116" s="11">
        <f>[1]ALL!J35</f>
        <v>86.099500000000006</v>
      </c>
      <c r="L116" s="11">
        <f>[1]ALL!K35</f>
        <v>60.555</v>
      </c>
      <c r="M116" s="11">
        <f>[1]ALL!L35</f>
        <v>0</v>
      </c>
      <c r="N116" s="11">
        <f>[1]ALL!M35</f>
        <v>0</v>
      </c>
      <c r="O116" s="11">
        <f>[1]ALL!N35</f>
        <v>0</v>
      </c>
      <c r="P116" s="11">
        <f>[1]ALL!O35</f>
        <v>0</v>
      </c>
      <c r="Q116" s="11">
        <f>[1]ALL!P35</f>
        <v>0</v>
      </c>
      <c r="R116" s="11">
        <f>[1]ALL!Q35</f>
        <v>0</v>
      </c>
      <c r="S116" s="11">
        <f>[1]ALL!R112</f>
        <v>0</v>
      </c>
      <c r="T116" s="9"/>
      <c r="U116" s="9"/>
      <c r="V116" s="10"/>
    </row>
    <row r="117" spans="1:22">
      <c r="A117" s="2">
        <v>32</v>
      </c>
      <c r="B117" s="1" t="str">
        <f>[1]ALL!A33</f>
        <v>177X</v>
      </c>
      <c r="C117" s="2" t="str">
        <f>[1]ALL!B33</f>
        <v>Twisted Botz</v>
      </c>
      <c r="D117" s="2" t="str">
        <f>[1]ALL!C33</f>
        <v>Hanover Homeschoolers</v>
      </c>
      <c r="E117" s="2" t="str">
        <f>[1]ALL!D33</f>
        <v>Ashland, Virginia, United States</v>
      </c>
      <c r="F117" s="8">
        <f>[1]ALL!E33</f>
        <v>311</v>
      </c>
      <c r="G117" s="8">
        <f>[1]ALL!F33</f>
        <v>217</v>
      </c>
      <c r="H117" s="8">
        <f>[1]ALL!G33</f>
        <v>111.157</v>
      </c>
      <c r="I117" s="11">
        <f>[1]ALL!H33</f>
        <v>111.157</v>
      </c>
      <c r="J117" s="11">
        <f>[1]ALL!I33</f>
        <v>110.562</v>
      </c>
      <c r="K117" s="11">
        <f>[1]ALL!J33</f>
        <v>68.711200000000005</v>
      </c>
      <c r="L117" s="11">
        <f>[1]ALL!K33</f>
        <v>74.629499999999993</v>
      </c>
      <c r="M117" s="11">
        <f>[1]ALL!L33</f>
        <v>93.874499999999998</v>
      </c>
      <c r="N117" s="11">
        <f>[1]ALL!M33</f>
        <v>0</v>
      </c>
      <c r="O117" s="11">
        <f>[1]ALL!N33</f>
        <v>0</v>
      </c>
      <c r="P117" s="11">
        <f>[1]ALL!O33</f>
        <v>0</v>
      </c>
      <c r="Q117" s="11">
        <f>[1]ALL!P33</f>
        <v>0</v>
      </c>
      <c r="R117" s="11">
        <f>[1]ALL!Q33</f>
        <v>0</v>
      </c>
      <c r="S117" s="11">
        <f>[1]ALL!R113</f>
        <v>0</v>
      </c>
      <c r="T117" s="9"/>
      <c r="U117" s="9"/>
      <c r="V117" s="10"/>
    </row>
    <row r="118" spans="1:22">
      <c r="A118" s="2">
        <v>450</v>
      </c>
      <c r="B118" s="1" t="str">
        <f>[1]ALL!A451</f>
        <v>9090C</v>
      </c>
      <c r="C118" s="2" t="str">
        <f>[1]ALL!B451</f>
        <v>T-VEX</v>
      </c>
      <c r="D118" s="2" t="str">
        <f>[1]ALL!C451</f>
        <v>The Mandarin Chinese School</v>
      </c>
      <c r="E118" s="2" t="str">
        <f>[1]ALL!D451</f>
        <v>Arlington, Texas, United States</v>
      </c>
      <c r="F118" s="8">
        <f>[1]ALL!E451</f>
        <v>167</v>
      </c>
      <c r="G118" s="8">
        <f>[1]ALL!F451</f>
        <v>217</v>
      </c>
      <c r="H118" s="8">
        <f>[1]ALL!G451</f>
        <v>132.69200000000001</v>
      </c>
      <c r="I118" s="11">
        <f>[1]ALL!H451</f>
        <v>132.69200000000001</v>
      </c>
      <c r="J118" s="11">
        <f>[1]ALL!I451</f>
        <v>119.03100000000001</v>
      </c>
      <c r="K118" s="11">
        <f>[1]ALL!J451</f>
        <v>69.130499999999998</v>
      </c>
      <c r="L118" s="11">
        <f>[1]ALL!K451</f>
        <v>86.182100000000005</v>
      </c>
      <c r="M118" s="11">
        <f>[1]ALL!L451</f>
        <v>38.386899999999997</v>
      </c>
      <c r="N118" s="11">
        <f>[1]ALL!M451</f>
        <v>62.408700000000003</v>
      </c>
      <c r="O118" s="11">
        <f>[1]ALL!N451</f>
        <v>0</v>
      </c>
      <c r="P118" s="11">
        <f>[1]ALL!O451</f>
        <v>0</v>
      </c>
      <c r="Q118" s="11">
        <f>[1]ALL!P451</f>
        <v>0</v>
      </c>
      <c r="R118" s="11">
        <f>[1]ALL!Q451</f>
        <v>0</v>
      </c>
      <c r="S118" s="11">
        <f>[1]ALL!R114</f>
        <v>0</v>
      </c>
      <c r="T118" s="9"/>
      <c r="U118" s="9"/>
      <c r="V118" s="10"/>
    </row>
    <row r="119" spans="1:22">
      <c r="A119" s="2">
        <v>474</v>
      </c>
      <c r="B119" s="1" t="str">
        <f>[1]ALL!A475</f>
        <v>9898A</v>
      </c>
      <c r="C119" s="2" t="str">
        <f>[1]ALL!B475</f>
        <v>Scorpion Robotics</v>
      </c>
      <c r="D119" s="2" t="str">
        <f>[1]ALL!C475</f>
        <v>Scorpion Engineering Hesperia High School</v>
      </c>
      <c r="E119" s="2" t="str">
        <f>[1]ALL!D475</f>
        <v>Hesperia, California, United States</v>
      </c>
      <c r="F119" s="8">
        <f>[1]ALL!E475</f>
        <v>319</v>
      </c>
      <c r="G119" s="8">
        <f>[1]ALL!F475</f>
        <v>215</v>
      </c>
      <c r="H119" s="8">
        <f>[1]ALL!G475</f>
        <v>136.392</v>
      </c>
      <c r="I119" s="11">
        <f>[1]ALL!H475</f>
        <v>125.434</v>
      </c>
      <c r="J119" s="11">
        <f>[1]ALL!I475</f>
        <v>136.392</v>
      </c>
      <c r="K119" s="11">
        <f>[1]ALL!J475</f>
        <v>97.033100000000005</v>
      </c>
      <c r="L119" s="11">
        <f>[1]ALL!K475</f>
        <v>90.555499999999995</v>
      </c>
      <c r="M119" s="11">
        <f>[1]ALL!L475</f>
        <v>70.032700000000006</v>
      </c>
      <c r="N119" s="11">
        <f>[1]ALL!M475</f>
        <v>0</v>
      </c>
      <c r="O119" s="11">
        <f>[1]ALL!N475</f>
        <v>0</v>
      </c>
      <c r="P119" s="11">
        <f>[1]ALL!O475</f>
        <v>0</v>
      </c>
      <c r="Q119" s="11">
        <f>[1]ALL!P475</f>
        <v>0</v>
      </c>
      <c r="R119" s="11">
        <f>[1]ALL!Q475</f>
        <v>0</v>
      </c>
      <c r="S119" s="11">
        <f>[1]ALL!R115</f>
        <v>0</v>
      </c>
      <c r="T119" s="9"/>
      <c r="U119" s="9"/>
      <c r="V119" s="10"/>
    </row>
    <row r="120" spans="1:22">
      <c r="A120" s="2">
        <v>466</v>
      </c>
      <c r="B120" s="1" t="str">
        <f>[1]ALL!A467</f>
        <v>9594C</v>
      </c>
      <c r="C120" s="2" t="str">
        <f>[1]ALL!B467</f>
        <v>Mechanical Synergy</v>
      </c>
      <c r="D120" s="2" t="str">
        <f>[1]ALL!C467</f>
        <v>Collingwood</v>
      </c>
      <c r="E120" s="2" t="str">
        <f>[1]ALL!D467</f>
        <v>West Vancouver, British Columbia, Canada</v>
      </c>
      <c r="F120" s="8">
        <f>[1]ALL!E467</f>
        <v>283</v>
      </c>
      <c r="G120" s="8">
        <f>[1]ALL!F467</f>
        <v>209</v>
      </c>
      <c r="H120" s="8">
        <f>[1]ALL!G467</f>
        <v>153.70699999999999</v>
      </c>
      <c r="I120" s="11">
        <f>[1]ALL!H467</f>
        <v>59.813600000000001</v>
      </c>
      <c r="J120" s="11">
        <f>[1]ALL!I467</f>
        <v>44.654600000000002</v>
      </c>
      <c r="K120" s="11">
        <f>[1]ALL!J467</f>
        <v>153.70699999999999</v>
      </c>
      <c r="L120" s="11">
        <f>[1]ALL!K467</f>
        <v>134.161</v>
      </c>
      <c r="M120" s="11">
        <f>[1]ALL!L467</f>
        <v>53.292000000000002</v>
      </c>
      <c r="N120" s="11">
        <f>[1]ALL!M467</f>
        <v>75.747500000000002</v>
      </c>
      <c r="O120" s="11">
        <f>[1]ALL!N467</f>
        <v>0</v>
      </c>
      <c r="P120" s="11">
        <f>[1]ALL!O467</f>
        <v>0</v>
      </c>
      <c r="Q120" s="11">
        <f>[1]ALL!P467</f>
        <v>0</v>
      </c>
      <c r="R120" s="11">
        <f>[1]ALL!Q467</f>
        <v>0</v>
      </c>
      <c r="S120" s="11">
        <f>[1]ALL!R116</f>
        <v>0</v>
      </c>
      <c r="T120" s="9"/>
      <c r="U120" s="9"/>
      <c r="V120" s="10"/>
    </row>
    <row r="121" spans="1:22">
      <c r="A121" s="2">
        <v>382</v>
      </c>
      <c r="B121" s="1" t="str">
        <f>[1]ALL!A383</f>
        <v>7700R</v>
      </c>
      <c r="C121" s="2" t="str">
        <f>[1]ALL!B383</f>
        <v>Rolling Robots</v>
      </c>
      <c r="D121" s="2" t="str">
        <f>[1]ALL!C383</f>
        <v>Rolling Robots</v>
      </c>
      <c r="E121" s="2" t="str">
        <f>[1]ALL!D383</f>
        <v>Rolling Hills Estates, California, United States</v>
      </c>
      <c r="F121" s="8">
        <f>[1]ALL!E383</f>
        <v>154</v>
      </c>
      <c r="G121" s="8">
        <f>[1]ALL!F383</f>
        <v>209</v>
      </c>
      <c r="H121" s="8">
        <f>[1]ALL!G383</f>
        <v>100.035</v>
      </c>
      <c r="I121" s="11">
        <f>[1]ALL!H383</f>
        <v>100.035</v>
      </c>
      <c r="J121" s="11">
        <f>[1]ALL!I383</f>
        <v>64.263599999999997</v>
      </c>
      <c r="K121" s="11">
        <f>[1]ALL!J383</f>
        <v>89.839699999999993</v>
      </c>
      <c r="L121" s="11">
        <f>[1]ALL!K383</f>
        <v>60.7712</v>
      </c>
      <c r="M121" s="11">
        <f>[1]ALL!L383</f>
        <v>2.0360900000000002</v>
      </c>
      <c r="N121" s="11">
        <f>[1]ALL!M383</f>
        <v>57.265000000000001</v>
      </c>
      <c r="O121" s="11">
        <f>[1]ALL!N383</f>
        <v>47.5458</v>
      </c>
      <c r="P121" s="11">
        <f>[1]ALL!O383</f>
        <v>21.274799999999999</v>
      </c>
      <c r="Q121" s="11">
        <f>[1]ALL!P383</f>
        <v>0</v>
      </c>
      <c r="R121" s="11">
        <f>[1]ALL!Q383</f>
        <v>0</v>
      </c>
      <c r="S121" s="11">
        <f>[1]ALL!R117</f>
        <v>0</v>
      </c>
      <c r="T121" s="9"/>
      <c r="U121" s="9"/>
      <c r="V121" s="10"/>
    </row>
    <row r="122" spans="1:22">
      <c r="A122" s="2">
        <v>344</v>
      </c>
      <c r="B122" s="1" t="str">
        <f>[1]ALL!A345</f>
        <v>6724</v>
      </c>
      <c r="C122" s="2" t="str">
        <f>[1]ALL!B345</f>
        <v>K2 Robotics</v>
      </c>
      <c r="D122" s="2" t="str">
        <f>[1]ALL!C345</f>
        <v>Chadwick International</v>
      </c>
      <c r="E122" s="2" t="str">
        <f>[1]ALL!D345</f>
        <v>Songdo, N/A, South Korea</v>
      </c>
      <c r="F122" s="8">
        <f>[1]ALL!E345</f>
        <v>272</v>
      </c>
      <c r="G122" s="8">
        <f>[1]ALL!F345</f>
        <v>208</v>
      </c>
      <c r="H122" s="8">
        <f>[1]ALL!G345</f>
        <v>110.9</v>
      </c>
      <c r="I122" s="11">
        <f>[1]ALL!H345</f>
        <v>110.9</v>
      </c>
      <c r="J122" s="11">
        <f>[1]ALL!I345</f>
        <v>61.223399999999998</v>
      </c>
      <c r="K122" s="11">
        <f>[1]ALL!J345</f>
        <v>0</v>
      </c>
      <c r="L122" s="11">
        <f>[1]ALL!K345</f>
        <v>0</v>
      </c>
      <c r="M122" s="11">
        <f>[1]ALL!L345</f>
        <v>0</v>
      </c>
      <c r="N122" s="11">
        <f>[1]ALL!M345</f>
        <v>0</v>
      </c>
      <c r="O122" s="11">
        <f>[1]ALL!N345</f>
        <v>0</v>
      </c>
      <c r="P122" s="11">
        <f>[1]ALL!O345</f>
        <v>0</v>
      </c>
      <c r="Q122" s="11">
        <f>[1]ALL!P345</f>
        <v>0</v>
      </c>
      <c r="R122" s="11">
        <f>[1]ALL!Q345</f>
        <v>0</v>
      </c>
      <c r="S122" s="11">
        <f>[1]ALL!R118</f>
        <v>0</v>
      </c>
      <c r="T122" s="9"/>
      <c r="U122" s="9"/>
      <c r="V122" s="10"/>
    </row>
    <row r="123" spans="1:22">
      <c r="A123" s="2">
        <v>292</v>
      </c>
      <c r="B123" s="1" t="str">
        <f>[1]ALL!A293</f>
        <v>5509A</v>
      </c>
      <c r="C123" s="2" t="str">
        <f>[1]ALL!B293</f>
        <v>VHS Crusaders</v>
      </c>
      <c r="D123" s="2" t="str">
        <f>[1]ALL!C293</f>
        <v>Valley Home Schoolers</v>
      </c>
      <c r="E123" s="2" t="str">
        <f>[1]ALL!D293</f>
        <v>Greenville, Wisconsin, United States</v>
      </c>
      <c r="F123" s="8">
        <f>[1]ALL!E293</f>
        <v>216</v>
      </c>
      <c r="G123" s="8">
        <f>[1]ALL!F293</f>
        <v>206</v>
      </c>
      <c r="H123" s="8">
        <f>[1]ALL!G293</f>
        <v>106.464</v>
      </c>
      <c r="I123" s="11">
        <f>[1]ALL!H293</f>
        <v>106.464</v>
      </c>
      <c r="J123" s="11">
        <f>[1]ALL!I293</f>
        <v>88.784400000000005</v>
      </c>
      <c r="K123" s="11">
        <f>[1]ALL!J293</f>
        <v>85.892300000000006</v>
      </c>
      <c r="L123" s="11">
        <f>[1]ALL!K293</f>
        <v>63.3521</v>
      </c>
      <c r="M123" s="11">
        <f>[1]ALL!L293</f>
        <v>22.5182</v>
      </c>
      <c r="N123" s="11">
        <f>[1]ALL!M293</f>
        <v>74.718800000000002</v>
      </c>
      <c r="O123" s="11">
        <f>[1]ALL!N293</f>
        <v>0</v>
      </c>
      <c r="P123" s="11">
        <f>[1]ALL!O293</f>
        <v>0</v>
      </c>
      <c r="Q123" s="11">
        <f>[1]ALL!P293</f>
        <v>0</v>
      </c>
      <c r="R123" s="11">
        <f>[1]ALL!Q293</f>
        <v>0</v>
      </c>
      <c r="S123" s="11">
        <f>[1]ALL!R119</f>
        <v>2.1463899999999998</v>
      </c>
      <c r="T123" s="9"/>
      <c r="U123" s="9"/>
      <c r="V123" s="10"/>
    </row>
    <row r="124" spans="1:22">
      <c r="A124" s="2">
        <v>258</v>
      </c>
      <c r="B124" s="1" t="str">
        <f>[1]ALL!A259</f>
        <v>4825A</v>
      </c>
      <c r="C124" s="2" t="str">
        <f>[1]ALL!B259</f>
        <v>Full Metal Robotics</v>
      </c>
      <c r="D124" s="2" t="str">
        <f>[1]ALL!C259</f>
        <v>Royal Live Oaks Academy Charter School</v>
      </c>
      <c r="E124" s="2" t="str">
        <f>[1]ALL!D259</f>
        <v>Hardeeville, South Carolina, United States</v>
      </c>
      <c r="F124" s="8">
        <f>[1]ALL!E259</f>
        <v>218</v>
      </c>
      <c r="G124" s="8">
        <f>[1]ALL!F259</f>
        <v>203</v>
      </c>
      <c r="H124" s="8">
        <f>[1]ALL!G259</f>
        <v>78.689899999999994</v>
      </c>
      <c r="I124" s="11">
        <f>[1]ALL!H259</f>
        <v>68.914100000000005</v>
      </c>
      <c r="J124" s="11">
        <f>[1]ALL!I259</f>
        <v>78.689899999999994</v>
      </c>
      <c r="K124" s="11">
        <f>[1]ALL!J259</f>
        <v>47.624899999999997</v>
      </c>
      <c r="L124" s="11">
        <f>[1]ALL!K259</f>
        <v>39.673699999999997</v>
      </c>
      <c r="M124" s="11">
        <f>[1]ALL!L259</f>
        <v>0</v>
      </c>
      <c r="N124" s="11">
        <f>[1]ALL!M259</f>
        <v>0</v>
      </c>
      <c r="O124" s="11">
        <f>[1]ALL!N259</f>
        <v>0</v>
      </c>
      <c r="P124" s="11">
        <f>[1]ALL!O259</f>
        <v>0</v>
      </c>
      <c r="Q124" s="11">
        <f>[1]ALL!P259</f>
        <v>0</v>
      </c>
      <c r="R124" s="11">
        <f>[1]ALL!Q259</f>
        <v>0</v>
      </c>
      <c r="S124" s="11">
        <f>[1]ALL!R120</f>
        <v>0</v>
      </c>
      <c r="T124" s="9"/>
      <c r="U124" s="9"/>
      <c r="V124" s="10"/>
    </row>
    <row r="125" spans="1:22">
      <c r="A125" s="2">
        <v>49</v>
      </c>
      <c r="B125" s="1" t="str">
        <f>[1]ALL!A50</f>
        <v>323Y</v>
      </c>
      <c r="C125" s="2" t="str">
        <f>[1]ALL!B50</f>
        <v>Flux Capacitors</v>
      </c>
      <c r="D125" s="2" t="str">
        <f>[1]ALL!C50</f>
        <v>Cornerstone Robotics</v>
      </c>
      <c r="E125" s="2" t="str">
        <f>[1]ALL!D50</f>
        <v>Greenwood, Indiana, United States</v>
      </c>
      <c r="F125" s="8">
        <f>[1]ALL!E50</f>
        <v>320</v>
      </c>
      <c r="G125" s="8">
        <f>[1]ALL!F50</f>
        <v>202</v>
      </c>
      <c r="H125" s="8">
        <f>[1]ALL!G50</f>
        <v>201.00399999999999</v>
      </c>
      <c r="I125" s="11">
        <f>[1]ALL!H50</f>
        <v>103.869</v>
      </c>
      <c r="J125" s="11">
        <f>[1]ALL!I50</f>
        <v>152.72300000000001</v>
      </c>
      <c r="K125" s="11">
        <f>[1]ALL!J50</f>
        <v>201.00399999999999</v>
      </c>
      <c r="L125" s="11">
        <f>[1]ALL!K50</f>
        <v>179.69800000000001</v>
      </c>
      <c r="M125" s="11">
        <f>[1]ALL!L50</f>
        <v>161.75299999999999</v>
      </c>
      <c r="N125" s="11">
        <f>[1]ALL!M50</f>
        <v>124.83499999999999</v>
      </c>
      <c r="O125" s="11">
        <f>[1]ALL!N50</f>
        <v>97.009399999999999</v>
      </c>
      <c r="P125" s="11">
        <f>[1]ALL!O50</f>
        <v>104.965</v>
      </c>
      <c r="Q125" s="11">
        <f>[1]ALL!P50</f>
        <v>0</v>
      </c>
      <c r="R125" s="11">
        <f>[1]ALL!Q50</f>
        <v>0</v>
      </c>
      <c r="S125" s="11">
        <f>[1]ALL!R121</f>
        <v>0</v>
      </c>
      <c r="T125" s="9"/>
      <c r="U125" s="9"/>
      <c r="V125" s="10"/>
    </row>
    <row r="126" spans="1:22">
      <c r="A126" s="2">
        <v>211</v>
      </c>
      <c r="B126" s="1" t="str">
        <f>[1]ALL!A212</f>
        <v>3388</v>
      </c>
      <c r="C126" s="2" t="str">
        <f>[1]ALL!B212</f>
        <v>Foobar</v>
      </c>
      <c r="D126" s="2" t="str">
        <f>[1]ALL!C212</f>
        <v>Sir Winston Churchill High School</v>
      </c>
      <c r="E126" s="2" t="str">
        <f>[1]ALL!D212</f>
        <v>Calgary, Alberta, Canada</v>
      </c>
      <c r="F126" s="8">
        <f>[1]ALL!E212</f>
        <v>422</v>
      </c>
      <c r="G126" s="8">
        <f>[1]ALL!F212</f>
        <v>201</v>
      </c>
      <c r="H126" s="8">
        <f>[1]ALL!G212</f>
        <v>150.30000000000001</v>
      </c>
      <c r="I126" s="11">
        <f>[1]ALL!H212</f>
        <v>142.435</v>
      </c>
      <c r="J126" s="11">
        <f>[1]ALL!I212</f>
        <v>150.30000000000001</v>
      </c>
      <c r="K126" s="11">
        <f>[1]ALL!J212</f>
        <v>105.122</v>
      </c>
      <c r="L126" s="11">
        <f>[1]ALL!K212</f>
        <v>69.044200000000004</v>
      </c>
      <c r="M126" s="11">
        <f>[1]ALL!L212</f>
        <v>0</v>
      </c>
      <c r="N126" s="11">
        <f>[1]ALL!M212</f>
        <v>0</v>
      </c>
      <c r="O126" s="11">
        <f>[1]ALL!N212</f>
        <v>0</v>
      </c>
      <c r="P126" s="11">
        <f>[1]ALL!O212</f>
        <v>0</v>
      </c>
      <c r="Q126" s="11">
        <f>[1]ALL!P212</f>
        <v>0</v>
      </c>
      <c r="R126" s="11">
        <f>[1]ALL!Q212</f>
        <v>0</v>
      </c>
      <c r="S126" s="11">
        <f>[1]ALL!R122</f>
        <v>0</v>
      </c>
      <c r="T126" s="9"/>
      <c r="U126" s="9"/>
      <c r="V126" s="10"/>
    </row>
    <row r="127" spans="1:22">
      <c r="A127" s="2">
        <v>408</v>
      </c>
      <c r="B127" s="1" t="str">
        <f>[1]ALL!A409</f>
        <v>8123</v>
      </c>
      <c r="C127" s="2" t="str">
        <f>[1]ALL!B409</f>
        <v>Irvington Robotics</v>
      </c>
      <c r="D127" s="2" t="str">
        <f>[1]ALL!C409</f>
        <v>Irvington Preparatory Academy</v>
      </c>
      <c r="E127" s="2" t="str">
        <f>[1]ALL!D409</f>
        <v>Indianapolis, Indiana, United States</v>
      </c>
      <c r="F127" s="8">
        <f>[1]ALL!E409</f>
        <v>272</v>
      </c>
      <c r="G127" s="8">
        <f>[1]ALL!F409</f>
        <v>199</v>
      </c>
      <c r="H127" s="8">
        <f>[1]ALL!G409</f>
        <v>126.827</v>
      </c>
      <c r="I127" s="11">
        <f>[1]ALL!H409</f>
        <v>126.827</v>
      </c>
      <c r="J127" s="11">
        <f>[1]ALL!I409</f>
        <v>73.429900000000004</v>
      </c>
      <c r="K127" s="11">
        <f>[1]ALL!J409</f>
        <v>82.083399999999997</v>
      </c>
      <c r="L127" s="11">
        <f>[1]ALL!K409</f>
        <v>116.584</v>
      </c>
      <c r="M127" s="11">
        <f>[1]ALL!L409</f>
        <v>100.883</v>
      </c>
      <c r="N127" s="11">
        <f>[1]ALL!M409</f>
        <v>62.842599999999997</v>
      </c>
      <c r="O127" s="11">
        <f>[1]ALL!N409</f>
        <v>31.335000000000001</v>
      </c>
      <c r="P127" s="11">
        <f>[1]ALL!O409</f>
        <v>0</v>
      </c>
      <c r="Q127" s="11">
        <f>[1]ALL!P409</f>
        <v>0</v>
      </c>
      <c r="R127" s="11">
        <f>[1]ALL!Q409</f>
        <v>0</v>
      </c>
      <c r="S127" s="11">
        <f>[1]ALL!R123</f>
        <v>0</v>
      </c>
      <c r="T127" s="9"/>
      <c r="U127" s="9"/>
      <c r="V127" s="10"/>
    </row>
    <row r="128" spans="1:22">
      <c r="A128" s="2">
        <v>98</v>
      </c>
      <c r="B128" s="1" t="str">
        <f>[1]ALL!A99</f>
        <v>1028A</v>
      </c>
      <c r="C128" s="2" t="str">
        <f>[1]ALL!B99</f>
        <v xml:space="preserve">C:\DOS\RUN </v>
      </c>
      <c r="D128" s="2" t="str">
        <f>[1]ALL!C99</f>
        <v>Brownell-Talbot</v>
      </c>
      <c r="E128" s="2" t="str">
        <f>[1]ALL!D99</f>
        <v>Omaha, Nebraska, United States</v>
      </c>
      <c r="F128" s="8">
        <f>[1]ALL!E99</f>
        <v>307</v>
      </c>
      <c r="G128" s="8">
        <f>[1]ALL!F99</f>
        <v>197</v>
      </c>
      <c r="H128" s="8">
        <f>[1]ALL!G99</f>
        <v>129.333</v>
      </c>
      <c r="I128" s="11">
        <f>[1]ALL!H99</f>
        <v>62.459400000000002</v>
      </c>
      <c r="J128" s="11">
        <f>[1]ALL!I99</f>
        <v>103.405</v>
      </c>
      <c r="K128" s="11">
        <f>[1]ALL!J99</f>
        <v>113.84</v>
      </c>
      <c r="L128" s="11">
        <f>[1]ALL!K99</f>
        <v>78.4268</v>
      </c>
      <c r="M128" s="11">
        <f>[1]ALL!L99</f>
        <v>112.033</v>
      </c>
      <c r="N128" s="11">
        <f>[1]ALL!M99</f>
        <v>129.333</v>
      </c>
      <c r="O128" s="11">
        <f>[1]ALL!N99</f>
        <v>92.391300000000001</v>
      </c>
      <c r="P128" s="11">
        <f>[1]ALL!O99</f>
        <v>93.462500000000006</v>
      </c>
      <c r="Q128" s="11">
        <f>[1]ALL!P99</f>
        <v>41.063699999999997</v>
      </c>
      <c r="R128" s="11">
        <f>[1]ALL!Q99</f>
        <v>0</v>
      </c>
      <c r="S128" s="11">
        <f>[1]ALL!R124</f>
        <v>0</v>
      </c>
      <c r="T128" s="9"/>
      <c r="U128" s="9"/>
      <c r="V128" s="10"/>
    </row>
    <row r="129" spans="1:22">
      <c r="A129" s="2">
        <v>55</v>
      </c>
      <c r="B129" s="1" t="str">
        <f>[1]ALL!A56</f>
        <v>355S</v>
      </c>
      <c r="C129" s="2" t="str">
        <f>[1]ALL!B56</f>
        <v>Sparrow</v>
      </c>
      <c r="D129" s="2" t="str">
        <f>[1]ALL!C56</f>
        <v>Fox Valley Robotics</v>
      </c>
      <c r="E129" s="2" t="str">
        <f>[1]ALL!D56</f>
        <v>Batavia, Illinois, United States</v>
      </c>
      <c r="F129" s="8">
        <f>[1]ALL!E56</f>
        <v>291</v>
      </c>
      <c r="G129" s="8">
        <f>[1]ALL!F56</f>
        <v>197</v>
      </c>
      <c r="H129" s="8">
        <f>[1]ALL!G56</f>
        <v>146.744</v>
      </c>
      <c r="I129" s="11">
        <f>[1]ALL!H56</f>
        <v>146.744</v>
      </c>
      <c r="J129" s="11">
        <f>[1]ALL!I56</f>
        <v>138.68700000000001</v>
      </c>
      <c r="K129" s="11">
        <f>[1]ALL!J56</f>
        <v>125.48099999999999</v>
      </c>
      <c r="L129" s="11">
        <f>[1]ALL!K56</f>
        <v>127.893</v>
      </c>
      <c r="M129" s="11">
        <f>[1]ALL!L56</f>
        <v>118.16500000000001</v>
      </c>
      <c r="N129" s="11">
        <f>[1]ALL!M56</f>
        <v>109.914</v>
      </c>
      <c r="O129" s="11">
        <f>[1]ALL!N56</f>
        <v>74.501300000000001</v>
      </c>
      <c r="P129" s="11">
        <f>[1]ALL!O56</f>
        <v>79.769800000000004</v>
      </c>
      <c r="Q129" s="11">
        <f>[1]ALL!P56</f>
        <v>20.664300000000001</v>
      </c>
      <c r="R129" s="11">
        <f>[1]ALL!Q56</f>
        <v>0</v>
      </c>
      <c r="S129" s="11">
        <f>[1]ALL!R125</f>
        <v>0</v>
      </c>
      <c r="T129" s="9"/>
      <c r="U129" s="9"/>
      <c r="V129" s="10"/>
    </row>
    <row r="130" spans="1:22">
      <c r="A130" s="2">
        <v>144</v>
      </c>
      <c r="B130" s="1" t="str">
        <f>[1]ALL!A145</f>
        <v>1575X</v>
      </c>
      <c r="C130" s="2" t="str">
        <f>[1]ALL!B145</f>
        <v>Xcaliber</v>
      </c>
      <c r="D130" s="2" t="str">
        <f>[1]ALL!C145</f>
        <v>Woodbridge Senior High School</v>
      </c>
      <c r="E130" s="2" t="str">
        <f>[1]ALL!D145</f>
        <v>Woodbridge, Virginia, United States</v>
      </c>
      <c r="F130" s="8">
        <f>[1]ALL!E145</f>
        <v>265</v>
      </c>
      <c r="G130" s="8">
        <f>[1]ALL!F145</f>
        <v>194</v>
      </c>
      <c r="H130" s="8">
        <f>[1]ALL!G145</f>
        <v>114.31699999999999</v>
      </c>
      <c r="I130" s="11">
        <f>[1]ALL!H145</f>
        <v>114.31699999999999</v>
      </c>
      <c r="J130" s="11">
        <f>[1]ALL!I145</f>
        <v>79.071700000000007</v>
      </c>
      <c r="K130" s="11">
        <f>[1]ALL!J145</f>
        <v>72.951800000000006</v>
      </c>
      <c r="L130" s="11">
        <f>[1]ALL!K145</f>
        <v>73.399100000000004</v>
      </c>
      <c r="M130" s="11">
        <f>[1]ALL!L145</f>
        <v>62.232399999999998</v>
      </c>
      <c r="N130" s="11">
        <f>[1]ALL!M145</f>
        <v>77.787300000000002</v>
      </c>
      <c r="O130" s="11">
        <f>[1]ALL!N145</f>
        <v>32.7714</v>
      </c>
      <c r="P130" s="11">
        <f>[1]ALL!O145</f>
        <v>0</v>
      </c>
      <c r="Q130" s="11">
        <f>[1]ALL!P145</f>
        <v>0</v>
      </c>
      <c r="R130" s="11">
        <f>[1]ALL!Q145</f>
        <v>0</v>
      </c>
      <c r="S130" s="11">
        <f>[1]ALL!R126</f>
        <v>0</v>
      </c>
      <c r="T130" s="9"/>
      <c r="U130" s="9"/>
      <c r="V130" s="10"/>
    </row>
    <row r="131" spans="1:22">
      <c r="A131" s="2">
        <v>270</v>
      </c>
      <c r="B131" s="1" t="str">
        <f>[1]ALL!A271</f>
        <v>5106E</v>
      </c>
      <c r="C131" s="2" t="str">
        <f>[1]ALL!B271</f>
        <v>Kennett Coders</v>
      </c>
      <c r="D131" s="2" t="str">
        <f>[1]ALL!C271</f>
        <v>Kennett High School</v>
      </c>
      <c r="E131" s="2" t="str">
        <f>[1]ALL!D271</f>
        <v>North Conway, New Hampshire, United States</v>
      </c>
      <c r="F131" s="8">
        <f>[1]ALL!E271</f>
        <v>192</v>
      </c>
      <c r="G131" s="8">
        <f>[1]ALL!F271</f>
        <v>192</v>
      </c>
      <c r="H131" s="8">
        <f>[1]ALL!G271</f>
        <v>143.16200000000001</v>
      </c>
      <c r="I131" s="11">
        <f>[1]ALL!H271</f>
        <v>132.82300000000001</v>
      </c>
      <c r="J131" s="11">
        <f>[1]ALL!I271</f>
        <v>143.16200000000001</v>
      </c>
      <c r="K131" s="11">
        <f>[1]ALL!J271</f>
        <v>78.259900000000002</v>
      </c>
      <c r="L131" s="11">
        <f>[1]ALL!K271</f>
        <v>57.730600000000003</v>
      </c>
      <c r="M131" s="11">
        <f>[1]ALL!L271</f>
        <v>51.428899999999999</v>
      </c>
      <c r="N131" s="11">
        <f>[1]ALL!M271</f>
        <v>0</v>
      </c>
      <c r="O131" s="11">
        <f>[1]ALL!N271</f>
        <v>0</v>
      </c>
      <c r="P131" s="11">
        <f>[1]ALL!O271</f>
        <v>0</v>
      </c>
      <c r="Q131" s="11">
        <f>[1]ALL!P271</f>
        <v>0</v>
      </c>
      <c r="R131" s="11">
        <f>[1]ALL!Q271</f>
        <v>0</v>
      </c>
      <c r="S131" s="11">
        <f>[1]ALL!R127</f>
        <v>0</v>
      </c>
      <c r="T131" s="9"/>
      <c r="U131" s="9"/>
      <c r="V131" s="10"/>
    </row>
    <row r="132" spans="1:22">
      <c r="A132" s="2">
        <v>319</v>
      </c>
      <c r="B132" s="1" t="str">
        <f>[1]ALL!A320</f>
        <v>6053B</v>
      </c>
      <c r="C132" s="2" t="str">
        <f>[1]ALL!B320</f>
        <v>Error 404</v>
      </c>
      <c r="D132" s="2" t="str">
        <f>[1]ALL!C320</f>
        <v>Highgate School</v>
      </c>
      <c r="E132" s="2" t="str">
        <f>[1]ALL!D320</f>
        <v>London, N/A, United Kingdom</v>
      </c>
      <c r="F132" s="8">
        <f>[1]ALL!E320</f>
        <v>221</v>
      </c>
      <c r="G132" s="8">
        <f>[1]ALL!F320</f>
        <v>191</v>
      </c>
      <c r="H132" s="8">
        <f>[1]ALL!G320</f>
        <v>145.48400000000001</v>
      </c>
      <c r="I132" s="11">
        <f>[1]ALL!H320</f>
        <v>82.423900000000003</v>
      </c>
      <c r="J132" s="11">
        <f>[1]ALL!I320</f>
        <v>98.141499999999994</v>
      </c>
      <c r="K132" s="11">
        <f>[1]ALL!J320</f>
        <v>90.008300000000006</v>
      </c>
      <c r="L132" s="11">
        <f>[1]ALL!K320</f>
        <v>84.572199999999995</v>
      </c>
      <c r="M132" s="11">
        <f>[1]ALL!L320</f>
        <v>74.054299999999998</v>
      </c>
      <c r="N132" s="11">
        <f>[1]ALL!M320</f>
        <v>86.465199999999996</v>
      </c>
      <c r="O132" s="11">
        <f>[1]ALL!N320</f>
        <v>145.48400000000001</v>
      </c>
      <c r="P132" s="11">
        <f>[1]ALL!O320</f>
        <v>49.232399999999998</v>
      </c>
      <c r="Q132" s="11">
        <f>[1]ALL!P320</f>
        <v>45.636899999999997</v>
      </c>
      <c r="R132" s="11">
        <f>[1]ALL!Q320</f>
        <v>19.584</v>
      </c>
      <c r="S132" s="11">
        <f>[1]ALL!R128</f>
        <v>0</v>
      </c>
      <c r="T132" s="9"/>
      <c r="U132" s="9"/>
      <c r="V132" s="10"/>
    </row>
    <row r="133" spans="1:22">
      <c r="A133" s="2">
        <v>184</v>
      </c>
      <c r="B133" s="1" t="str">
        <f>[1]ALL!A185</f>
        <v>2581B</v>
      </c>
      <c r="C133" s="2" t="str">
        <f>[1]ALL!B185</f>
        <v>BCAMSC Phoenix Robotics</v>
      </c>
      <c r="D133" s="2" t="str">
        <f>[1]ALL!C185</f>
        <v>Michigan State University College of Engineering</v>
      </c>
      <c r="E133" s="2" t="str">
        <f>[1]ALL!D185</f>
        <v>East Lansing, Michigan, United States</v>
      </c>
      <c r="F133" s="8">
        <f>[1]ALL!E185</f>
        <v>189</v>
      </c>
      <c r="G133" s="8">
        <f>[1]ALL!F185</f>
        <v>191</v>
      </c>
      <c r="H133" s="8">
        <f>[1]ALL!G185</f>
        <v>119.92100000000001</v>
      </c>
      <c r="I133" s="11">
        <f>[1]ALL!H185</f>
        <v>57.108899999999998</v>
      </c>
      <c r="J133" s="11">
        <f>[1]ALL!I185</f>
        <v>119.92100000000001</v>
      </c>
      <c r="K133" s="11">
        <f>[1]ALL!J185</f>
        <v>72.741699999999994</v>
      </c>
      <c r="L133" s="11">
        <f>[1]ALL!K185</f>
        <v>0</v>
      </c>
      <c r="M133" s="11">
        <f>[1]ALL!L185</f>
        <v>0</v>
      </c>
      <c r="N133" s="11">
        <f>[1]ALL!M185</f>
        <v>0</v>
      </c>
      <c r="O133" s="11">
        <f>[1]ALL!N185</f>
        <v>0</v>
      </c>
      <c r="P133" s="11">
        <f>[1]ALL!O185</f>
        <v>0</v>
      </c>
      <c r="Q133" s="11">
        <f>[1]ALL!P185</f>
        <v>0</v>
      </c>
      <c r="R133" s="11">
        <f>[1]ALL!Q185</f>
        <v>0</v>
      </c>
      <c r="S133" s="11">
        <f>[1]ALL!R129</f>
        <v>0</v>
      </c>
      <c r="T133" s="9"/>
      <c r="U133" s="9"/>
      <c r="V133" s="10"/>
    </row>
    <row r="134" spans="1:22">
      <c r="A134" s="2">
        <v>36</v>
      </c>
      <c r="B134" s="1" t="str">
        <f>[1]ALL!A37</f>
        <v>200A</v>
      </c>
      <c r="C134" s="2" t="str">
        <f>[1]ALL!B37</f>
        <v>LanceBotics - 🍁</v>
      </c>
      <c r="D134" s="2" t="str">
        <f>[1]ALL!C37</f>
        <v>Leaside High School</v>
      </c>
      <c r="E134" s="2" t="str">
        <f>[1]ALL!D37</f>
        <v>Toronto, Ontario, Canada</v>
      </c>
      <c r="F134" s="8">
        <f>[1]ALL!E37</f>
        <v>144</v>
      </c>
      <c r="G134" s="8">
        <f>[1]ALL!F37</f>
        <v>189</v>
      </c>
      <c r="H134" s="8">
        <f>[1]ALL!G37</f>
        <v>104.59099999999999</v>
      </c>
      <c r="I134" s="11">
        <f>[1]ALL!H37</f>
        <v>104.59099999999999</v>
      </c>
      <c r="J134" s="11">
        <f>[1]ALL!I37</f>
        <v>96.771299999999997</v>
      </c>
      <c r="K134" s="11">
        <f>[1]ALL!J37</f>
        <v>101.545</v>
      </c>
      <c r="L134" s="11">
        <f>[1]ALL!K37</f>
        <v>71.581100000000006</v>
      </c>
      <c r="M134" s="11">
        <f>[1]ALL!L37</f>
        <v>34.747300000000003</v>
      </c>
      <c r="N134" s="11">
        <f>[1]ALL!M37</f>
        <v>0</v>
      </c>
      <c r="O134" s="11">
        <f>[1]ALL!N37</f>
        <v>0</v>
      </c>
      <c r="P134" s="11">
        <f>[1]ALL!O37</f>
        <v>0</v>
      </c>
      <c r="Q134" s="11">
        <f>[1]ALL!P37</f>
        <v>0</v>
      </c>
      <c r="R134" s="11">
        <f>[1]ALL!Q37</f>
        <v>0</v>
      </c>
      <c r="S134" s="11">
        <f>[1]ALL!R130</f>
        <v>115.622</v>
      </c>
      <c r="T134" s="9"/>
      <c r="U134" s="9"/>
      <c r="V134" s="10"/>
    </row>
    <row r="135" spans="1:22">
      <c r="A135" s="2">
        <v>79</v>
      </c>
      <c r="B135" s="1" t="str">
        <f>[1]ALL!A80</f>
        <v>675E</v>
      </c>
      <c r="C135" s="2" t="str">
        <f>[1]ALL!B80</f>
        <v>RoboDragons E</v>
      </c>
      <c r="D135" s="2" t="str">
        <f>[1]ALL!C80</f>
        <v>Gwinnett School of Mathem, Science, and Technology</v>
      </c>
      <c r="E135" s="2" t="str">
        <f>[1]ALL!D80</f>
        <v>Lawrenceville, Georgia, United States</v>
      </c>
      <c r="F135" s="8">
        <f>[1]ALL!E80</f>
        <v>286</v>
      </c>
      <c r="G135" s="8">
        <f>[1]ALL!F80</f>
        <v>186</v>
      </c>
      <c r="H135" s="8">
        <f>[1]ALL!G80</f>
        <v>135.05600000000001</v>
      </c>
      <c r="I135" s="11">
        <f>[1]ALL!H80</f>
        <v>132.839</v>
      </c>
      <c r="J135" s="11">
        <f>[1]ALL!I80</f>
        <v>58.1783</v>
      </c>
      <c r="K135" s="11">
        <f>[1]ALL!J80</f>
        <v>135.05600000000001</v>
      </c>
      <c r="L135" s="11">
        <f>[1]ALL!K80</f>
        <v>123.102</v>
      </c>
      <c r="M135" s="11">
        <f>[1]ALL!L80</f>
        <v>121.997</v>
      </c>
      <c r="N135" s="11">
        <f>[1]ALL!M80</f>
        <v>95.193299999999994</v>
      </c>
      <c r="O135" s="11">
        <f>[1]ALL!N80</f>
        <v>0</v>
      </c>
      <c r="P135" s="11">
        <f>[1]ALL!O80</f>
        <v>0</v>
      </c>
      <c r="Q135" s="11">
        <f>[1]ALL!P80</f>
        <v>0</v>
      </c>
      <c r="R135" s="11">
        <f>[1]ALL!Q80</f>
        <v>0</v>
      </c>
      <c r="S135" s="11">
        <f>[1]ALL!R131</f>
        <v>0</v>
      </c>
      <c r="T135" s="9"/>
      <c r="U135" s="9"/>
      <c r="V135" s="10"/>
    </row>
    <row r="136" spans="1:22">
      <c r="A136" s="2">
        <v>238</v>
      </c>
      <c r="B136" s="1" t="str">
        <f>[1]ALL!A239</f>
        <v>4256B</v>
      </c>
      <c r="C136" s="2" t="str">
        <f>[1]ALL!B239</f>
        <v>Gear Monkey Robotics</v>
      </c>
      <c r="D136" s="2" t="str">
        <f>[1]ALL!C239</f>
        <v>Madison Career and Technical Center</v>
      </c>
      <c r="E136" s="2" t="str">
        <f>[1]ALL!D239</f>
        <v>Madison, Mississippi, United States</v>
      </c>
      <c r="F136" s="8">
        <f>[1]ALL!E239</f>
        <v>288</v>
      </c>
      <c r="G136" s="8">
        <f>[1]ALL!F239</f>
        <v>184</v>
      </c>
      <c r="H136" s="8">
        <f>[1]ALL!G239</f>
        <v>172.536</v>
      </c>
      <c r="I136" s="11">
        <f>[1]ALL!H239</f>
        <v>92.507300000000001</v>
      </c>
      <c r="J136" s="11">
        <f>[1]ALL!I239</f>
        <v>140.334</v>
      </c>
      <c r="K136" s="11">
        <f>[1]ALL!J239</f>
        <v>172.536</v>
      </c>
      <c r="L136" s="11">
        <f>[1]ALL!K239</f>
        <v>95.552800000000005</v>
      </c>
      <c r="M136" s="11">
        <f>[1]ALL!L239</f>
        <v>71.743399999999994</v>
      </c>
      <c r="N136" s="11">
        <f>[1]ALL!M239</f>
        <v>0</v>
      </c>
      <c r="O136" s="11">
        <f>[1]ALL!N239</f>
        <v>0</v>
      </c>
      <c r="P136" s="11">
        <f>[1]ALL!O239</f>
        <v>0</v>
      </c>
      <c r="Q136" s="11">
        <f>[1]ALL!P239</f>
        <v>0</v>
      </c>
      <c r="R136" s="11">
        <f>[1]ALL!Q239</f>
        <v>0</v>
      </c>
      <c r="S136" s="11">
        <f>[1]ALL!R132</f>
        <v>0</v>
      </c>
      <c r="T136" s="9"/>
      <c r="U136" s="9"/>
      <c r="V136" s="10"/>
    </row>
    <row r="137" spans="1:22">
      <c r="A137" s="2">
        <v>10</v>
      </c>
      <c r="B137" s="1" t="str">
        <f>[1]ALL!A11</f>
        <v>35</v>
      </c>
      <c r="C137" s="2" t="str">
        <f>[1]ALL!B11</f>
        <v>Terminal Velocity</v>
      </c>
      <c r="D137" s="2" t="str">
        <f>[1]ALL!C11</f>
        <v>Cranbrook Schools</v>
      </c>
      <c r="E137" s="2" t="str">
        <f>[1]ALL!D11</f>
        <v>Bloomfield Hills, Michigan, United States</v>
      </c>
      <c r="F137" s="8">
        <f>[1]ALL!E11</f>
        <v>231</v>
      </c>
      <c r="G137" s="8">
        <f>[1]ALL!F11</f>
        <v>183</v>
      </c>
      <c r="H137" s="8">
        <f>[1]ALL!G11</f>
        <v>115.691</v>
      </c>
      <c r="I137" s="11">
        <f>[1]ALL!H11</f>
        <v>92.681100000000001</v>
      </c>
      <c r="J137" s="11">
        <f>[1]ALL!I11</f>
        <v>73.259600000000006</v>
      </c>
      <c r="K137" s="11">
        <f>[1]ALL!J11</f>
        <v>101.706</v>
      </c>
      <c r="L137" s="11">
        <f>[1]ALL!K11</f>
        <v>85.513900000000007</v>
      </c>
      <c r="M137" s="11">
        <f>[1]ALL!L11</f>
        <v>115.691</v>
      </c>
      <c r="N137" s="11">
        <f>[1]ALL!M11</f>
        <v>16.049700000000001</v>
      </c>
      <c r="O137" s="11">
        <f>[1]ALL!N11</f>
        <v>0</v>
      </c>
      <c r="P137" s="11">
        <f>[1]ALL!O11</f>
        <v>0</v>
      </c>
      <c r="Q137" s="11">
        <f>[1]ALL!P11</f>
        <v>0</v>
      </c>
      <c r="R137" s="11">
        <f>[1]ALL!Q11</f>
        <v>0</v>
      </c>
      <c r="S137" s="11">
        <f>[1]ALL!R133</f>
        <v>0</v>
      </c>
      <c r="T137" s="9"/>
      <c r="U137" s="9"/>
      <c r="V137" s="10"/>
    </row>
    <row r="138" spans="1:22">
      <c r="A138" s="2">
        <v>376</v>
      </c>
      <c r="B138" s="1" t="str">
        <f>[1]ALL!A377</f>
        <v>7612</v>
      </c>
      <c r="C138" s="2" t="str">
        <f>[1]ALL!B377</f>
        <v>Cherokee Co. Career Tech</v>
      </c>
      <c r="D138" s="2" t="str">
        <f>[1]ALL!C377</f>
        <v>Cherokee County Career Technical Center</v>
      </c>
      <c r="E138" s="2" t="str">
        <f>[1]ALL!D377</f>
        <v>centre, Alabama, United States</v>
      </c>
      <c r="F138" s="8">
        <f>[1]ALL!E377</f>
        <v>201</v>
      </c>
      <c r="G138" s="8">
        <f>[1]ALL!F377</f>
        <v>183</v>
      </c>
      <c r="H138" s="8">
        <f>[1]ALL!G377</f>
        <v>78.817499999999995</v>
      </c>
      <c r="I138" s="11">
        <f>[1]ALL!H377</f>
        <v>78.817499999999995</v>
      </c>
      <c r="J138" s="11">
        <f>[1]ALL!I377</f>
        <v>33.689399999999999</v>
      </c>
      <c r="K138" s="11">
        <f>[1]ALL!J377</f>
        <v>3.6130399999999998</v>
      </c>
      <c r="L138" s="11">
        <f>[1]ALL!K377</f>
        <v>0</v>
      </c>
      <c r="M138" s="11">
        <f>[1]ALL!L377</f>
        <v>0</v>
      </c>
      <c r="N138" s="11">
        <f>[1]ALL!M377</f>
        <v>0</v>
      </c>
      <c r="O138" s="11">
        <f>[1]ALL!N377</f>
        <v>0</v>
      </c>
      <c r="P138" s="11">
        <f>[1]ALL!O377</f>
        <v>0</v>
      </c>
      <c r="Q138" s="11">
        <f>[1]ALL!P377</f>
        <v>0</v>
      </c>
      <c r="R138" s="11">
        <f>[1]ALL!Q377</f>
        <v>0</v>
      </c>
      <c r="S138" s="11">
        <f>[1]ALL!R134</f>
        <v>0</v>
      </c>
      <c r="T138" s="9"/>
      <c r="U138" s="9"/>
      <c r="V138" s="10"/>
    </row>
    <row r="139" spans="1:22">
      <c r="A139" s="2">
        <v>338</v>
      </c>
      <c r="B139" s="1" t="str">
        <f>[1]ALL!A339</f>
        <v>6526D</v>
      </c>
      <c r="C139" s="2" t="str">
        <f>[1]ALL!B339</f>
        <v>D-High</v>
      </c>
      <c r="D139" s="2" t="str">
        <f>[1]ALL!C339</f>
        <v>Damien High School</v>
      </c>
      <c r="E139" s="2" t="str">
        <f>[1]ALL!D339</f>
        <v>La Verne, California, United States</v>
      </c>
      <c r="F139" s="8">
        <f>[1]ALL!E339</f>
        <v>146</v>
      </c>
      <c r="G139" s="8">
        <f>[1]ALL!F339</f>
        <v>181</v>
      </c>
      <c r="H139" s="8">
        <f>[1]ALL!G339</f>
        <v>87.715100000000007</v>
      </c>
      <c r="I139" s="11">
        <f>[1]ALL!H339</f>
        <v>87.715100000000007</v>
      </c>
      <c r="J139" s="11">
        <f>[1]ALL!I339</f>
        <v>65.442800000000005</v>
      </c>
      <c r="K139" s="11">
        <f>[1]ALL!J339</f>
        <v>24.197900000000001</v>
      </c>
      <c r="L139" s="11">
        <f>[1]ALL!K339</f>
        <v>44.206200000000003</v>
      </c>
      <c r="M139" s="11">
        <f>[1]ALL!L339</f>
        <v>0</v>
      </c>
      <c r="N139" s="11">
        <f>[1]ALL!M339</f>
        <v>0</v>
      </c>
      <c r="O139" s="11">
        <f>[1]ALL!N339</f>
        <v>0</v>
      </c>
      <c r="P139" s="11">
        <f>[1]ALL!O339</f>
        <v>0</v>
      </c>
      <c r="Q139" s="11">
        <f>[1]ALL!P339</f>
        <v>0</v>
      </c>
      <c r="R139" s="11">
        <f>[1]ALL!Q339</f>
        <v>0</v>
      </c>
      <c r="S139" s="11">
        <f>[1]ALL!R135</f>
        <v>0</v>
      </c>
      <c r="T139" s="9"/>
      <c r="U139" s="9"/>
      <c r="V139" s="10"/>
    </row>
    <row r="140" spans="1:22">
      <c r="A140" s="2">
        <v>85</v>
      </c>
      <c r="B140" s="1" t="str">
        <f>[1]ALL!A86</f>
        <v>817C</v>
      </c>
      <c r="C140" s="2" t="str">
        <f>[1]ALL!B86</f>
        <v>Sparticles: JOHN C TEAM!!</v>
      </c>
      <c r="D140" s="2" t="str">
        <f>[1]ALL!C86</f>
        <v>East Longmeadow High School</v>
      </c>
      <c r="E140" s="2" t="str">
        <f>[1]ALL!D86</f>
        <v>East Longmeadow, Massachusetts, United States</v>
      </c>
      <c r="F140" s="8">
        <f>[1]ALL!E86</f>
        <v>238</v>
      </c>
      <c r="G140" s="8">
        <f>[1]ALL!F86</f>
        <v>180</v>
      </c>
      <c r="H140" s="8">
        <f>[1]ALL!G86</f>
        <v>81.350099999999998</v>
      </c>
      <c r="I140" s="11">
        <f>[1]ALL!H86</f>
        <v>81.350099999999998</v>
      </c>
      <c r="J140" s="11">
        <f>[1]ALL!I86</f>
        <v>57.065800000000003</v>
      </c>
      <c r="K140" s="11">
        <f>[1]ALL!J86</f>
        <v>63.778500000000001</v>
      </c>
      <c r="L140" s="11">
        <f>[1]ALL!K86</f>
        <v>63.881999999999998</v>
      </c>
      <c r="M140" s="11">
        <f>[1]ALL!L86</f>
        <v>0</v>
      </c>
      <c r="N140" s="11">
        <f>[1]ALL!M86</f>
        <v>0</v>
      </c>
      <c r="O140" s="11">
        <f>[1]ALL!N86</f>
        <v>0</v>
      </c>
      <c r="P140" s="11">
        <f>[1]ALL!O86</f>
        <v>0</v>
      </c>
      <c r="Q140" s="11">
        <f>[1]ALL!P86</f>
        <v>0</v>
      </c>
      <c r="R140" s="11">
        <f>[1]ALL!Q86</f>
        <v>0</v>
      </c>
      <c r="S140" s="11">
        <f>[1]ALL!R136</f>
        <v>0</v>
      </c>
      <c r="T140" s="9"/>
      <c r="U140" s="9"/>
      <c r="V140" s="10"/>
    </row>
    <row r="141" spans="1:22">
      <c r="A141" s="2">
        <v>86</v>
      </c>
      <c r="B141" s="1" t="str">
        <f>[1]ALL!A87</f>
        <v>824B</v>
      </c>
      <c r="C141" s="2" t="str">
        <f>[1]ALL!B87</f>
        <v>AHS Robotics</v>
      </c>
      <c r="D141" s="2" t="str">
        <f>[1]ALL!C87</f>
        <v>Armijo High School</v>
      </c>
      <c r="E141" s="2" t="str">
        <f>[1]ALL!D87</f>
        <v>Fairfield, California, United States</v>
      </c>
      <c r="F141" s="8">
        <f>[1]ALL!E87</f>
        <v>188</v>
      </c>
      <c r="G141" s="8">
        <f>[1]ALL!F87</f>
        <v>180</v>
      </c>
      <c r="H141" s="8">
        <f>[1]ALL!G87</f>
        <v>87.253200000000007</v>
      </c>
      <c r="I141" s="11">
        <f>[1]ALL!H87</f>
        <v>87.253200000000007</v>
      </c>
      <c r="J141" s="11">
        <f>[1]ALL!I87</f>
        <v>73.114599999999996</v>
      </c>
      <c r="K141" s="11">
        <f>[1]ALL!J87</f>
        <v>56.740900000000003</v>
      </c>
      <c r="L141" s="11">
        <f>[1]ALL!K87</f>
        <v>72.458100000000002</v>
      </c>
      <c r="M141" s="11">
        <f>[1]ALL!L87</f>
        <v>33.3414</v>
      </c>
      <c r="N141" s="11">
        <f>[1]ALL!M87</f>
        <v>0</v>
      </c>
      <c r="O141" s="11">
        <f>[1]ALL!N87</f>
        <v>0</v>
      </c>
      <c r="P141" s="11">
        <f>[1]ALL!O87</f>
        <v>0</v>
      </c>
      <c r="Q141" s="11">
        <f>[1]ALL!P87</f>
        <v>0</v>
      </c>
      <c r="R141" s="11">
        <f>[1]ALL!Q87</f>
        <v>0</v>
      </c>
      <c r="S141" s="11">
        <f>[1]ALL!R137</f>
        <v>0</v>
      </c>
      <c r="T141" s="9"/>
      <c r="U141" s="9"/>
      <c r="V141" s="10"/>
    </row>
    <row r="142" spans="1:22">
      <c r="A142" s="2">
        <v>453</v>
      </c>
      <c r="B142" s="1" t="str">
        <f>[1]ALL!A454</f>
        <v>9185</v>
      </c>
      <c r="C142" s="2" t="str">
        <f>[1]ALL!B454</f>
        <v>B.H.S. Kickin Bots</v>
      </c>
      <c r="D142" s="2" t="str">
        <f>[1]ALL!C454</f>
        <v xml:space="preserve">Bellefontaine High School </v>
      </c>
      <c r="E142" s="2" t="str">
        <f>[1]ALL!D454</f>
        <v>Bellefontaine, Ohio, United States</v>
      </c>
      <c r="F142" s="8">
        <f>[1]ALL!E454</f>
        <v>252</v>
      </c>
      <c r="G142" s="8">
        <f>[1]ALL!F454</f>
        <v>176</v>
      </c>
      <c r="H142" s="8">
        <f>[1]ALL!G454</f>
        <v>122.18</v>
      </c>
      <c r="I142" s="11">
        <f>[1]ALL!H454</f>
        <v>122.18</v>
      </c>
      <c r="J142" s="11">
        <f>[1]ALL!I454</f>
        <v>98.350499999999997</v>
      </c>
      <c r="K142" s="11">
        <f>[1]ALL!J454</f>
        <v>77.36</v>
      </c>
      <c r="L142" s="11">
        <f>[1]ALL!K454</f>
        <v>100.474</v>
      </c>
      <c r="M142" s="11">
        <f>[1]ALL!L454</f>
        <v>0</v>
      </c>
      <c r="N142" s="11">
        <f>[1]ALL!M454</f>
        <v>92.342299999999994</v>
      </c>
      <c r="O142" s="11">
        <f>[1]ALL!N454</f>
        <v>54.228099999999998</v>
      </c>
      <c r="P142" s="11">
        <f>[1]ALL!O454</f>
        <v>98.024799999999999</v>
      </c>
      <c r="Q142" s="11">
        <f>[1]ALL!P454</f>
        <v>0</v>
      </c>
      <c r="R142" s="11">
        <f>[1]ALL!Q454</f>
        <v>0</v>
      </c>
      <c r="S142" s="11">
        <f>[1]ALL!R138</f>
        <v>0</v>
      </c>
      <c r="T142" s="9"/>
      <c r="U142" s="9"/>
      <c r="V142" s="10"/>
    </row>
    <row r="143" spans="1:22">
      <c r="A143" s="2">
        <v>9</v>
      </c>
      <c r="B143" s="1" t="str">
        <f>[1]ALL!A10</f>
        <v>33A</v>
      </c>
      <c r="C143" s="2" t="str">
        <f>[1]ALL!B10</f>
        <v>Killer Bees</v>
      </c>
      <c r="D143" s="2" t="str">
        <f>[1]ALL!C10</f>
        <v>Notre Dame Prep Killer Bees</v>
      </c>
      <c r="E143" s="2" t="str">
        <f>[1]ALL!D10</f>
        <v>Pontiac, Michigan, United States</v>
      </c>
      <c r="F143" s="8">
        <f>[1]ALL!E10</f>
        <v>168</v>
      </c>
      <c r="G143" s="8">
        <f>[1]ALL!F10</f>
        <v>176</v>
      </c>
      <c r="H143" s="8">
        <f>[1]ALL!G10</f>
        <v>173.37700000000001</v>
      </c>
      <c r="I143" s="11">
        <f>[1]ALL!H10</f>
        <v>144.91999999999999</v>
      </c>
      <c r="J143" s="11">
        <f>[1]ALL!I10</f>
        <v>166.113</v>
      </c>
      <c r="K143" s="11">
        <f>[1]ALL!J10</f>
        <v>173.37700000000001</v>
      </c>
      <c r="L143" s="11">
        <f>[1]ALL!K10</f>
        <v>130.48599999999999</v>
      </c>
      <c r="M143" s="11">
        <f>[1]ALL!L10</f>
        <v>0</v>
      </c>
      <c r="N143" s="11">
        <f>[1]ALL!M10</f>
        <v>0</v>
      </c>
      <c r="O143" s="11">
        <f>[1]ALL!N10</f>
        <v>0</v>
      </c>
      <c r="P143" s="11">
        <f>[1]ALL!O10</f>
        <v>0</v>
      </c>
      <c r="Q143" s="11">
        <f>[1]ALL!P10</f>
        <v>0</v>
      </c>
      <c r="R143" s="11">
        <f>[1]ALL!Q10</f>
        <v>0</v>
      </c>
      <c r="S143" s="11">
        <f>[1]ALL!R139</f>
        <v>0</v>
      </c>
      <c r="T143" s="9"/>
      <c r="U143" s="9"/>
      <c r="V143" s="10"/>
    </row>
    <row r="144" spans="1:22">
      <c r="A144" s="2">
        <v>328</v>
      </c>
      <c r="B144" s="1" t="str">
        <f>[1]ALL!A329</f>
        <v>6210Z</v>
      </c>
      <c r="C144" s="2" t="str">
        <f>[1]ALL!B329</f>
        <v>Eagles Engineering</v>
      </c>
      <c r="D144" s="2" t="str">
        <f>[1]ALL!C329</f>
        <v>Heritage Christian School</v>
      </c>
      <c r="E144" s="2" t="str">
        <f>[1]ALL!D329</f>
        <v>Indianapolis, Indiana, United States</v>
      </c>
      <c r="F144" s="8">
        <f>[1]ALL!E329</f>
        <v>41</v>
      </c>
      <c r="G144" s="8">
        <f>[1]ALL!F329</f>
        <v>176</v>
      </c>
      <c r="H144" s="8">
        <f>[1]ALL!G329</f>
        <v>80.170500000000004</v>
      </c>
      <c r="I144" s="11">
        <f>[1]ALL!H329</f>
        <v>80.170500000000004</v>
      </c>
      <c r="J144" s="11">
        <f>[1]ALL!I329</f>
        <v>16.645900000000001</v>
      </c>
      <c r="K144" s="11">
        <f>[1]ALL!J329</f>
        <v>71.386399999999995</v>
      </c>
      <c r="L144" s="11">
        <f>[1]ALL!K329</f>
        <v>54.289499999999997</v>
      </c>
      <c r="M144" s="11">
        <f>[1]ALL!L329</f>
        <v>0</v>
      </c>
      <c r="N144" s="11">
        <f>[1]ALL!M329</f>
        <v>0</v>
      </c>
      <c r="O144" s="11">
        <f>[1]ALL!N329</f>
        <v>0</v>
      </c>
      <c r="P144" s="11">
        <f>[1]ALL!O329</f>
        <v>0</v>
      </c>
      <c r="Q144" s="11">
        <f>[1]ALL!P329</f>
        <v>0</v>
      </c>
      <c r="R144" s="11">
        <f>[1]ALL!Q329</f>
        <v>0</v>
      </c>
      <c r="S144" s="11">
        <f>[1]ALL!R140</f>
        <v>0</v>
      </c>
      <c r="T144" s="9"/>
      <c r="U144" s="9"/>
      <c r="V144" s="10"/>
    </row>
    <row r="145" spans="1:22">
      <c r="A145" s="2">
        <v>121</v>
      </c>
      <c r="B145" s="1" t="str">
        <f>[1]ALL!A122</f>
        <v>1320C</v>
      </c>
      <c r="C145" s="2" t="str">
        <f>[1]ALL!B122</f>
        <v>Tucker High Robotigers</v>
      </c>
      <c r="D145" s="2" t="str">
        <f>[1]ALL!C122</f>
        <v>Tucker High School - DeKalb County School Sytem</v>
      </c>
      <c r="E145" s="2" t="str">
        <f>[1]ALL!D122</f>
        <v>Tucker, Georgia, United States</v>
      </c>
      <c r="F145" s="8">
        <f>[1]ALL!E122</f>
        <v>266</v>
      </c>
      <c r="G145" s="8">
        <f>[1]ALL!F122</f>
        <v>173</v>
      </c>
      <c r="H145" s="8">
        <f>[1]ALL!G122</f>
        <v>95.037099999999995</v>
      </c>
      <c r="I145" s="11">
        <f>[1]ALL!H122</f>
        <v>64.242500000000007</v>
      </c>
      <c r="J145" s="11">
        <f>[1]ALL!I122</f>
        <v>61.619700000000002</v>
      </c>
      <c r="K145" s="11">
        <f>[1]ALL!J122</f>
        <v>72.203000000000003</v>
      </c>
      <c r="L145" s="11">
        <f>[1]ALL!K122</f>
        <v>95.037099999999995</v>
      </c>
      <c r="M145" s="11">
        <f>[1]ALL!L122</f>
        <v>80.783900000000003</v>
      </c>
      <c r="N145" s="11">
        <f>[1]ALL!M122</f>
        <v>38.0137</v>
      </c>
      <c r="O145" s="11">
        <f>[1]ALL!N122</f>
        <v>0</v>
      </c>
      <c r="P145" s="11">
        <f>[1]ALL!O122</f>
        <v>0</v>
      </c>
      <c r="Q145" s="11">
        <f>[1]ALL!P122</f>
        <v>0</v>
      </c>
      <c r="R145" s="11">
        <f>[1]ALL!Q122</f>
        <v>0</v>
      </c>
      <c r="S145" s="11">
        <f>[1]ALL!R141</f>
        <v>0</v>
      </c>
      <c r="T145" s="9"/>
      <c r="U145" s="9"/>
      <c r="V145" s="10"/>
    </row>
    <row r="146" spans="1:22">
      <c r="A146" s="2">
        <v>312</v>
      </c>
      <c r="B146" s="1" t="str">
        <f>[1]ALL!A313</f>
        <v>5956B</v>
      </c>
      <c r="C146" s="2" t="str">
        <f>[1]ALL!B313</f>
        <v>Bangarang</v>
      </c>
      <c r="D146" s="2" t="str">
        <f>[1]ALL!C313</f>
        <v>Timber Creek High School</v>
      </c>
      <c r="E146" s="2" t="str">
        <f>[1]ALL!D313</f>
        <v>Orlando, Florida, United States</v>
      </c>
      <c r="F146" s="8">
        <f>[1]ALL!E313</f>
        <v>250</v>
      </c>
      <c r="G146" s="8">
        <f>[1]ALL!F313</f>
        <v>173</v>
      </c>
      <c r="H146" s="8">
        <f>[1]ALL!G313</f>
        <v>75.522099999999995</v>
      </c>
      <c r="I146" s="11">
        <f>[1]ALL!H313</f>
        <v>0</v>
      </c>
      <c r="J146" s="11">
        <f>[1]ALL!I313</f>
        <v>32.737000000000002</v>
      </c>
      <c r="K146" s="11">
        <f>[1]ALL!J313</f>
        <v>75.522099999999995</v>
      </c>
      <c r="L146" s="11">
        <f>[1]ALL!K313</f>
        <v>61.689</v>
      </c>
      <c r="M146" s="11">
        <f>[1]ALL!L313</f>
        <v>36.724299999999999</v>
      </c>
      <c r="N146" s="11">
        <f>[1]ALL!M313</f>
        <v>0</v>
      </c>
      <c r="O146" s="11">
        <f>[1]ALL!N313</f>
        <v>0</v>
      </c>
      <c r="P146" s="11">
        <f>[1]ALL!O313</f>
        <v>0</v>
      </c>
      <c r="Q146" s="11">
        <f>[1]ALL!P313</f>
        <v>0</v>
      </c>
      <c r="R146" s="11">
        <f>[1]ALL!Q313</f>
        <v>0</v>
      </c>
      <c r="S146" s="11">
        <f>[1]ALL!R142</f>
        <v>0</v>
      </c>
      <c r="T146" s="9"/>
      <c r="U146" s="9"/>
      <c r="V146" s="10"/>
    </row>
    <row r="147" spans="1:22">
      <c r="A147" s="2">
        <v>256</v>
      </c>
      <c r="B147" s="1" t="str">
        <f>[1]ALL!A257</f>
        <v>4815A</v>
      </c>
      <c r="C147" s="2" t="str">
        <f>[1]ALL!B257</f>
        <v>CPC A TEAM</v>
      </c>
      <c r="D147" s="2" t="str">
        <f>[1]ALL!C257</f>
        <v>WEO CHANG PUI CHUNG MEMORIAL SCHOOL</v>
      </c>
      <c r="E147" s="2" t="str">
        <f>[1]ALL!D257</f>
        <v>TSEUNG KWAN O, Not Applicable or Not Listed, Hong Kong</v>
      </c>
      <c r="F147" s="8">
        <f>[1]ALL!E257</f>
        <v>0</v>
      </c>
      <c r="G147" s="8">
        <f>[1]ALL!F257</f>
        <v>171</v>
      </c>
      <c r="H147" s="8">
        <f>[1]ALL!G257</f>
        <v>53.069400000000002</v>
      </c>
      <c r="I147" s="11">
        <f>[1]ALL!H257</f>
        <v>53.069400000000002</v>
      </c>
      <c r="J147" s="11">
        <f>[1]ALL!I257</f>
        <v>0</v>
      </c>
      <c r="K147" s="11">
        <f>[1]ALL!J257</f>
        <v>0</v>
      </c>
      <c r="L147" s="11">
        <f>[1]ALL!K257</f>
        <v>0</v>
      </c>
      <c r="M147" s="11">
        <f>[1]ALL!L257</f>
        <v>0</v>
      </c>
      <c r="N147" s="11">
        <f>[1]ALL!M257</f>
        <v>0</v>
      </c>
      <c r="O147" s="11">
        <f>[1]ALL!N257</f>
        <v>0</v>
      </c>
      <c r="P147" s="11">
        <f>[1]ALL!O257</f>
        <v>0</v>
      </c>
      <c r="Q147" s="11">
        <f>[1]ALL!P257</f>
        <v>0</v>
      </c>
      <c r="R147" s="11">
        <f>[1]ALL!Q257</f>
        <v>0</v>
      </c>
      <c r="S147" s="11">
        <f>[1]ALL!R143</f>
        <v>0</v>
      </c>
      <c r="T147" s="9"/>
      <c r="U147" s="9"/>
      <c r="V147" s="10"/>
    </row>
    <row r="148" spans="1:22">
      <c r="A148" s="2">
        <v>383</v>
      </c>
      <c r="B148" s="1" t="str">
        <f>[1]ALL!A384</f>
        <v>7701Z</v>
      </c>
      <c r="C148" s="2" t="str">
        <f>[1]ALL!B384</f>
        <v>The Stainless Steel Eagle</v>
      </c>
      <c r="D148" s="2" t="str">
        <f>[1]ALL!C384</f>
        <v>Zionsville Community High School</v>
      </c>
      <c r="E148" s="2" t="str">
        <f>[1]ALL!D384</f>
        <v>Zionsville, Indiana, United States</v>
      </c>
      <c r="F148" s="8">
        <f>[1]ALL!E384</f>
        <v>306</v>
      </c>
      <c r="G148" s="8">
        <f>[1]ALL!F384</f>
        <v>170</v>
      </c>
      <c r="H148" s="8">
        <f>[1]ALL!G384</f>
        <v>117.81399999999999</v>
      </c>
      <c r="I148" s="11">
        <f>[1]ALL!H384</f>
        <v>112.28100000000001</v>
      </c>
      <c r="J148" s="11">
        <f>[1]ALL!I384</f>
        <v>61.669600000000003</v>
      </c>
      <c r="K148" s="11">
        <f>[1]ALL!J384</f>
        <v>110.70099999999999</v>
      </c>
      <c r="L148" s="11">
        <f>[1]ALL!K384</f>
        <v>117.81399999999999</v>
      </c>
      <c r="M148" s="11">
        <f>[1]ALL!L384</f>
        <v>0</v>
      </c>
      <c r="N148" s="11">
        <f>[1]ALL!M384</f>
        <v>0</v>
      </c>
      <c r="O148" s="11">
        <f>[1]ALL!N384</f>
        <v>0</v>
      </c>
      <c r="P148" s="11">
        <f>[1]ALL!O384</f>
        <v>0</v>
      </c>
      <c r="Q148" s="11">
        <f>[1]ALL!P384</f>
        <v>0</v>
      </c>
      <c r="R148" s="11">
        <f>[1]ALL!Q384</f>
        <v>0</v>
      </c>
      <c r="S148" s="11">
        <f>[1]ALL!R144</f>
        <v>0</v>
      </c>
      <c r="T148" s="9"/>
      <c r="U148" s="9"/>
      <c r="V148" s="10"/>
    </row>
    <row r="149" spans="1:22">
      <c r="A149" s="2">
        <v>16</v>
      </c>
      <c r="B149" s="1" t="str">
        <f>[1]ALL!A17</f>
        <v>60X</v>
      </c>
      <c r="C149" s="2" t="str">
        <f>[1]ALL!B17</f>
        <v>Crossfire ⍟</v>
      </c>
      <c r="D149" s="2" t="str">
        <f>[1]ALL!C17</f>
        <v>Neobots</v>
      </c>
      <c r="E149" s="2" t="str">
        <f>[1]ALL!D17</f>
        <v>Garland, Texas, United States</v>
      </c>
      <c r="F149" s="8">
        <f>[1]ALL!E17</f>
        <v>300</v>
      </c>
      <c r="G149" s="8">
        <f>[1]ALL!F17</f>
        <v>168</v>
      </c>
      <c r="H149" s="8">
        <f>[1]ALL!G17</f>
        <v>185.21600000000001</v>
      </c>
      <c r="I149" s="11">
        <f>[1]ALL!H17</f>
        <v>151.179</v>
      </c>
      <c r="J149" s="11">
        <f>[1]ALL!I17</f>
        <v>125.11</v>
      </c>
      <c r="K149" s="11">
        <f>[1]ALL!J17</f>
        <v>161.44200000000001</v>
      </c>
      <c r="L149" s="11">
        <f>[1]ALL!K17</f>
        <v>185.21600000000001</v>
      </c>
      <c r="M149" s="11">
        <f>[1]ALL!L17</f>
        <v>83.9161</v>
      </c>
      <c r="N149" s="11">
        <f>[1]ALL!M17</f>
        <v>139.94</v>
      </c>
      <c r="O149" s="11">
        <f>[1]ALL!N17</f>
        <v>124.596</v>
      </c>
      <c r="P149" s="11">
        <f>[1]ALL!O17</f>
        <v>53.4375</v>
      </c>
      <c r="Q149" s="11">
        <f>[1]ALL!P17</f>
        <v>40.6496</v>
      </c>
      <c r="R149" s="11">
        <f>[1]ALL!Q17</f>
        <v>108.425</v>
      </c>
      <c r="S149" s="11">
        <f>[1]ALL!R145</f>
        <v>0</v>
      </c>
      <c r="T149" s="9"/>
      <c r="U149" s="9"/>
      <c r="V149" s="10"/>
    </row>
    <row r="150" spans="1:22">
      <c r="A150" s="2">
        <v>488</v>
      </c>
      <c r="B150" s="1" t="str">
        <f>[1]ALL!A489</f>
        <v>98521</v>
      </c>
      <c r="C150" s="2" t="str">
        <f>[1]ALL!B489</f>
        <v>HP Robotics</v>
      </c>
      <c r="D150" s="2" t="str">
        <f>[1]ALL!C489</f>
        <v>Holly Pond High School</v>
      </c>
      <c r="E150" s="2" t="str">
        <f>[1]ALL!D489</f>
        <v>Holly Pond, Alabama, United States</v>
      </c>
      <c r="F150" s="8">
        <f>[1]ALL!E489</f>
        <v>156</v>
      </c>
      <c r="G150" s="8">
        <f>[1]ALL!F489</f>
        <v>167</v>
      </c>
      <c r="H150" s="8">
        <f>[1]ALL!G489</f>
        <v>117.277</v>
      </c>
      <c r="I150" s="11">
        <f>[1]ALL!H489</f>
        <v>102.291</v>
      </c>
      <c r="J150" s="11">
        <f>[1]ALL!I489</f>
        <v>112.414</v>
      </c>
      <c r="K150" s="11">
        <f>[1]ALL!J489</f>
        <v>117.277</v>
      </c>
      <c r="L150" s="11">
        <f>[1]ALL!K489</f>
        <v>91.134100000000004</v>
      </c>
      <c r="M150" s="11">
        <f>[1]ALL!L489</f>
        <v>117.074</v>
      </c>
      <c r="N150" s="11">
        <f>[1]ALL!M489</f>
        <v>38.848700000000001</v>
      </c>
      <c r="O150" s="11">
        <f>[1]ALL!N489</f>
        <v>0</v>
      </c>
      <c r="P150" s="11">
        <f>[1]ALL!O489</f>
        <v>0</v>
      </c>
      <c r="Q150" s="11">
        <f>[1]ALL!P489</f>
        <v>0</v>
      </c>
      <c r="R150" s="11">
        <f>[1]ALL!Q489</f>
        <v>0</v>
      </c>
      <c r="S150" s="11">
        <f>[1]ALL!R146</f>
        <v>0</v>
      </c>
      <c r="T150" s="9"/>
      <c r="U150" s="9"/>
      <c r="V150" s="10"/>
    </row>
    <row r="151" spans="1:22">
      <c r="A151" s="2">
        <v>259</v>
      </c>
      <c r="B151" s="1" t="str">
        <f>[1]ALL!A260</f>
        <v>4828B</v>
      </c>
      <c r="C151" s="2" t="str">
        <f>[1]ALL!B260</f>
        <v>BrewTech Robotics - B</v>
      </c>
      <c r="D151" s="2" t="str">
        <f>[1]ALL!C260</f>
        <v>Brewbaker Technology Magnet High School</v>
      </c>
      <c r="E151" s="2" t="str">
        <f>[1]ALL!D260</f>
        <v>Montgomery, Alabama, United States</v>
      </c>
      <c r="F151" s="8">
        <f>[1]ALL!E260</f>
        <v>168</v>
      </c>
      <c r="G151" s="8">
        <f>[1]ALL!F260</f>
        <v>166</v>
      </c>
      <c r="H151" s="8">
        <f>[1]ALL!G260</f>
        <v>66.389200000000002</v>
      </c>
      <c r="I151" s="11">
        <f>[1]ALL!H260</f>
        <v>66.389200000000002</v>
      </c>
      <c r="J151" s="11">
        <f>[1]ALL!I260</f>
        <v>55.332500000000003</v>
      </c>
      <c r="K151" s="11">
        <f>[1]ALL!J260</f>
        <v>25.825099999999999</v>
      </c>
      <c r="L151" s="11">
        <f>[1]ALL!K260</f>
        <v>53.729799999999997</v>
      </c>
      <c r="M151" s="11">
        <f>[1]ALL!L260</f>
        <v>0</v>
      </c>
      <c r="N151" s="11">
        <f>[1]ALL!M260</f>
        <v>0</v>
      </c>
      <c r="O151" s="11">
        <f>[1]ALL!N260</f>
        <v>0</v>
      </c>
      <c r="P151" s="11">
        <f>[1]ALL!O260</f>
        <v>0</v>
      </c>
      <c r="Q151" s="11">
        <f>[1]ALL!P260</f>
        <v>0</v>
      </c>
      <c r="R151" s="11">
        <f>[1]ALL!Q260</f>
        <v>0</v>
      </c>
      <c r="S151" s="11">
        <f>[1]ALL!R147</f>
        <v>0</v>
      </c>
      <c r="T151" s="9"/>
      <c r="U151" s="9"/>
      <c r="V151" s="10"/>
    </row>
    <row r="152" spans="1:22">
      <c r="A152" s="2">
        <v>180</v>
      </c>
      <c r="B152" s="1" t="str">
        <f>[1]ALL!A181</f>
        <v>2501B</v>
      </c>
      <c r="C152" s="2" t="str">
        <f>[1]ALL!B181</f>
        <v>Optimus Dime</v>
      </c>
      <c r="D152" s="2" t="str">
        <f>[1]ALL!C181</f>
        <v>Thomas Jefferson High School</v>
      </c>
      <c r="E152" s="2" t="str">
        <f>[1]ALL!D181</f>
        <v>Council Bluffs, Iowa, United States</v>
      </c>
      <c r="F152" s="8">
        <f>[1]ALL!E181</f>
        <v>320</v>
      </c>
      <c r="G152" s="8">
        <f>[1]ALL!F181</f>
        <v>165</v>
      </c>
      <c r="H152" s="8">
        <f>[1]ALL!G181</f>
        <v>125.633</v>
      </c>
      <c r="I152" s="11">
        <f>[1]ALL!H181</f>
        <v>125.633</v>
      </c>
      <c r="J152" s="11">
        <f>[1]ALL!I181</f>
        <v>115.10899999999999</v>
      </c>
      <c r="K152" s="11">
        <f>[1]ALL!J181</f>
        <v>124.054</v>
      </c>
      <c r="L152" s="11">
        <f>[1]ALL!K181</f>
        <v>96.656000000000006</v>
      </c>
      <c r="M152" s="11">
        <f>[1]ALL!L181</f>
        <v>73.591899999999995</v>
      </c>
      <c r="N152" s="11">
        <f>[1]ALL!M181</f>
        <v>103.133</v>
      </c>
      <c r="O152" s="11">
        <f>[1]ALL!N181</f>
        <v>85.756500000000003</v>
      </c>
      <c r="P152" s="11">
        <f>[1]ALL!O181</f>
        <v>60.847000000000001</v>
      </c>
      <c r="Q152" s="11">
        <f>[1]ALL!P181</f>
        <v>25.008400000000002</v>
      </c>
      <c r="R152" s="11">
        <f>[1]ALL!Q181</f>
        <v>62.213200000000001</v>
      </c>
      <c r="S152" s="11">
        <f>[1]ALL!R148</f>
        <v>0</v>
      </c>
      <c r="T152" s="9"/>
      <c r="U152" s="9"/>
      <c r="V152" s="10"/>
    </row>
    <row r="153" spans="1:22">
      <c r="A153" s="2">
        <v>473</v>
      </c>
      <c r="B153" s="1" t="str">
        <f>[1]ALL!A474</f>
        <v>9848</v>
      </c>
      <c r="C153" s="2" t="str">
        <f>[1]ALL!B474</f>
        <v>MCHS Tigers</v>
      </c>
      <c r="D153" s="2" t="str">
        <f>[1]ALL!C474</f>
        <v>Madison County High School</v>
      </c>
      <c r="E153" s="2" t="str">
        <f>[1]ALL!D474</f>
        <v>Gurley, Alabama, United States</v>
      </c>
      <c r="F153" s="8">
        <f>[1]ALL!E474</f>
        <v>205</v>
      </c>
      <c r="G153" s="8">
        <f>[1]ALL!F474</f>
        <v>164</v>
      </c>
      <c r="H153" s="8">
        <f>[1]ALL!G474</f>
        <v>109.57299999999999</v>
      </c>
      <c r="I153" s="11">
        <f>[1]ALL!H474</f>
        <v>37.754199999999997</v>
      </c>
      <c r="J153" s="11">
        <f>[1]ALL!I474</f>
        <v>34.2866</v>
      </c>
      <c r="K153" s="11">
        <f>[1]ALL!J474</f>
        <v>62.601999999999997</v>
      </c>
      <c r="L153" s="11">
        <f>[1]ALL!K474</f>
        <v>109.57299999999999</v>
      </c>
      <c r="M153" s="11">
        <f>[1]ALL!L474</f>
        <v>89.790499999999994</v>
      </c>
      <c r="N153" s="11">
        <f>[1]ALL!M474</f>
        <v>0</v>
      </c>
      <c r="O153" s="11">
        <f>[1]ALL!N474</f>
        <v>0</v>
      </c>
      <c r="P153" s="11">
        <f>[1]ALL!O474</f>
        <v>0</v>
      </c>
      <c r="Q153" s="11">
        <f>[1]ALL!P474</f>
        <v>0</v>
      </c>
      <c r="R153" s="11">
        <f>[1]ALL!Q474</f>
        <v>0</v>
      </c>
      <c r="S153" s="11">
        <f>[1]ALL!R149</f>
        <v>0</v>
      </c>
      <c r="T153" s="9"/>
      <c r="U153" s="9"/>
      <c r="V153" s="10"/>
    </row>
    <row r="154" spans="1:22">
      <c r="A154" s="2">
        <v>119</v>
      </c>
      <c r="B154" s="1" t="str">
        <f>[1]ALL!A120</f>
        <v>1267C</v>
      </c>
      <c r="C154" s="2" t="str">
        <f>[1]ALL!B120</f>
        <v>Knights</v>
      </c>
      <c r="D154" s="2" t="str">
        <f>[1]ALL!C120</f>
        <v>Delaware County Christian School</v>
      </c>
      <c r="E154" s="2" t="str">
        <f>[1]ALL!D120</f>
        <v>Newtown Square, Pennsylvania, United States</v>
      </c>
      <c r="F154" s="8">
        <f>[1]ALL!E120</f>
        <v>53</v>
      </c>
      <c r="G154" s="8">
        <f>[1]ALL!F120</f>
        <v>164</v>
      </c>
      <c r="H154" s="8">
        <f>[1]ALL!G120</f>
        <v>87.575199999999995</v>
      </c>
      <c r="I154" s="11">
        <f>[1]ALL!H120</f>
        <v>51.844099999999997</v>
      </c>
      <c r="J154" s="11">
        <f>[1]ALL!I120</f>
        <v>54.921500000000002</v>
      </c>
      <c r="K154" s="11">
        <f>[1]ALL!J120</f>
        <v>28.636199999999999</v>
      </c>
      <c r="L154" s="11">
        <f>[1]ALL!K120</f>
        <v>87.575199999999995</v>
      </c>
      <c r="M154" s="11">
        <f>[1]ALL!L120</f>
        <v>44.664400000000001</v>
      </c>
      <c r="N154" s="11">
        <f>[1]ALL!M120</f>
        <v>0</v>
      </c>
      <c r="O154" s="11">
        <f>[1]ALL!N120</f>
        <v>-13.464499999999999</v>
      </c>
      <c r="P154" s="11">
        <f>[1]ALL!O120</f>
        <v>-8.0230300000000004E-2</v>
      </c>
      <c r="Q154" s="11">
        <f>[1]ALL!P120</f>
        <v>0</v>
      </c>
      <c r="R154" s="11">
        <f>[1]ALL!Q120</f>
        <v>0</v>
      </c>
      <c r="S154" s="11">
        <f>[1]ALL!R150</f>
        <v>0</v>
      </c>
      <c r="T154" s="9"/>
      <c r="U154" s="9"/>
      <c r="V154" s="10"/>
    </row>
    <row r="155" spans="1:22">
      <c r="A155" s="2">
        <v>178</v>
      </c>
      <c r="B155" s="1" t="str">
        <f>[1]ALL!A179</f>
        <v>2442C</v>
      </c>
      <c r="C155" s="2" t="str">
        <f>[1]ALL!B179</f>
        <v>Bancroft Robodogs C</v>
      </c>
      <c r="D155" s="2" t="str">
        <f>[1]ALL!C179</f>
        <v>Bancroft School</v>
      </c>
      <c r="E155" s="2" t="str">
        <f>[1]ALL!D179</f>
        <v>Worcester, Massachusetts, United States</v>
      </c>
      <c r="F155" s="8">
        <f>[1]ALL!E179</f>
        <v>225</v>
      </c>
      <c r="G155" s="8">
        <f>[1]ALL!F179</f>
        <v>163</v>
      </c>
      <c r="H155" s="8">
        <f>[1]ALL!G179</f>
        <v>91.221199999999996</v>
      </c>
      <c r="I155" s="11">
        <f>[1]ALL!H179</f>
        <v>81.444800000000001</v>
      </c>
      <c r="J155" s="11">
        <f>[1]ALL!I179</f>
        <v>91.221199999999996</v>
      </c>
      <c r="K155" s="11">
        <f>[1]ALL!J179</f>
        <v>76.431299999999993</v>
      </c>
      <c r="L155" s="11">
        <f>[1]ALL!K179</f>
        <v>81.802800000000005</v>
      </c>
      <c r="M155" s="11">
        <f>[1]ALL!L179</f>
        <v>74.227900000000005</v>
      </c>
      <c r="N155" s="11">
        <f>[1]ALL!M179</f>
        <v>0</v>
      </c>
      <c r="O155" s="11">
        <f>[1]ALL!N179</f>
        <v>0</v>
      </c>
      <c r="P155" s="11">
        <f>[1]ALL!O179</f>
        <v>0</v>
      </c>
      <c r="Q155" s="11">
        <f>[1]ALL!P179</f>
        <v>0</v>
      </c>
      <c r="R155" s="11">
        <f>[1]ALL!Q179</f>
        <v>0</v>
      </c>
      <c r="S155" s="11">
        <f>[1]ALL!R151</f>
        <v>0</v>
      </c>
      <c r="T155" s="9"/>
      <c r="U155" s="9"/>
      <c r="V155" s="10"/>
    </row>
    <row r="156" spans="1:22">
      <c r="A156" s="2">
        <v>124</v>
      </c>
      <c r="B156" s="1" t="str">
        <f>[1]ALL!A125</f>
        <v>1344B</v>
      </c>
      <c r="C156" s="2" t="str">
        <f>[1]ALL!B125</f>
        <v>James Ford Rhodes</v>
      </c>
      <c r="D156" s="2" t="str">
        <f>[1]ALL!C125</f>
        <v>James Ford Rhodes</v>
      </c>
      <c r="E156" s="2" t="str">
        <f>[1]ALL!D125</f>
        <v>Cleveland, Ohio, United States</v>
      </c>
      <c r="F156" s="8">
        <f>[1]ALL!E125</f>
        <v>285</v>
      </c>
      <c r="G156" s="8">
        <f>[1]ALL!F125</f>
        <v>161</v>
      </c>
      <c r="H156" s="8">
        <f>[1]ALL!G125</f>
        <v>138.44200000000001</v>
      </c>
      <c r="I156" s="11">
        <f>[1]ALL!H125</f>
        <v>138.44200000000001</v>
      </c>
      <c r="J156" s="11">
        <f>[1]ALL!I125</f>
        <v>50.540300000000002</v>
      </c>
      <c r="K156" s="11">
        <f>[1]ALL!J125</f>
        <v>23.257999999999999</v>
      </c>
      <c r="L156" s="11">
        <f>[1]ALL!K125</f>
        <v>0</v>
      </c>
      <c r="M156" s="11">
        <f>[1]ALL!L125</f>
        <v>0</v>
      </c>
      <c r="N156" s="11">
        <f>[1]ALL!M125</f>
        <v>0</v>
      </c>
      <c r="O156" s="11">
        <f>[1]ALL!N125</f>
        <v>0</v>
      </c>
      <c r="P156" s="11">
        <f>[1]ALL!O125</f>
        <v>0</v>
      </c>
      <c r="Q156" s="11">
        <f>[1]ALL!P125</f>
        <v>0</v>
      </c>
      <c r="R156" s="11">
        <f>[1]ALL!Q125</f>
        <v>0</v>
      </c>
      <c r="S156" s="11">
        <f>[1]ALL!R152</f>
        <v>0</v>
      </c>
      <c r="T156" s="9"/>
      <c r="U156" s="9"/>
      <c r="V156" s="10"/>
    </row>
    <row r="157" spans="1:22">
      <c r="A157" s="2">
        <v>95</v>
      </c>
      <c r="B157" s="1" t="str">
        <f>[1]ALL!A96</f>
        <v>986A</v>
      </c>
      <c r="C157" s="2" t="str">
        <f>[1]ALL!B96</f>
        <v>Lancers A</v>
      </c>
      <c r="D157" s="2" t="str">
        <f>[1]ALL!C96</f>
        <v>Grace Brethren JH/High School</v>
      </c>
      <c r="E157" s="2" t="str">
        <f>[1]ALL!D96</f>
        <v>Simi Valley, California, United States</v>
      </c>
      <c r="F157" s="8">
        <f>[1]ALL!E96</f>
        <v>261</v>
      </c>
      <c r="G157" s="8">
        <f>[1]ALL!F96</f>
        <v>161</v>
      </c>
      <c r="H157" s="8">
        <f>[1]ALL!G96</f>
        <v>147.101</v>
      </c>
      <c r="I157" s="11">
        <f>[1]ALL!H96</f>
        <v>121.045</v>
      </c>
      <c r="J157" s="11">
        <f>[1]ALL!I96</f>
        <v>147.101</v>
      </c>
      <c r="K157" s="11">
        <f>[1]ALL!J96</f>
        <v>141.51900000000001</v>
      </c>
      <c r="L157" s="11">
        <f>[1]ALL!K96</f>
        <v>97.788399999999996</v>
      </c>
      <c r="M157" s="11">
        <f>[1]ALL!L96</f>
        <v>108.117</v>
      </c>
      <c r="N157" s="11">
        <f>[1]ALL!M96</f>
        <v>0</v>
      </c>
      <c r="O157" s="11">
        <f>[1]ALL!N96</f>
        <v>0</v>
      </c>
      <c r="P157" s="11">
        <f>[1]ALL!O96</f>
        <v>0</v>
      </c>
      <c r="Q157" s="11">
        <f>[1]ALL!P96</f>
        <v>0</v>
      </c>
      <c r="R157" s="11">
        <f>[1]ALL!Q96</f>
        <v>0</v>
      </c>
      <c r="S157" s="11">
        <f>[1]ALL!R153</f>
        <v>0</v>
      </c>
      <c r="T157" s="9"/>
      <c r="U157" s="9"/>
      <c r="V157" s="10"/>
    </row>
    <row r="158" spans="1:22">
      <c r="A158" s="2">
        <v>186</v>
      </c>
      <c r="B158" s="1" t="str">
        <f>[1]ALL!A187</f>
        <v>2587Z</v>
      </c>
      <c r="C158" s="2" t="str">
        <f>[1]ALL!B187</f>
        <v>DiscoBots ℤ - 🍁 #pray4tamas</v>
      </c>
      <c r="D158" s="2" t="str">
        <f>[1]ALL!C187</f>
        <v>🏀 DiscoBots 🏀</v>
      </c>
      <c r="E158" s="2" t="str">
        <f>[1]ALL!D187</f>
        <v>Houston, Texas, United States</v>
      </c>
      <c r="F158" s="8">
        <f>[1]ALL!E187</f>
        <v>457</v>
      </c>
      <c r="G158" s="8">
        <f>[1]ALL!F187</f>
        <v>160</v>
      </c>
      <c r="H158" s="8">
        <f>[1]ALL!G187</f>
        <v>147.64500000000001</v>
      </c>
      <c r="I158" s="11">
        <f>[1]ALL!H187</f>
        <v>123.07</v>
      </c>
      <c r="J158" s="11">
        <f>[1]ALL!I187</f>
        <v>147.64500000000001</v>
      </c>
      <c r="K158" s="11">
        <f>[1]ALL!J187</f>
        <v>85.149299999999997</v>
      </c>
      <c r="L158" s="11">
        <f>[1]ALL!K187</f>
        <v>0</v>
      </c>
      <c r="M158" s="11">
        <f>[1]ALL!L187</f>
        <v>0</v>
      </c>
      <c r="N158" s="11">
        <f>[1]ALL!M187</f>
        <v>0</v>
      </c>
      <c r="O158" s="11">
        <f>[1]ALL!N187</f>
        <v>0</v>
      </c>
      <c r="P158" s="11">
        <f>[1]ALL!O187</f>
        <v>0</v>
      </c>
      <c r="Q158" s="11">
        <f>[1]ALL!P187</f>
        <v>0</v>
      </c>
      <c r="R158" s="11">
        <f>[1]ALL!Q187</f>
        <v>0</v>
      </c>
      <c r="S158" s="11">
        <f>[1]ALL!R154</f>
        <v>0</v>
      </c>
      <c r="T158" s="9"/>
      <c r="U158" s="9"/>
      <c r="V158" s="10"/>
    </row>
    <row r="159" spans="1:22">
      <c r="A159" s="2">
        <v>8</v>
      </c>
      <c r="B159" s="1" t="str">
        <f>[1]ALL!A9</f>
        <v>24B</v>
      </c>
      <c r="C159" s="2" t="str">
        <f>[1]ALL!B9</f>
        <v>Super Sonic Sparks B</v>
      </c>
      <c r="D159" s="2" t="str">
        <f>[1]ALL!C9</f>
        <v>SPARKS 4-H Club</v>
      </c>
      <c r="E159" s="2" t="str">
        <f>[1]ALL!D9</f>
        <v>Westminster, Maryland, United States</v>
      </c>
      <c r="F159" s="8">
        <f>[1]ALL!E9</f>
        <v>360</v>
      </c>
      <c r="G159" s="8">
        <f>[1]ALL!F9</f>
        <v>160</v>
      </c>
      <c r="H159" s="8">
        <f>[1]ALL!G9</f>
        <v>95.878</v>
      </c>
      <c r="I159" s="11">
        <f>[1]ALL!H9</f>
        <v>88.948099999999997</v>
      </c>
      <c r="J159" s="11">
        <f>[1]ALL!I9</f>
        <v>45.969200000000001</v>
      </c>
      <c r="K159" s="11">
        <f>[1]ALL!J9</f>
        <v>45.494300000000003</v>
      </c>
      <c r="L159" s="11">
        <f>[1]ALL!K9</f>
        <v>95.878</v>
      </c>
      <c r="M159" s="11">
        <f>[1]ALL!L9</f>
        <v>51.261200000000002</v>
      </c>
      <c r="N159" s="11">
        <f>[1]ALL!M9</f>
        <v>0</v>
      </c>
      <c r="O159" s="11">
        <f>[1]ALL!N9</f>
        <v>0</v>
      </c>
      <c r="P159" s="11">
        <f>[1]ALL!O9</f>
        <v>0</v>
      </c>
      <c r="Q159" s="11">
        <f>[1]ALL!P9</f>
        <v>0</v>
      </c>
      <c r="R159" s="11">
        <f>[1]ALL!Q9</f>
        <v>0</v>
      </c>
      <c r="S159" s="11">
        <f>[1]ALL!R155</f>
        <v>0</v>
      </c>
      <c r="T159" s="9"/>
      <c r="U159" s="9"/>
      <c r="V159" s="10"/>
    </row>
    <row r="160" spans="1:22">
      <c r="A160" s="2">
        <v>194</v>
      </c>
      <c r="B160" s="1" t="str">
        <f>[1]ALL!A195</f>
        <v>2915A</v>
      </c>
      <c r="C160" s="2" t="str">
        <f>[1]ALL!B195</f>
        <v>Lynfield College Robotics</v>
      </c>
      <c r="D160" s="2" t="str">
        <f>[1]ALL!C195</f>
        <v>Lynfield College</v>
      </c>
      <c r="E160" s="2" t="str">
        <f>[1]ALL!D195</f>
        <v>Auckland, Not Applicable or Not Listed, New Zealand</v>
      </c>
      <c r="F160" s="8">
        <f>[1]ALL!E195</f>
        <v>352</v>
      </c>
      <c r="G160" s="8">
        <f>[1]ALL!F195</f>
        <v>160</v>
      </c>
      <c r="H160" s="8">
        <f>[1]ALL!G195</f>
        <v>146.11500000000001</v>
      </c>
      <c r="I160" s="11">
        <f>[1]ALL!H195</f>
        <v>146.11500000000001</v>
      </c>
      <c r="J160" s="11">
        <f>[1]ALL!I195</f>
        <v>129.00299999999999</v>
      </c>
      <c r="K160" s="11">
        <f>[1]ALL!J195</f>
        <v>88.495599999999996</v>
      </c>
      <c r="L160" s="11">
        <f>[1]ALL!K195</f>
        <v>0</v>
      </c>
      <c r="M160" s="11">
        <f>[1]ALL!L195</f>
        <v>0</v>
      </c>
      <c r="N160" s="11">
        <f>[1]ALL!M195</f>
        <v>0</v>
      </c>
      <c r="O160" s="11">
        <f>[1]ALL!N195</f>
        <v>0</v>
      </c>
      <c r="P160" s="11">
        <f>[1]ALL!O195</f>
        <v>0</v>
      </c>
      <c r="Q160" s="11">
        <f>[1]ALL!P195</f>
        <v>0</v>
      </c>
      <c r="R160" s="11">
        <f>[1]ALL!Q195</f>
        <v>0</v>
      </c>
      <c r="S160" s="11">
        <f>[1]ALL!R156</f>
        <v>0</v>
      </c>
      <c r="T160" s="9"/>
      <c r="U160" s="9"/>
      <c r="V160" s="10"/>
    </row>
    <row r="161" spans="1:22">
      <c r="A161" s="2">
        <v>17</v>
      </c>
      <c r="B161" s="1" t="str">
        <f>[1]ALL!A18</f>
        <v>62</v>
      </c>
      <c r="C161" s="2" t="str">
        <f>[1]ALL!B18</f>
        <v>Kanagasabapathys</v>
      </c>
      <c r="D161" s="2" t="str">
        <f>[1]ALL!C18</f>
        <v>Harvard-Westlake</v>
      </c>
      <c r="E161" s="2" t="str">
        <f>[1]ALL!D18</f>
        <v>Studio City, California, United States</v>
      </c>
      <c r="F161" s="8">
        <f>[1]ALL!E18</f>
        <v>345</v>
      </c>
      <c r="G161" s="8">
        <f>[1]ALL!F18</f>
        <v>160</v>
      </c>
      <c r="H161" s="8">
        <f>[1]ALL!G18</f>
        <v>126.161</v>
      </c>
      <c r="I161" s="11">
        <f>[1]ALL!H18</f>
        <v>90.535600000000002</v>
      </c>
      <c r="J161" s="11">
        <f>[1]ALL!I18</f>
        <v>126.161</v>
      </c>
      <c r="K161" s="11">
        <f>[1]ALL!J18</f>
        <v>26.6843</v>
      </c>
      <c r="L161" s="11">
        <f>[1]ALL!K18</f>
        <v>84.885999999999996</v>
      </c>
      <c r="M161" s="11">
        <f>[1]ALL!L18</f>
        <v>121.535</v>
      </c>
      <c r="N161" s="11">
        <f>[1]ALL!M18</f>
        <v>73.419799999999995</v>
      </c>
      <c r="O161" s="11">
        <f>[1]ALL!N18</f>
        <v>0</v>
      </c>
      <c r="P161" s="11">
        <f>[1]ALL!O18</f>
        <v>0</v>
      </c>
      <c r="Q161" s="11">
        <f>[1]ALL!P18</f>
        <v>0</v>
      </c>
      <c r="R161" s="11">
        <f>[1]ALL!Q18</f>
        <v>0</v>
      </c>
      <c r="S161" s="11">
        <f>[1]ALL!R157</f>
        <v>0</v>
      </c>
      <c r="T161" s="9"/>
      <c r="U161" s="9"/>
      <c r="V161" s="10"/>
    </row>
    <row r="162" spans="1:22">
      <c r="A162" s="2">
        <v>366</v>
      </c>
      <c r="B162" s="1" t="str">
        <f>[1]ALL!A367</f>
        <v>7232Z</v>
      </c>
      <c r="C162" s="2" t="str">
        <f>[1]ALL!B367</f>
        <v>Cyber Pirates</v>
      </c>
      <c r="D162" s="2" t="str">
        <f>[1]ALL!C367</f>
        <v>Belton High School</v>
      </c>
      <c r="E162" s="2" t="str">
        <f>[1]ALL!D367</f>
        <v>Belton, Missouri, United States</v>
      </c>
      <c r="F162" s="8">
        <f>[1]ALL!E367</f>
        <v>341</v>
      </c>
      <c r="G162" s="8">
        <f>[1]ALL!F367</f>
        <v>160</v>
      </c>
      <c r="H162" s="8">
        <f>[1]ALL!G367</f>
        <v>142.72900000000001</v>
      </c>
      <c r="I162" s="11">
        <f>[1]ALL!H367</f>
        <v>139.12899999999999</v>
      </c>
      <c r="J162" s="11">
        <f>[1]ALL!I367</f>
        <v>142.72900000000001</v>
      </c>
      <c r="K162" s="11">
        <f>[1]ALL!J367</f>
        <v>76.161500000000004</v>
      </c>
      <c r="L162" s="11">
        <f>[1]ALL!K367</f>
        <v>117.514</v>
      </c>
      <c r="M162" s="11">
        <f>[1]ALL!L367</f>
        <v>71.346500000000006</v>
      </c>
      <c r="N162" s="11">
        <f>[1]ALL!M367</f>
        <v>52.382800000000003</v>
      </c>
      <c r="O162" s="11">
        <f>[1]ALL!N367</f>
        <v>44.479700000000001</v>
      </c>
      <c r="P162" s="11">
        <f>[1]ALL!O367</f>
        <v>68.893799999999999</v>
      </c>
      <c r="Q162" s="11">
        <f>[1]ALL!P367</f>
        <v>86.416899999999998</v>
      </c>
      <c r="R162" s="11">
        <f>[1]ALL!Q367</f>
        <v>0</v>
      </c>
      <c r="S162" s="11">
        <f>[1]ALL!R158</f>
        <v>0</v>
      </c>
      <c r="T162" s="9"/>
      <c r="U162" s="9"/>
      <c r="V162" s="10"/>
    </row>
    <row r="163" spans="1:22">
      <c r="A163" s="2">
        <v>364</v>
      </c>
      <c r="B163" s="1" t="str">
        <f>[1]ALL!A365</f>
        <v>7232</v>
      </c>
      <c r="C163" s="2" t="str">
        <f>[1]ALL!B365</f>
        <v>Cyber Pirates</v>
      </c>
      <c r="D163" s="2" t="str">
        <f>[1]ALL!C365</f>
        <v>Belton High School</v>
      </c>
      <c r="E163" s="2" t="str">
        <f>[1]ALL!D365</f>
        <v>Belton, Missouri, United States</v>
      </c>
      <c r="F163" s="8">
        <f>[1]ALL!E365</f>
        <v>317</v>
      </c>
      <c r="G163" s="8">
        <f>[1]ALL!F365</f>
        <v>160</v>
      </c>
      <c r="H163" s="8">
        <f>[1]ALL!G365</f>
        <v>114.46299999999999</v>
      </c>
      <c r="I163" s="11">
        <f>[1]ALL!H365</f>
        <v>108.22</v>
      </c>
      <c r="J163" s="11">
        <f>[1]ALL!I365</f>
        <v>114.46299999999999</v>
      </c>
      <c r="K163" s="11">
        <f>[1]ALL!J365</f>
        <v>49.290799999999997</v>
      </c>
      <c r="L163" s="11">
        <f>[1]ALL!K365</f>
        <v>90.782300000000006</v>
      </c>
      <c r="M163" s="11">
        <f>[1]ALL!L365</f>
        <v>19.2805</v>
      </c>
      <c r="N163" s="11">
        <f>[1]ALL!M365</f>
        <v>80.541899999999998</v>
      </c>
      <c r="O163" s="11">
        <f>[1]ALL!N365</f>
        <v>83.546000000000006</v>
      </c>
      <c r="P163" s="11">
        <f>[1]ALL!O365</f>
        <v>70.491900000000001</v>
      </c>
      <c r="Q163" s="11">
        <f>[1]ALL!P365</f>
        <v>82.013800000000003</v>
      </c>
      <c r="R163" s="11">
        <f>[1]ALL!Q365</f>
        <v>0</v>
      </c>
      <c r="S163" s="11">
        <f>[1]ALL!R159</f>
        <v>0</v>
      </c>
      <c r="T163" s="9"/>
      <c r="U163" s="9"/>
      <c r="V163" s="10"/>
    </row>
    <row r="164" spans="1:22">
      <c r="A164" s="2">
        <v>102</v>
      </c>
      <c r="B164" s="1" t="str">
        <f>[1]ALL!A103</f>
        <v>1064A</v>
      </c>
      <c r="C164" s="2" t="str">
        <f>[1]ALL!B103</f>
        <v>OPS - Nebraska Nerd Herd</v>
      </c>
      <c r="D164" s="2" t="str">
        <f>[1]ALL!C103</f>
        <v>Omaha North Magnet High School</v>
      </c>
      <c r="E164" s="2" t="str">
        <f>[1]ALL!D103</f>
        <v>Omaha, Nebraska, United States</v>
      </c>
      <c r="F164" s="8">
        <f>[1]ALL!E103</f>
        <v>295</v>
      </c>
      <c r="G164" s="8">
        <f>[1]ALL!F103</f>
        <v>160</v>
      </c>
      <c r="H164" s="8">
        <f>[1]ALL!G103</f>
        <v>150.851</v>
      </c>
      <c r="I164" s="11">
        <f>[1]ALL!H103</f>
        <v>145.79499999999999</v>
      </c>
      <c r="J164" s="11">
        <f>[1]ALL!I103</f>
        <v>134.976</v>
      </c>
      <c r="K164" s="11">
        <f>[1]ALL!J103</f>
        <v>132.99199999999999</v>
      </c>
      <c r="L164" s="11">
        <f>[1]ALL!K103</f>
        <v>150.851</v>
      </c>
      <c r="M164" s="11">
        <f>[1]ALL!L103</f>
        <v>108.76900000000001</v>
      </c>
      <c r="N164" s="11">
        <f>[1]ALL!M103</f>
        <v>63.1111</v>
      </c>
      <c r="O164" s="11">
        <f>[1]ALL!N103</f>
        <v>47.601999999999997</v>
      </c>
      <c r="P164" s="11">
        <f>[1]ALL!O103</f>
        <v>0</v>
      </c>
      <c r="Q164" s="11">
        <f>[1]ALL!P103</f>
        <v>0</v>
      </c>
      <c r="R164" s="11">
        <f>[1]ALL!Q103</f>
        <v>0</v>
      </c>
      <c r="S164" s="11">
        <f>[1]ALL!R160</f>
        <v>0</v>
      </c>
      <c r="T164" s="9"/>
      <c r="U164" s="9"/>
      <c r="V164" s="10"/>
    </row>
    <row r="165" spans="1:22">
      <c r="A165" s="2">
        <v>287</v>
      </c>
      <c r="B165" s="1" t="str">
        <f>[1]ALL!A288</f>
        <v>5454F</v>
      </c>
      <c r="C165" s="2" t="str">
        <f>[1]ALL!B288</f>
        <v>FLAMINGOS</v>
      </c>
      <c r="D165" s="2" t="str">
        <f>[1]ALL!C288</f>
        <v>Elkhorn Crossing School</v>
      </c>
      <c r="E165" s="2" t="str">
        <f>[1]ALL!D288</f>
        <v>Georgetown, Kentucky, United States</v>
      </c>
      <c r="F165" s="8">
        <f>[1]ALL!E288</f>
        <v>290</v>
      </c>
      <c r="G165" s="8">
        <f>[1]ALL!F288</f>
        <v>160</v>
      </c>
      <c r="H165" s="8">
        <f>[1]ALL!G288</f>
        <v>122.809</v>
      </c>
      <c r="I165" s="11">
        <f>[1]ALL!H288</f>
        <v>114.095</v>
      </c>
      <c r="J165" s="11">
        <f>[1]ALL!I288</f>
        <v>116.666</v>
      </c>
      <c r="K165" s="11">
        <f>[1]ALL!J288</f>
        <v>122.809</v>
      </c>
      <c r="L165" s="11">
        <f>[1]ALL!K288</f>
        <v>52.152000000000001</v>
      </c>
      <c r="M165" s="11">
        <f>[1]ALL!L288</f>
        <v>31.690200000000001</v>
      </c>
      <c r="N165" s="11">
        <f>[1]ALL!M288</f>
        <v>9.6425400000000003</v>
      </c>
      <c r="O165" s="11">
        <f>[1]ALL!N288</f>
        <v>14.485099999999999</v>
      </c>
      <c r="P165" s="11">
        <f>[1]ALL!O288</f>
        <v>14.7494</v>
      </c>
      <c r="Q165" s="11">
        <f>[1]ALL!P288</f>
        <v>0</v>
      </c>
      <c r="R165" s="11">
        <f>[1]ALL!Q288</f>
        <v>0</v>
      </c>
      <c r="S165" s="11">
        <f>[1]ALL!R161</f>
        <v>0</v>
      </c>
      <c r="T165" s="9"/>
      <c r="U165" s="9"/>
      <c r="V165" s="10"/>
    </row>
    <row r="166" spans="1:22">
      <c r="A166" s="2">
        <v>51</v>
      </c>
      <c r="B166" s="1" t="str">
        <f>[1]ALL!A52</f>
        <v>333R</v>
      </c>
      <c r="C166" s="2" t="str">
        <f>[1]ALL!B52</f>
        <v>Los Robos</v>
      </c>
      <c r="D166" s="2" t="str">
        <f>[1]ALL!C52</f>
        <v>Niles North Robotics</v>
      </c>
      <c r="E166" s="2" t="str">
        <f>[1]ALL!D52</f>
        <v>Skokie, Illinois, United States</v>
      </c>
      <c r="F166" s="8">
        <f>[1]ALL!E52</f>
        <v>266</v>
      </c>
      <c r="G166" s="8">
        <f>[1]ALL!F52</f>
        <v>160</v>
      </c>
      <c r="H166" s="8">
        <f>[1]ALL!G52</f>
        <v>110.294</v>
      </c>
      <c r="I166" s="11">
        <f>[1]ALL!H52</f>
        <v>62.239899999999999</v>
      </c>
      <c r="J166" s="11">
        <f>[1]ALL!I52</f>
        <v>110.294</v>
      </c>
      <c r="K166" s="11">
        <f>[1]ALL!J52</f>
        <v>99.864699999999999</v>
      </c>
      <c r="L166" s="11">
        <f>[1]ALL!K52</f>
        <v>95.008200000000002</v>
      </c>
      <c r="M166" s="11">
        <f>[1]ALL!L52</f>
        <v>63.525599999999997</v>
      </c>
      <c r="N166" s="11">
        <f>[1]ALL!M52</f>
        <v>0</v>
      </c>
      <c r="O166" s="11">
        <f>[1]ALL!N52</f>
        <v>0</v>
      </c>
      <c r="P166" s="11">
        <f>[1]ALL!O52</f>
        <v>0</v>
      </c>
      <c r="Q166" s="11">
        <f>[1]ALL!P52</f>
        <v>0</v>
      </c>
      <c r="R166" s="11">
        <f>[1]ALL!Q52</f>
        <v>0</v>
      </c>
      <c r="S166" s="11">
        <f>[1]ALL!R162</f>
        <v>0</v>
      </c>
      <c r="T166" s="9"/>
      <c r="U166" s="9"/>
      <c r="V166" s="10"/>
    </row>
    <row r="167" spans="1:22">
      <c r="A167" s="2">
        <v>48</v>
      </c>
      <c r="B167" s="1" t="str">
        <f>[1]ALL!A49</f>
        <v>321A</v>
      </c>
      <c r="C167" s="2" t="str">
        <f>[1]ALL!B49</f>
        <v>Wolves A</v>
      </c>
      <c r="D167" s="2" t="str">
        <f>[1]ALL!C49</f>
        <v>Niles West High School</v>
      </c>
      <c r="E167" s="2" t="str">
        <f>[1]ALL!D49</f>
        <v>Skokie, Illinois, United States</v>
      </c>
      <c r="F167" s="8">
        <f>[1]ALL!E49</f>
        <v>257</v>
      </c>
      <c r="G167" s="8">
        <f>[1]ALL!F49</f>
        <v>160</v>
      </c>
      <c r="H167" s="8">
        <f>[1]ALL!G49</f>
        <v>97.822000000000003</v>
      </c>
      <c r="I167" s="11">
        <f>[1]ALL!H49</f>
        <v>82.062299999999993</v>
      </c>
      <c r="J167" s="11">
        <f>[1]ALL!I49</f>
        <v>97.822000000000003</v>
      </c>
      <c r="K167" s="11">
        <f>[1]ALL!J49</f>
        <v>71.445599999999999</v>
      </c>
      <c r="L167" s="11">
        <f>[1]ALL!K49</f>
        <v>37.102600000000002</v>
      </c>
      <c r="M167" s="11">
        <f>[1]ALL!L49</f>
        <v>0</v>
      </c>
      <c r="N167" s="11">
        <f>[1]ALL!M49</f>
        <v>0</v>
      </c>
      <c r="O167" s="11">
        <f>[1]ALL!N49</f>
        <v>0</v>
      </c>
      <c r="P167" s="11">
        <f>[1]ALL!O49</f>
        <v>0</v>
      </c>
      <c r="Q167" s="11">
        <f>[1]ALL!P49</f>
        <v>0</v>
      </c>
      <c r="R167" s="11">
        <f>[1]ALL!Q49</f>
        <v>0</v>
      </c>
      <c r="S167" s="11">
        <f>[1]ALL!R163</f>
        <v>0</v>
      </c>
      <c r="T167" s="9"/>
      <c r="U167" s="9"/>
      <c r="V167" s="10"/>
    </row>
    <row r="168" spans="1:22">
      <c r="A168" s="2">
        <v>457</v>
      </c>
      <c r="B168" s="1" t="str">
        <f>[1]ALL!A458</f>
        <v>9364</v>
      </c>
      <c r="C168" s="2" t="str">
        <f>[1]ALL!B458</f>
        <v>Iron Eagles</v>
      </c>
      <c r="D168" s="2" t="str">
        <f>[1]ALL!C458</f>
        <v>Brentwood Academy</v>
      </c>
      <c r="E168" s="2" t="str">
        <f>[1]ALL!D458</f>
        <v>Brentwood, Tennessee, United States</v>
      </c>
      <c r="F168" s="8">
        <f>[1]ALL!E458</f>
        <v>245</v>
      </c>
      <c r="G168" s="8">
        <f>[1]ALL!F458</f>
        <v>160</v>
      </c>
      <c r="H168" s="8">
        <f>[1]ALL!G458</f>
        <v>104.468</v>
      </c>
      <c r="I168" s="11">
        <f>[1]ALL!H458</f>
        <v>104.468</v>
      </c>
      <c r="J168" s="11">
        <f>[1]ALL!I458</f>
        <v>81.416799999999995</v>
      </c>
      <c r="K168" s="11">
        <f>[1]ALL!J458</f>
        <v>88.412199999999999</v>
      </c>
      <c r="L168" s="11">
        <f>[1]ALL!K458</f>
        <v>103.43899999999999</v>
      </c>
      <c r="M168" s="11">
        <f>[1]ALL!L458</f>
        <v>51.926000000000002</v>
      </c>
      <c r="N168" s="11">
        <f>[1]ALL!M458</f>
        <v>26.883099999999999</v>
      </c>
      <c r="O168" s="11">
        <f>[1]ALL!N458</f>
        <v>61.805500000000002</v>
      </c>
      <c r="P168" s="11">
        <f>[1]ALL!O458</f>
        <v>57.299199999999999</v>
      </c>
      <c r="Q168" s="11">
        <f>[1]ALL!P458</f>
        <v>0</v>
      </c>
      <c r="R168" s="11">
        <f>[1]ALL!Q458</f>
        <v>0</v>
      </c>
      <c r="S168" s="11">
        <f>[1]ALL!R164</f>
        <v>0</v>
      </c>
      <c r="T168" s="9"/>
      <c r="U168" s="9"/>
      <c r="V168" s="10"/>
    </row>
    <row r="169" spans="1:22">
      <c r="A169" s="2">
        <v>208</v>
      </c>
      <c r="B169" s="1" t="str">
        <f>[1]ALL!A209</f>
        <v>3309A</v>
      </c>
      <c r="C169" s="2" t="str">
        <f>[1]ALL!B209</f>
        <v>Friarbots A</v>
      </c>
      <c r="D169" s="2" t="str">
        <f>[1]ALL!C209</f>
        <v>Servite High School</v>
      </c>
      <c r="E169" s="2" t="str">
        <f>[1]ALL!D209</f>
        <v>Anaheim, California, United States</v>
      </c>
      <c r="F169" s="8">
        <f>[1]ALL!E209</f>
        <v>227</v>
      </c>
      <c r="G169" s="8">
        <f>[1]ALL!F209</f>
        <v>160</v>
      </c>
      <c r="H169" s="8">
        <f>[1]ALL!G209</f>
        <v>83.291899999999998</v>
      </c>
      <c r="I169" s="11">
        <f>[1]ALL!H209</f>
        <v>83.291899999999998</v>
      </c>
      <c r="J169" s="11">
        <f>[1]ALL!I209</f>
        <v>52.331600000000002</v>
      </c>
      <c r="K169" s="11">
        <f>[1]ALL!J209</f>
        <v>43.8628</v>
      </c>
      <c r="L169" s="11">
        <f>[1]ALL!K209</f>
        <v>20.8841</v>
      </c>
      <c r="M169" s="11">
        <f>[1]ALL!L209</f>
        <v>36.772500000000001</v>
      </c>
      <c r="N169" s="11">
        <f>[1]ALL!M209</f>
        <v>58.417200000000001</v>
      </c>
      <c r="O169" s="11">
        <f>[1]ALL!N209</f>
        <v>22.155999999999999</v>
      </c>
      <c r="P169" s="11">
        <f>[1]ALL!O209</f>
        <v>38.387599999999999</v>
      </c>
      <c r="Q169" s="11">
        <f>[1]ALL!P209</f>
        <v>0</v>
      </c>
      <c r="R169" s="11">
        <f>[1]ALL!Q209</f>
        <v>0</v>
      </c>
      <c r="S169" s="11">
        <f>[1]ALL!R165</f>
        <v>0</v>
      </c>
      <c r="T169" s="9"/>
      <c r="U169" s="9"/>
      <c r="V169" s="10"/>
    </row>
    <row r="170" spans="1:22">
      <c r="A170" s="2">
        <v>339</v>
      </c>
      <c r="B170" s="1" t="str">
        <f>[1]ALL!A340</f>
        <v>6526F</v>
      </c>
      <c r="C170" s="2" t="str">
        <f>[1]ALL!B340</f>
        <v>D-High</v>
      </c>
      <c r="D170" s="2" t="str">
        <f>[1]ALL!C340</f>
        <v>Damien High School</v>
      </c>
      <c r="E170" s="2" t="str">
        <f>[1]ALL!D340</f>
        <v>La Verne, California, United States</v>
      </c>
      <c r="F170" s="8">
        <f>[1]ALL!E340</f>
        <v>226</v>
      </c>
      <c r="G170" s="8">
        <f>[1]ALL!F340</f>
        <v>160</v>
      </c>
      <c r="H170" s="8">
        <f>[1]ALL!G340</f>
        <v>75.131299999999996</v>
      </c>
      <c r="I170" s="11">
        <f>[1]ALL!H340</f>
        <v>74.705299999999994</v>
      </c>
      <c r="J170" s="11">
        <f>[1]ALL!I340</f>
        <v>75.131299999999996</v>
      </c>
      <c r="K170" s="11">
        <f>[1]ALL!J340</f>
        <v>28.598700000000001</v>
      </c>
      <c r="L170" s="11">
        <f>[1]ALL!K340</f>
        <v>0</v>
      </c>
      <c r="M170" s="11">
        <f>[1]ALL!L340</f>
        <v>0</v>
      </c>
      <c r="N170" s="11">
        <f>[1]ALL!M340</f>
        <v>0</v>
      </c>
      <c r="O170" s="11">
        <f>[1]ALL!N340</f>
        <v>0</v>
      </c>
      <c r="P170" s="11">
        <f>[1]ALL!O340</f>
        <v>0</v>
      </c>
      <c r="Q170" s="11">
        <f>[1]ALL!P340</f>
        <v>0</v>
      </c>
      <c r="R170" s="11">
        <f>[1]ALL!Q340</f>
        <v>0</v>
      </c>
      <c r="S170" s="11">
        <f>[1]ALL!R166</f>
        <v>0</v>
      </c>
      <c r="T170" s="9"/>
      <c r="U170" s="9"/>
      <c r="V170" s="10"/>
    </row>
    <row r="171" spans="1:22">
      <c r="A171" s="2">
        <v>23</v>
      </c>
      <c r="B171" s="1" t="str">
        <f>[1]ALL!A24</f>
        <v>82M</v>
      </c>
      <c r="C171" s="2" t="str">
        <f>[1]ALL!B24</f>
        <v>T-Raptors M</v>
      </c>
      <c r="D171" s="2" t="str">
        <f>[1]ALL!C24</f>
        <v>Tianjin International School</v>
      </c>
      <c r="E171" s="2" t="str">
        <f>[1]ALL!D24</f>
        <v>Tianjin, N/A, China</v>
      </c>
      <c r="F171" s="8">
        <f>[1]ALL!E24</f>
        <v>146</v>
      </c>
      <c r="G171" s="8">
        <f>[1]ALL!F24</f>
        <v>160</v>
      </c>
      <c r="H171" s="8">
        <f>[1]ALL!G24</f>
        <v>97.378399999999999</v>
      </c>
      <c r="I171" s="11">
        <f>[1]ALL!H24</f>
        <v>44.066899999999997</v>
      </c>
      <c r="J171" s="11">
        <f>[1]ALL!I24</f>
        <v>97.378399999999999</v>
      </c>
      <c r="K171" s="11">
        <f>[1]ALL!J24</f>
        <v>0</v>
      </c>
      <c r="L171" s="11">
        <f>[1]ALL!K24</f>
        <v>0</v>
      </c>
      <c r="M171" s="11">
        <f>[1]ALL!L24</f>
        <v>0</v>
      </c>
      <c r="N171" s="11">
        <f>[1]ALL!M24</f>
        <v>0</v>
      </c>
      <c r="O171" s="11">
        <f>[1]ALL!N24</f>
        <v>0</v>
      </c>
      <c r="P171" s="11">
        <f>[1]ALL!O24</f>
        <v>0</v>
      </c>
      <c r="Q171" s="11">
        <f>[1]ALL!P24</f>
        <v>0</v>
      </c>
      <c r="R171" s="11">
        <f>[1]ALL!Q24</f>
        <v>0</v>
      </c>
      <c r="S171" s="11">
        <f>[1]ALL!R167</f>
        <v>123.547</v>
      </c>
      <c r="T171" s="9"/>
      <c r="U171" s="9"/>
      <c r="V171" s="10"/>
    </row>
    <row r="172" spans="1:22">
      <c r="A172" s="2">
        <v>179</v>
      </c>
      <c r="B172" s="1" t="str">
        <f>[1]ALL!A180</f>
        <v>2460</v>
      </c>
      <c r="C172" s="2" t="str">
        <f>[1]ALL!B180</f>
        <v>Na Paniolo</v>
      </c>
      <c r="D172" s="2" t="str">
        <f>[1]ALL!C180</f>
        <v>Kohala High</v>
      </c>
      <c r="E172" s="2" t="str">
        <f>[1]ALL!D180</f>
        <v>Kapaau, Hawaii, United States</v>
      </c>
      <c r="F172" s="8">
        <f>[1]ALL!E180</f>
        <v>138</v>
      </c>
      <c r="G172" s="8">
        <f>[1]ALL!F180</f>
        <v>158</v>
      </c>
      <c r="H172" s="8">
        <f>[1]ALL!G180</f>
        <v>101.79</v>
      </c>
      <c r="I172" s="11">
        <f>[1]ALL!H180</f>
        <v>101.79</v>
      </c>
      <c r="J172" s="11">
        <f>[1]ALL!I180</f>
        <v>90.394000000000005</v>
      </c>
      <c r="K172" s="11">
        <f>[1]ALL!J180</f>
        <v>89.244</v>
      </c>
      <c r="L172" s="11">
        <f>[1]ALL!K180</f>
        <v>41.800600000000003</v>
      </c>
      <c r="M172" s="11">
        <f>[1]ALL!L180</f>
        <v>36.025700000000001</v>
      </c>
      <c r="N172" s="11">
        <f>[1]ALL!M180</f>
        <v>0</v>
      </c>
      <c r="O172" s="11">
        <f>[1]ALL!N180</f>
        <v>0</v>
      </c>
      <c r="P172" s="11">
        <f>[1]ALL!O180</f>
        <v>0</v>
      </c>
      <c r="Q172" s="11">
        <f>[1]ALL!P180</f>
        <v>0</v>
      </c>
      <c r="R172" s="11">
        <f>[1]ALL!Q180</f>
        <v>0</v>
      </c>
      <c r="S172" s="11">
        <f>[1]ALL!R168</f>
        <v>0</v>
      </c>
      <c r="T172" s="9"/>
      <c r="U172" s="9"/>
      <c r="V172" s="10"/>
    </row>
    <row r="173" spans="1:22">
      <c r="A173" s="2">
        <v>84</v>
      </c>
      <c r="B173" s="1" t="str">
        <f>[1]ALL!A85</f>
        <v>778</v>
      </c>
      <c r="C173" s="2" t="str">
        <f>[1]ALL!B85</f>
        <v>Atomic Fireballs</v>
      </c>
      <c r="D173" s="2" t="str">
        <f>[1]ALL!C85</f>
        <v>Veritas Homeschoolers</v>
      </c>
      <c r="E173" s="2" t="str">
        <f>[1]ALL!D85</f>
        <v>Tempe, Arizona, United States</v>
      </c>
      <c r="F173" s="8">
        <f>[1]ALL!E85</f>
        <v>135</v>
      </c>
      <c r="G173" s="8">
        <f>[1]ALL!F85</f>
        <v>156</v>
      </c>
      <c r="H173" s="8">
        <f>[1]ALL!G85</f>
        <v>92.848600000000005</v>
      </c>
      <c r="I173" s="11">
        <f>[1]ALL!H85</f>
        <v>83.456500000000005</v>
      </c>
      <c r="J173" s="11">
        <f>[1]ALL!I85</f>
        <v>38.647500000000001</v>
      </c>
      <c r="K173" s="11">
        <f>[1]ALL!J85</f>
        <v>92.848600000000005</v>
      </c>
      <c r="L173" s="11">
        <f>[1]ALL!K85</f>
        <v>34.358699999999999</v>
      </c>
      <c r="M173" s="11">
        <f>[1]ALL!L85</f>
        <v>24.564599999999999</v>
      </c>
      <c r="N173" s="11">
        <f>[1]ALL!M85</f>
        <v>0</v>
      </c>
      <c r="O173" s="11">
        <f>[1]ALL!N85</f>
        <v>0</v>
      </c>
      <c r="P173" s="11">
        <f>[1]ALL!O85</f>
        <v>0</v>
      </c>
      <c r="Q173" s="11">
        <f>[1]ALL!P85</f>
        <v>0</v>
      </c>
      <c r="R173" s="11">
        <f>[1]ALL!Q85</f>
        <v>0</v>
      </c>
      <c r="S173" s="11">
        <f>[1]ALL!R169</f>
        <v>0</v>
      </c>
      <c r="T173" s="9"/>
      <c r="U173" s="9"/>
      <c r="V173" s="10"/>
    </row>
    <row r="174" spans="1:22">
      <c r="A174" s="2">
        <v>407</v>
      </c>
      <c r="B174" s="1" t="str">
        <f>[1]ALL!A408</f>
        <v>8110B</v>
      </c>
      <c r="C174" s="2" t="str">
        <f>[1]ALL!B408</f>
        <v>Team KaBuum</v>
      </c>
      <c r="D174" s="2" t="str">
        <f>[1]ALL!C408</f>
        <v>Mankato West High School</v>
      </c>
      <c r="E174" s="2" t="str">
        <f>[1]ALL!D408</f>
        <v>Mankato, Minnesota, United States</v>
      </c>
      <c r="F174" s="8">
        <f>[1]ALL!E408</f>
        <v>105</v>
      </c>
      <c r="G174" s="8">
        <f>[1]ALL!F408</f>
        <v>156</v>
      </c>
      <c r="H174" s="8">
        <f>[1]ALL!G408</f>
        <v>74.887799999999999</v>
      </c>
      <c r="I174" s="11">
        <f>[1]ALL!H408</f>
        <v>59.094000000000001</v>
      </c>
      <c r="J174" s="11">
        <f>[1]ALL!I408</f>
        <v>74.887799999999999</v>
      </c>
      <c r="K174" s="11">
        <f>[1]ALL!J408</f>
        <v>73.078599999999994</v>
      </c>
      <c r="L174" s="11">
        <f>[1]ALL!K408</f>
        <v>67.443299999999994</v>
      </c>
      <c r="M174" s="11">
        <f>[1]ALL!L408</f>
        <v>0</v>
      </c>
      <c r="N174" s="11">
        <f>[1]ALL!M408</f>
        <v>0</v>
      </c>
      <c r="O174" s="11">
        <f>[1]ALL!N408</f>
        <v>0</v>
      </c>
      <c r="P174" s="11">
        <f>[1]ALL!O408</f>
        <v>0</v>
      </c>
      <c r="Q174" s="11">
        <f>[1]ALL!P408</f>
        <v>0</v>
      </c>
      <c r="R174" s="11">
        <f>[1]ALL!Q408</f>
        <v>0</v>
      </c>
      <c r="S174" s="11">
        <f>[1]ALL!R170</f>
        <v>0</v>
      </c>
      <c r="T174" s="9"/>
      <c r="U174" s="9"/>
      <c r="V174" s="10"/>
    </row>
    <row r="175" spans="1:22">
      <c r="A175" s="2">
        <v>255</v>
      </c>
      <c r="B175" s="1" t="str">
        <f>[1]ALL!A256</f>
        <v>4805X</v>
      </c>
      <c r="C175" s="2" t="str">
        <f>[1]ALL!B256</f>
        <v>A3RC</v>
      </c>
      <c r="D175" s="2" t="str">
        <f>[1]ALL!C256</f>
        <v>Marion Harding High School</v>
      </c>
      <c r="E175" s="2" t="str">
        <f>[1]ALL!D256</f>
        <v>Marion, Ohio, United States</v>
      </c>
      <c r="F175" s="8">
        <f>[1]ALL!E256</f>
        <v>50</v>
      </c>
      <c r="G175" s="8">
        <f>[1]ALL!F256</f>
        <v>156</v>
      </c>
      <c r="H175" s="8">
        <f>[1]ALL!G256</f>
        <v>95.649799999999999</v>
      </c>
      <c r="I175" s="11">
        <f>[1]ALL!H256</f>
        <v>60.1434</v>
      </c>
      <c r="J175" s="11">
        <f>[1]ALL!I256</f>
        <v>91.475700000000003</v>
      </c>
      <c r="K175" s="11">
        <f>[1]ALL!J256</f>
        <v>76.920199999999994</v>
      </c>
      <c r="L175" s="11">
        <f>[1]ALL!K256</f>
        <v>88.535899999999998</v>
      </c>
      <c r="M175" s="11">
        <f>[1]ALL!L256</f>
        <v>0</v>
      </c>
      <c r="N175" s="11">
        <f>[1]ALL!M256</f>
        <v>95.649799999999999</v>
      </c>
      <c r="O175" s="11">
        <f>[1]ALL!N256</f>
        <v>92.502700000000004</v>
      </c>
      <c r="P175" s="11">
        <f>[1]ALL!O256</f>
        <v>80.721599999999995</v>
      </c>
      <c r="Q175" s="11">
        <f>[1]ALL!P256</f>
        <v>70.895200000000003</v>
      </c>
      <c r="R175" s="11">
        <f>[1]ALL!Q256</f>
        <v>0</v>
      </c>
      <c r="S175" s="11">
        <f>[1]ALL!R171</f>
        <v>0</v>
      </c>
      <c r="T175" s="9"/>
      <c r="U175" s="9"/>
      <c r="V175" s="10"/>
    </row>
    <row r="176" spans="1:22">
      <c r="A176" s="2">
        <v>475</v>
      </c>
      <c r="B176" s="1" t="str">
        <f>[1]ALL!A476</f>
        <v>9898C</v>
      </c>
      <c r="C176" s="2" t="str">
        <f>[1]ALL!B476</f>
        <v xml:space="preserve">Scorpion Robotics </v>
      </c>
      <c r="D176" s="2" t="str">
        <f>[1]ALL!C476</f>
        <v>Scorpion Engineering Hesperia High School</v>
      </c>
      <c r="E176" s="2" t="str">
        <f>[1]ALL!D476</f>
        <v>Hesperia, California, United States</v>
      </c>
      <c r="F176" s="8">
        <f>[1]ALL!E476</f>
        <v>345</v>
      </c>
      <c r="G176" s="8">
        <f>[1]ALL!F476</f>
        <v>155</v>
      </c>
      <c r="H176" s="8">
        <f>[1]ALL!G476</f>
        <v>131.31200000000001</v>
      </c>
      <c r="I176" s="11">
        <f>[1]ALL!H476</f>
        <v>127.194</v>
      </c>
      <c r="J176" s="11">
        <f>[1]ALL!I476</f>
        <v>131.31200000000001</v>
      </c>
      <c r="K176" s="11">
        <f>[1]ALL!J476</f>
        <v>74.11</v>
      </c>
      <c r="L176" s="11">
        <f>[1]ALL!K476</f>
        <v>61.962899999999998</v>
      </c>
      <c r="M176" s="11">
        <f>[1]ALL!L476</f>
        <v>80.264099999999999</v>
      </c>
      <c r="N176" s="11">
        <f>[1]ALL!M476</f>
        <v>0</v>
      </c>
      <c r="O176" s="11">
        <f>[1]ALL!N476</f>
        <v>0</v>
      </c>
      <c r="P176" s="11">
        <f>[1]ALL!O476</f>
        <v>0</v>
      </c>
      <c r="Q176" s="11">
        <f>[1]ALL!P476</f>
        <v>0</v>
      </c>
      <c r="R176" s="11">
        <f>[1]ALL!Q476</f>
        <v>0</v>
      </c>
      <c r="S176" s="11">
        <f>[1]ALL!R172</f>
        <v>0</v>
      </c>
      <c r="T176" s="9"/>
      <c r="U176" s="9"/>
      <c r="V176" s="10"/>
    </row>
    <row r="177" spans="1:22">
      <c r="A177" s="2">
        <v>116</v>
      </c>
      <c r="B177" s="1" t="str">
        <f>[1]ALL!A117</f>
        <v>1200F</v>
      </c>
      <c r="C177" s="2" t="str">
        <f>[1]ALL!B117</f>
        <v>1200F Z-Ballers</v>
      </c>
      <c r="D177" s="2" t="str">
        <f>[1]ALL!C117</f>
        <v>St. Mary Catholic High School</v>
      </c>
      <c r="E177" s="2" t="str">
        <f>[1]ALL!D117</f>
        <v>Neenah, Wisconsin, United States</v>
      </c>
      <c r="F177" s="8">
        <f>[1]ALL!E117</f>
        <v>318</v>
      </c>
      <c r="G177" s="8">
        <f>[1]ALL!F117</f>
        <v>155</v>
      </c>
      <c r="H177" s="8">
        <f>[1]ALL!G117</f>
        <v>87.565399999999997</v>
      </c>
      <c r="I177" s="11">
        <f>[1]ALL!H117</f>
        <v>86.377499999999998</v>
      </c>
      <c r="J177" s="11">
        <f>[1]ALL!I117</f>
        <v>71.084500000000006</v>
      </c>
      <c r="K177" s="11">
        <f>[1]ALL!J117</f>
        <v>83.334100000000007</v>
      </c>
      <c r="L177" s="11">
        <f>[1]ALL!K117</f>
        <v>64.665000000000006</v>
      </c>
      <c r="M177" s="11">
        <f>[1]ALL!L117</f>
        <v>87.565399999999997</v>
      </c>
      <c r="N177" s="11">
        <f>[1]ALL!M117</f>
        <v>54.281500000000001</v>
      </c>
      <c r="O177" s="11">
        <f>[1]ALL!N117</f>
        <v>79.992599999999996</v>
      </c>
      <c r="P177" s="11">
        <f>[1]ALL!O117</f>
        <v>47.991399999999999</v>
      </c>
      <c r="Q177" s="11">
        <f>[1]ALL!P117</f>
        <v>86.453500000000005</v>
      </c>
      <c r="R177" s="11">
        <f>[1]ALL!Q117</f>
        <v>49.219900000000003</v>
      </c>
      <c r="S177" s="11">
        <f>[1]ALL!R173</f>
        <v>0</v>
      </c>
      <c r="T177" s="9"/>
      <c r="U177" s="9"/>
      <c r="V177" s="10"/>
    </row>
    <row r="178" spans="1:22">
      <c r="A178" s="2">
        <v>226</v>
      </c>
      <c r="B178" s="1" t="str">
        <f>[1]ALL!A227</f>
        <v>4004A</v>
      </c>
      <c r="C178" s="2" t="str">
        <f>[1]ALL!B227</f>
        <v>Warrior Robotics</v>
      </c>
      <c r="D178" s="2" t="str">
        <f>[1]ALL!C227</f>
        <v>Boone-Apache TSA</v>
      </c>
      <c r="E178" s="2" t="str">
        <f>[1]ALL!D227</f>
        <v>Apache, Oklahoma, United States</v>
      </c>
      <c r="F178" s="8">
        <f>[1]ALL!E227</f>
        <v>311</v>
      </c>
      <c r="G178" s="8">
        <f>[1]ALL!F227</f>
        <v>155</v>
      </c>
      <c r="H178" s="8">
        <f>[1]ALL!G227</f>
        <v>159.11500000000001</v>
      </c>
      <c r="I178" s="11">
        <f>[1]ALL!H227</f>
        <v>127.383</v>
      </c>
      <c r="J178" s="11">
        <f>[1]ALL!I227</f>
        <v>100.32899999999999</v>
      </c>
      <c r="K178" s="11">
        <f>[1]ALL!J227</f>
        <v>123.634</v>
      </c>
      <c r="L178" s="11">
        <f>[1]ALL!K227</f>
        <v>159.11500000000001</v>
      </c>
      <c r="M178" s="11">
        <f>[1]ALL!L227</f>
        <v>0</v>
      </c>
      <c r="N178" s="11">
        <f>[1]ALL!M227</f>
        <v>0</v>
      </c>
      <c r="O178" s="11">
        <f>[1]ALL!N227</f>
        <v>0</v>
      </c>
      <c r="P178" s="11">
        <f>[1]ALL!O227</f>
        <v>0</v>
      </c>
      <c r="Q178" s="11">
        <f>[1]ALL!P227</f>
        <v>0</v>
      </c>
      <c r="R178" s="11">
        <f>[1]ALL!Q227</f>
        <v>0</v>
      </c>
      <c r="S178" s="11">
        <f>[1]ALL!R174</f>
        <v>0</v>
      </c>
      <c r="T178" s="9"/>
      <c r="U178" s="9"/>
      <c r="V178" s="10"/>
    </row>
    <row r="179" spans="1:22">
      <c r="A179" s="2">
        <v>386</v>
      </c>
      <c r="B179" s="1" t="str">
        <f>[1]ALL!A387</f>
        <v>7853</v>
      </c>
      <c r="C179" s="2" t="str">
        <f>[1]ALL!B387</f>
        <v>Black Knights-Spectre</v>
      </c>
      <c r="D179" s="2" t="str">
        <f>[1]ALL!C387</f>
        <v>Sierra Vista High School</v>
      </c>
      <c r="E179" s="2" t="str">
        <f>[1]ALL!D387</f>
        <v>Las Vegas, Nevada, United States</v>
      </c>
      <c r="F179" s="8">
        <f>[1]ALL!E387</f>
        <v>296</v>
      </c>
      <c r="G179" s="8">
        <f>[1]ALL!F387</f>
        <v>155</v>
      </c>
      <c r="H179" s="8">
        <f>[1]ALL!G387</f>
        <v>86.630600000000001</v>
      </c>
      <c r="I179" s="11">
        <f>[1]ALL!H387</f>
        <v>50.817300000000003</v>
      </c>
      <c r="J179" s="11">
        <f>[1]ALL!I387</f>
        <v>86.630600000000001</v>
      </c>
      <c r="K179" s="11">
        <f>[1]ALL!J387</f>
        <v>81.441100000000006</v>
      </c>
      <c r="L179" s="11">
        <f>[1]ALL!K387</f>
        <v>55.369100000000003</v>
      </c>
      <c r="M179" s="11">
        <f>[1]ALL!L387</f>
        <v>0</v>
      </c>
      <c r="N179" s="11">
        <f>[1]ALL!M387</f>
        <v>0</v>
      </c>
      <c r="O179" s="11">
        <f>[1]ALL!N387</f>
        <v>0</v>
      </c>
      <c r="P179" s="11">
        <f>[1]ALL!O387</f>
        <v>0</v>
      </c>
      <c r="Q179" s="11">
        <f>[1]ALL!P387</f>
        <v>0</v>
      </c>
      <c r="R179" s="11">
        <f>[1]ALL!Q387</f>
        <v>0</v>
      </c>
      <c r="S179" s="11">
        <f>[1]ALL!R175</f>
        <v>0</v>
      </c>
      <c r="T179" s="9"/>
      <c r="U179" s="9"/>
      <c r="V179" s="10"/>
    </row>
    <row r="180" spans="1:22">
      <c r="A180" s="2">
        <v>189</v>
      </c>
      <c r="B180" s="1" t="str">
        <f>[1]ALL!A190</f>
        <v>2719A</v>
      </c>
      <c r="C180" s="2" t="str">
        <f>[1]ALL!B190</f>
        <v>The Face of Boe</v>
      </c>
      <c r="D180" s="2" t="str">
        <f>[1]ALL!C190</f>
        <v>Triton Central High School</v>
      </c>
      <c r="E180" s="2" t="str">
        <f>[1]ALL!D190</f>
        <v>Fairland, Indiana, United States</v>
      </c>
      <c r="F180" s="8">
        <f>[1]ALL!E190</f>
        <v>271</v>
      </c>
      <c r="G180" s="8">
        <f>[1]ALL!F190</f>
        <v>155</v>
      </c>
      <c r="H180" s="8">
        <f>[1]ALL!G190</f>
        <v>66.643100000000004</v>
      </c>
      <c r="I180" s="11">
        <f>[1]ALL!H190</f>
        <v>1.4150199999999999</v>
      </c>
      <c r="J180" s="11">
        <f>[1]ALL!I190</f>
        <v>17.331800000000001</v>
      </c>
      <c r="K180" s="11">
        <f>[1]ALL!J190</f>
        <v>43.669699999999999</v>
      </c>
      <c r="L180" s="11">
        <f>[1]ALL!K190</f>
        <v>5.5204500000000003</v>
      </c>
      <c r="M180" s="11">
        <f>[1]ALL!L190</f>
        <v>4.3399299999999998</v>
      </c>
      <c r="N180" s="11">
        <f>[1]ALL!M190</f>
        <v>66.643100000000004</v>
      </c>
      <c r="O180" s="11">
        <f>[1]ALL!N190</f>
        <v>55.834299999999999</v>
      </c>
      <c r="P180" s="11">
        <f>[1]ALL!O190</f>
        <v>18.005099999999999</v>
      </c>
      <c r="Q180" s="11">
        <f>[1]ALL!P190</f>
        <v>0</v>
      </c>
      <c r="R180" s="11">
        <f>[1]ALL!Q190</f>
        <v>0</v>
      </c>
      <c r="S180" s="11">
        <f>[1]ALL!R176</f>
        <v>0</v>
      </c>
      <c r="T180" s="9"/>
      <c r="U180" s="9"/>
      <c r="V180" s="10"/>
    </row>
    <row r="181" spans="1:22">
      <c r="A181" s="2">
        <v>373</v>
      </c>
      <c r="B181" s="1" t="str">
        <f>[1]ALL!A374</f>
        <v>7504X</v>
      </c>
      <c r="C181" s="2" t="str">
        <f>[1]ALL!B374</f>
        <v>Equilibrium</v>
      </c>
      <c r="D181" s="2" t="str">
        <f>[1]ALL!C374</f>
        <v>Austin Academy for Excellence</v>
      </c>
      <c r="E181" s="2" t="str">
        <f>[1]ALL!D374</f>
        <v>Garland, Texas, United States</v>
      </c>
      <c r="F181" s="8">
        <f>[1]ALL!E374</f>
        <v>222</v>
      </c>
      <c r="G181" s="8">
        <f>[1]ALL!F374</f>
        <v>155</v>
      </c>
      <c r="H181" s="8">
        <f>[1]ALL!G374</f>
        <v>168.34200000000001</v>
      </c>
      <c r="I181" s="11">
        <f>[1]ALL!H374</f>
        <v>168.34200000000001</v>
      </c>
      <c r="J181" s="11">
        <f>[1]ALL!I374</f>
        <v>127.622</v>
      </c>
      <c r="K181" s="11">
        <f>[1]ALL!J374</f>
        <v>128.77099999999999</v>
      </c>
      <c r="L181" s="11">
        <f>[1]ALL!K374</f>
        <v>114.059</v>
      </c>
      <c r="M181" s="11">
        <f>[1]ALL!L374</f>
        <v>113.22799999999999</v>
      </c>
      <c r="N181" s="11">
        <f>[1]ALL!M374</f>
        <v>93.570800000000006</v>
      </c>
      <c r="O181" s="11">
        <f>[1]ALL!N374</f>
        <v>17.4818</v>
      </c>
      <c r="P181" s="11">
        <f>[1]ALL!O374</f>
        <v>83.492099999999994</v>
      </c>
      <c r="Q181" s="11">
        <f>[1]ALL!P374</f>
        <v>84.513300000000001</v>
      </c>
      <c r="R181" s="11">
        <f>[1]ALL!Q374</f>
        <v>73.336100000000002</v>
      </c>
      <c r="S181" s="11">
        <f>[1]ALL!R177</f>
        <v>0</v>
      </c>
      <c r="T181" s="9"/>
      <c r="U181" s="9"/>
      <c r="V181" s="10"/>
    </row>
    <row r="182" spans="1:22">
      <c r="A182" s="2">
        <v>120</v>
      </c>
      <c r="B182" s="1" t="str">
        <f>[1]ALL!A121</f>
        <v>1320A</v>
      </c>
      <c r="C182" s="2" t="str">
        <f>[1]ALL!B121</f>
        <v>Tucker High Robotigers</v>
      </c>
      <c r="D182" s="2" t="str">
        <f>[1]ALL!C121</f>
        <v>Tucker High School - DeKalb County School Sytem</v>
      </c>
      <c r="E182" s="2" t="str">
        <f>[1]ALL!D121</f>
        <v>Tucker, Georgia, United States</v>
      </c>
      <c r="F182" s="8">
        <f>[1]ALL!E121</f>
        <v>220</v>
      </c>
      <c r="G182" s="8">
        <f>[1]ALL!F121</f>
        <v>155</v>
      </c>
      <c r="H182" s="8">
        <f>[1]ALL!G121</f>
        <v>119.845</v>
      </c>
      <c r="I182" s="11">
        <f>[1]ALL!H121</f>
        <v>106.782</v>
      </c>
      <c r="J182" s="11">
        <f>[1]ALL!I121</f>
        <v>119.845</v>
      </c>
      <c r="K182" s="11">
        <f>[1]ALL!J121</f>
        <v>103.333</v>
      </c>
      <c r="L182" s="11">
        <f>[1]ALL!K121</f>
        <v>49.465200000000003</v>
      </c>
      <c r="M182" s="11">
        <f>[1]ALL!L121</f>
        <v>69.134799999999998</v>
      </c>
      <c r="N182" s="11">
        <f>[1]ALL!M121</f>
        <v>47.433399999999999</v>
      </c>
      <c r="O182" s="11">
        <f>[1]ALL!N121</f>
        <v>0</v>
      </c>
      <c r="P182" s="11">
        <f>[1]ALL!O121</f>
        <v>0</v>
      </c>
      <c r="Q182" s="11">
        <f>[1]ALL!P121</f>
        <v>0</v>
      </c>
      <c r="R182" s="11">
        <f>[1]ALL!Q121</f>
        <v>0</v>
      </c>
      <c r="S182" s="11">
        <f>[1]ALL!R178</f>
        <v>0</v>
      </c>
      <c r="T182" s="9"/>
      <c r="U182" s="9"/>
      <c r="V182" s="10"/>
    </row>
    <row r="183" spans="1:22">
      <c r="A183" s="2">
        <v>80</v>
      </c>
      <c r="B183" s="1" t="str">
        <f>[1]ALL!A81</f>
        <v>699Z</v>
      </c>
      <c r="C183" s="2" t="str">
        <f>[1]ALL!B81</f>
        <v>Zaptors</v>
      </c>
      <c r="D183" s="2" t="str">
        <f>[1]ALL!C81</f>
        <v>Thomas A. Edison CTE High School</v>
      </c>
      <c r="E183" s="2" t="str">
        <f>[1]ALL!D81</f>
        <v>Jamaica, New York, United States</v>
      </c>
      <c r="F183" s="8">
        <f>[1]ALL!E81</f>
        <v>120</v>
      </c>
      <c r="G183" s="8">
        <f>[1]ALL!F81</f>
        <v>155</v>
      </c>
      <c r="H183" s="8">
        <f>[1]ALL!G81</f>
        <v>40.259700000000002</v>
      </c>
      <c r="I183" s="11">
        <f>[1]ALL!H81</f>
        <v>40.259700000000002</v>
      </c>
      <c r="J183" s="11">
        <f>[1]ALL!I81</f>
        <v>8.9104700000000001</v>
      </c>
      <c r="K183" s="11">
        <f>[1]ALL!J81</f>
        <v>18.790600000000001</v>
      </c>
      <c r="L183" s="11">
        <f>[1]ALL!K81</f>
        <v>6.6982299999999997</v>
      </c>
      <c r="M183" s="11">
        <f>[1]ALL!L81</f>
        <v>0.28383999999999998</v>
      </c>
      <c r="N183" s="11">
        <f>[1]ALL!M81</f>
        <v>0</v>
      </c>
      <c r="O183" s="11">
        <f>[1]ALL!N81</f>
        <v>0</v>
      </c>
      <c r="P183" s="11">
        <f>[1]ALL!O81</f>
        <v>0</v>
      </c>
      <c r="Q183" s="11">
        <f>[1]ALL!P81</f>
        <v>0</v>
      </c>
      <c r="R183" s="11">
        <f>[1]ALL!Q81</f>
        <v>0</v>
      </c>
      <c r="S183" s="11">
        <f>[1]ALL!R179</f>
        <v>0</v>
      </c>
      <c r="T183" s="9"/>
      <c r="U183" s="9"/>
      <c r="V183" s="10"/>
    </row>
    <row r="184" spans="1:22">
      <c r="A184" s="2">
        <v>273</v>
      </c>
      <c r="B184" s="1" t="str">
        <f>[1]ALL!A274</f>
        <v>5150F</v>
      </c>
      <c r="C184" s="2" t="str">
        <f>[1]ALL!B274</f>
        <v>Mad Hatters</v>
      </c>
      <c r="D184" s="2" t="str">
        <f>[1]ALL!C274</f>
        <v>Danbury High School</v>
      </c>
      <c r="E184" s="2" t="str">
        <f>[1]ALL!D274</f>
        <v>Danbury, Connecticut, United States</v>
      </c>
      <c r="F184" s="8">
        <f>[1]ALL!E274</f>
        <v>68</v>
      </c>
      <c r="G184" s="8">
        <f>[1]ALL!F274</f>
        <v>155</v>
      </c>
      <c r="H184" s="8">
        <f>[1]ALL!G274</f>
        <v>60.353299999999997</v>
      </c>
      <c r="I184" s="11">
        <f>[1]ALL!H274</f>
        <v>51.033099999999997</v>
      </c>
      <c r="J184" s="11">
        <f>[1]ALL!I274</f>
        <v>56.912999999999997</v>
      </c>
      <c r="K184" s="11">
        <f>[1]ALL!J274</f>
        <v>60.159399999999998</v>
      </c>
      <c r="L184" s="11">
        <f>[1]ALL!K274</f>
        <v>39.666800000000002</v>
      </c>
      <c r="M184" s="11">
        <f>[1]ALL!L274</f>
        <v>42.213099999999997</v>
      </c>
      <c r="N184" s="11">
        <f>[1]ALL!M274</f>
        <v>60.353299999999997</v>
      </c>
      <c r="O184" s="11">
        <f>[1]ALL!N274</f>
        <v>0</v>
      </c>
      <c r="P184" s="11">
        <f>[1]ALL!O274</f>
        <v>0</v>
      </c>
      <c r="Q184" s="11">
        <f>[1]ALL!P274</f>
        <v>0</v>
      </c>
      <c r="R184" s="11">
        <f>[1]ALL!Q274</f>
        <v>0</v>
      </c>
      <c r="S184" s="11">
        <f>[1]ALL!R180</f>
        <v>0</v>
      </c>
      <c r="T184" s="9"/>
      <c r="U184" s="9"/>
      <c r="V184" s="10"/>
    </row>
    <row r="185" spans="1:22">
      <c r="A185" s="2">
        <v>142</v>
      </c>
      <c r="B185" s="1" t="str">
        <f>[1]ALL!A143</f>
        <v>1575B</v>
      </c>
      <c r="C185" s="2" t="str">
        <f>[1]ALL!B143</f>
        <v>Bifrost</v>
      </c>
      <c r="D185" s="2" t="str">
        <f>[1]ALL!C143</f>
        <v>Woodbridge Senior High School</v>
      </c>
      <c r="E185" s="2" t="str">
        <f>[1]ALL!D143</f>
        <v>Woodbridge, Virginia, United States</v>
      </c>
      <c r="F185" s="8">
        <f>[1]ALL!E143</f>
        <v>251</v>
      </c>
      <c r="G185" s="8">
        <f>[1]ALL!F143</f>
        <v>153</v>
      </c>
      <c r="H185" s="8">
        <f>[1]ALL!G143</f>
        <v>102.548</v>
      </c>
      <c r="I185" s="11">
        <f>[1]ALL!H143</f>
        <v>90.414100000000005</v>
      </c>
      <c r="J185" s="11">
        <f>[1]ALL!I143</f>
        <v>75.868399999999994</v>
      </c>
      <c r="K185" s="11">
        <f>[1]ALL!J143</f>
        <v>47.656100000000002</v>
      </c>
      <c r="L185" s="11">
        <f>[1]ALL!K143</f>
        <v>102.548</v>
      </c>
      <c r="M185" s="11">
        <f>[1]ALL!L143</f>
        <v>52.654699999999998</v>
      </c>
      <c r="N185" s="11">
        <f>[1]ALL!M143</f>
        <v>25.3125</v>
      </c>
      <c r="O185" s="11">
        <f>[1]ALL!N143</f>
        <v>21.375599999999999</v>
      </c>
      <c r="P185" s="11">
        <f>[1]ALL!O143</f>
        <v>0</v>
      </c>
      <c r="Q185" s="11">
        <f>[1]ALL!P143</f>
        <v>0</v>
      </c>
      <c r="R185" s="11">
        <f>[1]ALL!Q143</f>
        <v>0</v>
      </c>
      <c r="S185" s="11">
        <f>[1]ALL!R181</f>
        <v>36.749699999999997</v>
      </c>
      <c r="T185" s="9"/>
      <c r="U185" s="9"/>
      <c r="V185" s="10"/>
    </row>
    <row r="186" spans="1:22">
      <c r="A186" s="2">
        <v>237</v>
      </c>
      <c r="B186" s="1" t="str">
        <f>[1]ALL!A238</f>
        <v>4194E</v>
      </c>
      <c r="C186" s="2" t="str">
        <f>[1]ALL!B238</f>
        <v>TAS E</v>
      </c>
      <c r="D186" s="2" t="str">
        <f>[1]ALL!C238</f>
        <v>Taipei American School</v>
      </c>
      <c r="E186" s="2" t="str">
        <f>[1]ALL!D238</f>
        <v>Taipei, Not Applicable or Not Listed, Taiwan</v>
      </c>
      <c r="F186" s="8">
        <f>[1]ALL!E238</f>
        <v>166</v>
      </c>
      <c r="G186" s="8">
        <f>[1]ALL!F238</f>
        <v>153</v>
      </c>
      <c r="H186" s="8">
        <f>[1]ALL!G238</f>
        <v>66.361900000000006</v>
      </c>
      <c r="I186" s="11">
        <f>[1]ALL!H238</f>
        <v>66.361900000000006</v>
      </c>
      <c r="J186" s="11">
        <f>[1]ALL!I238</f>
        <v>0</v>
      </c>
      <c r="K186" s="11">
        <f>[1]ALL!J238</f>
        <v>0</v>
      </c>
      <c r="L186" s="11">
        <f>[1]ALL!K238</f>
        <v>0</v>
      </c>
      <c r="M186" s="11">
        <f>[1]ALL!L238</f>
        <v>0</v>
      </c>
      <c r="N186" s="11">
        <f>[1]ALL!M238</f>
        <v>0</v>
      </c>
      <c r="O186" s="11">
        <f>[1]ALL!N238</f>
        <v>0</v>
      </c>
      <c r="P186" s="11">
        <f>[1]ALL!O238</f>
        <v>0</v>
      </c>
      <c r="Q186" s="11">
        <f>[1]ALL!P238</f>
        <v>0</v>
      </c>
      <c r="R186" s="11">
        <f>[1]ALL!Q238</f>
        <v>0</v>
      </c>
      <c r="S186" s="11">
        <f>[1]ALL!R182</f>
        <v>85.137</v>
      </c>
      <c r="T186" s="9"/>
      <c r="U186" s="9"/>
      <c r="V186" s="10"/>
    </row>
    <row r="187" spans="1:22">
      <c r="A187" s="2">
        <v>286</v>
      </c>
      <c r="B187" s="1" t="str">
        <f>[1]ALL!A287</f>
        <v>5454B</v>
      </c>
      <c r="C187" s="2" t="str">
        <f>[1]ALL!B287</f>
        <v>BOB-OMBS</v>
      </c>
      <c r="D187" s="2" t="str">
        <f>[1]ALL!C287</f>
        <v>Elkhorn Crossing School</v>
      </c>
      <c r="E187" s="2" t="str">
        <f>[1]ALL!D287</f>
        <v>Georgetown, Kentucky, United States</v>
      </c>
      <c r="F187" s="8">
        <f>[1]ALL!E287</f>
        <v>250</v>
      </c>
      <c r="G187" s="8">
        <f>[1]ALL!F287</f>
        <v>152</v>
      </c>
      <c r="H187" s="8">
        <f>[1]ALL!G287</f>
        <v>110.607</v>
      </c>
      <c r="I187" s="11">
        <f>[1]ALL!H287</f>
        <v>100.066</v>
      </c>
      <c r="J187" s="11">
        <f>[1]ALL!I287</f>
        <v>71.093800000000002</v>
      </c>
      <c r="K187" s="11">
        <f>[1]ALL!J287</f>
        <v>51.025199999999998</v>
      </c>
      <c r="L187" s="11">
        <f>[1]ALL!K287</f>
        <v>46.087899999999998</v>
      </c>
      <c r="M187" s="11">
        <f>[1]ALL!L287</f>
        <v>95.037199999999999</v>
      </c>
      <c r="N187" s="11">
        <f>[1]ALL!M287</f>
        <v>60.565600000000003</v>
      </c>
      <c r="O187" s="11">
        <f>[1]ALL!N287</f>
        <v>84.730699999999999</v>
      </c>
      <c r="P187" s="11">
        <f>[1]ALL!O287</f>
        <v>110.607</v>
      </c>
      <c r="Q187" s="11">
        <f>[1]ALL!P287</f>
        <v>73.299400000000006</v>
      </c>
      <c r="R187" s="11">
        <f>[1]ALL!Q287</f>
        <v>65.855500000000006</v>
      </c>
      <c r="S187" s="11">
        <f>[1]ALL!R183</f>
        <v>0</v>
      </c>
      <c r="T187" s="9"/>
      <c r="U187" s="9"/>
      <c r="V187" s="10"/>
    </row>
    <row r="188" spans="1:22">
      <c r="A188" s="2">
        <v>169</v>
      </c>
      <c r="B188" s="1" t="str">
        <f>[1]ALL!A170</f>
        <v>2131X</v>
      </c>
      <c r="C188" s="2" t="str">
        <f>[1]ALL!B170</f>
        <v>Schmetterlinge &amp; Einhörn</v>
      </c>
      <c r="D188" s="2" t="str">
        <f>[1]ALL!C170</f>
        <v>Davis High School</v>
      </c>
      <c r="E188" s="2" t="str">
        <f>[1]ALL!D170</f>
        <v>Kaysville, Utah, United States</v>
      </c>
      <c r="F188" s="8">
        <f>[1]ALL!E170</f>
        <v>350</v>
      </c>
      <c r="G188" s="8">
        <f>[1]ALL!F170</f>
        <v>151</v>
      </c>
      <c r="H188" s="8">
        <f>[1]ALL!G170</f>
        <v>159.392</v>
      </c>
      <c r="I188" s="11">
        <f>[1]ALL!H170</f>
        <v>137.81</v>
      </c>
      <c r="J188" s="11">
        <f>[1]ALL!I170</f>
        <v>159.392</v>
      </c>
      <c r="K188" s="11">
        <f>[1]ALL!J170</f>
        <v>140.53</v>
      </c>
      <c r="L188" s="11">
        <f>[1]ALL!K170</f>
        <v>87.898899999999998</v>
      </c>
      <c r="M188" s="11">
        <f>[1]ALL!L170</f>
        <v>105.25700000000001</v>
      </c>
      <c r="N188" s="11">
        <f>[1]ALL!M170</f>
        <v>78.094099999999997</v>
      </c>
      <c r="O188" s="11">
        <f>[1]ALL!N170</f>
        <v>92.257300000000001</v>
      </c>
      <c r="P188" s="11">
        <f>[1]ALL!O170</f>
        <v>96.862799999999993</v>
      </c>
      <c r="Q188" s="11">
        <f>[1]ALL!P170</f>
        <v>84.509699999999995</v>
      </c>
      <c r="R188" s="11">
        <f>[1]ALL!Q170</f>
        <v>0</v>
      </c>
      <c r="S188" s="11">
        <f>[1]ALL!R184</f>
        <v>0</v>
      </c>
      <c r="T188" s="9"/>
      <c r="U188" s="9"/>
      <c r="V188" s="10"/>
    </row>
    <row r="189" spans="1:22">
      <c r="A189" s="2">
        <v>310</v>
      </c>
      <c r="B189" s="1" t="str">
        <f>[1]ALL!A311</f>
        <v>5839B</v>
      </c>
      <c r="C189" s="2" t="str">
        <f>[1]ALL!B311</f>
        <v>Tech 2</v>
      </c>
      <c r="D189" s="2" t="str">
        <f>[1]ALL!C311</f>
        <v>Eastern Technical High School</v>
      </c>
      <c r="E189" s="2" t="str">
        <f>[1]ALL!D311</f>
        <v>Baltimore, Maryland, United States</v>
      </c>
      <c r="F189" s="8">
        <f>[1]ALL!E311</f>
        <v>320</v>
      </c>
      <c r="G189" s="8">
        <f>[1]ALL!F311</f>
        <v>151</v>
      </c>
      <c r="H189" s="8">
        <f>[1]ALL!G311</f>
        <v>87.242400000000004</v>
      </c>
      <c r="I189" s="11">
        <f>[1]ALL!H311</f>
        <v>87.242400000000004</v>
      </c>
      <c r="J189" s="11">
        <f>[1]ALL!I311</f>
        <v>81.780900000000003</v>
      </c>
      <c r="K189" s="11">
        <f>[1]ALL!J311</f>
        <v>63.026499999999999</v>
      </c>
      <c r="L189" s="11">
        <f>[1]ALL!K311</f>
        <v>78.753500000000003</v>
      </c>
      <c r="M189" s="11">
        <f>[1]ALL!L311</f>
        <v>52.0122</v>
      </c>
      <c r="N189" s="11">
        <f>[1]ALL!M311</f>
        <v>64.7333</v>
      </c>
      <c r="O189" s="11">
        <f>[1]ALL!N311</f>
        <v>80.849800000000002</v>
      </c>
      <c r="P189" s="11">
        <f>[1]ALL!O311</f>
        <v>60.362900000000003</v>
      </c>
      <c r="Q189" s="11">
        <f>[1]ALL!P311</f>
        <v>0</v>
      </c>
      <c r="R189" s="11">
        <f>[1]ALL!Q311</f>
        <v>0</v>
      </c>
      <c r="S189" s="11">
        <f>[1]ALL!R185</f>
        <v>0</v>
      </c>
      <c r="T189" s="9"/>
      <c r="U189" s="9"/>
      <c r="V189" s="10"/>
    </row>
    <row r="190" spans="1:22">
      <c r="A190" s="2">
        <v>114</v>
      </c>
      <c r="B190" s="1" t="str">
        <f>[1]ALL!A115</f>
        <v>1138B</v>
      </c>
      <c r="C190" s="2" t="str">
        <f>[1]ALL!B115</f>
        <v>Eagle Engineering</v>
      </c>
      <c r="D190" s="2" t="str">
        <f>[1]ALL!C115</f>
        <v>Chaminade College Preparatory</v>
      </c>
      <c r="E190" s="2" t="str">
        <f>[1]ALL!D115</f>
        <v>West Hills, California, United States</v>
      </c>
      <c r="F190" s="8">
        <f>[1]ALL!E115</f>
        <v>311</v>
      </c>
      <c r="G190" s="8">
        <f>[1]ALL!F115</f>
        <v>151</v>
      </c>
      <c r="H190" s="8">
        <f>[1]ALL!G115</f>
        <v>138.36699999999999</v>
      </c>
      <c r="I190" s="11">
        <f>[1]ALL!H115</f>
        <v>138.36699999999999</v>
      </c>
      <c r="J190" s="11">
        <f>[1]ALL!I115</f>
        <v>55.503399999999999</v>
      </c>
      <c r="K190" s="11">
        <f>[1]ALL!J115</f>
        <v>114.462</v>
      </c>
      <c r="L190" s="11">
        <f>[1]ALL!K115</f>
        <v>76.767399999999995</v>
      </c>
      <c r="M190" s="11">
        <f>[1]ALL!L115</f>
        <v>85.537400000000005</v>
      </c>
      <c r="N190" s="11">
        <f>[1]ALL!M115</f>
        <v>0</v>
      </c>
      <c r="O190" s="11">
        <f>[1]ALL!N115</f>
        <v>0</v>
      </c>
      <c r="P190" s="11">
        <f>[1]ALL!O115</f>
        <v>0</v>
      </c>
      <c r="Q190" s="11">
        <f>[1]ALL!P115</f>
        <v>0</v>
      </c>
      <c r="R190" s="11">
        <f>[1]ALL!Q115</f>
        <v>0</v>
      </c>
      <c r="S190" s="11">
        <f>[1]ALL!R186</f>
        <v>0</v>
      </c>
      <c r="T190" s="9"/>
      <c r="U190" s="9"/>
      <c r="V190" s="10"/>
    </row>
    <row r="191" spans="1:22">
      <c r="A191" s="2">
        <v>99</v>
      </c>
      <c r="B191" s="1" t="str">
        <f>[1]ALL!A100</f>
        <v>1034A</v>
      </c>
      <c r="C191" s="2" t="str">
        <f>[1]ALL!B100</f>
        <v>Roboregents</v>
      </c>
      <c r="D191" s="2" t="str">
        <f>[1]ALL!C100</f>
        <v>La Reina High School</v>
      </c>
      <c r="E191" s="2" t="str">
        <f>[1]ALL!D100</f>
        <v>Thousand Oaks, California, United States</v>
      </c>
      <c r="F191" s="8">
        <f>[1]ALL!E100</f>
        <v>280</v>
      </c>
      <c r="G191" s="8">
        <f>[1]ALL!F100</f>
        <v>151</v>
      </c>
      <c r="H191" s="8">
        <f>[1]ALL!G100</f>
        <v>141.01900000000001</v>
      </c>
      <c r="I191" s="11">
        <f>[1]ALL!H100</f>
        <v>141.01900000000001</v>
      </c>
      <c r="J191" s="11">
        <f>[1]ALL!I100</f>
        <v>74.136200000000002</v>
      </c>
      <c r="K191" s="11">
        <f>[1]ALL!J100</f>
        <v>110.08199999999999</v>
      </c>
      <c r="L191" s="11">
        <f>[1]ALL!K100</f>
        <v>128.727</v>
      </c>
      <c r="M191" s="11">
        <f>[1]ALL!L100</f>
        <v>62.23</v>
      </c>
      <c r="N191" s="11">
        <f>[1]ALL!M100</f>
        <v>106.355</v>
      </c>
      <c r="O191" s="11">
        <f>[1]ALL!N100</f>
        <v>113.197</v>
      </c>
      <c r="P191" s="11">
        <f>[1]ALL!O100</f>
        <v>90.599299999999999</v>
      </c>
      <c r="Q191" s="11">
        <f>[1]ALL!P100</f>
        <v>32.915500000000002</v>
      </c>
      <c r="R191" s="11">
        <f>[1]ALL!Q100</f>
        <v>53.7911</v>
      </c>
      <c r="S191" s="11">
        <f>[1]ALL!R187</f>
        <v>0</v>
      </c>
      <c r="T191" s="9"/>
      <c r="U191" s="9"/>
      <c r="V191" s="10"/>
    </row>
    <row r="192" spans="1:22">
      <c r="A192" s="2">
        <v>243</v>
      </c>
      <c r="B192" s="1" t="str">
        <f>[1]ALL!A244</f>
        <v>4410A</v>
      </c>
      <c r="C192" s="2" t="str">
        <f>[1]ALL!B244</f>
        <v>Technocracy</v>
      </c>
      <c r="D192" s="2" t="str">
        <f>[1]ALL!C244</f>
        <v>South Eden Robotics Club</v>
      </c>
      <c r="E192" s="2" t="str">
        <f>[1]ALL!D244</f>
        <v>Fond du Lac, Wisconsin, United States</v>
      </c>
      <c r="F192" s="8">
        <f>[1]ALL!E244</f>
        <v>151</v>
      </c>
      <c r="G192" s="8">
        <f>[1]ALL!F244</f>
        <v>151</v>
      </c>
      <c r="H192" s="8">
        <f>[1]ALL!G244</f>
        <v>113.627</v>
      </c>
      <c r="I192" s="11">
        <f>[1]ALL!H244</f>
        <v>71.320400000000006</v>
      </c>
      <c r="J192" s="11">
        <f>[1]ALL!I244</f>
        <v>113.627</v>
      </c>
      <c r="K192" s="11">
        <f>[1]ALL!J244</f>
        <v>42.824100000000001</v>
      </c>
      <c r="L192" s="11">
        <f>[1]ALL!K244</f>
        <v>73.821100000000001</v>
      </c>
      <c r="M192" s="11">
        <f>[1]ALL!L244</f>
        <v>0</v>
      </c>
      <c r="N192" s="11">
        <f>[1]ALL!M244</f>
        <v>0</v>
      </c>
      <c r="O192" s="11">
        <f>[1]ALL!N244</f>
        <v>0</v>
      </c>
      <c r="P192" s="11">
        <f>[1]ALL!O244</f>
        <v>0</v>
      </c>
      <c r="Q192" s="11">
        <f>[1]ALL!P244</f>
        <v>0</v>
      </c>
      <c r="R192" s="11">
        <f>[1]ALL!Q244</f>
        <v>0</v>
      </c>
      <c r="S192" s="11">
        <f>[1]ALL!R188</f>
        <v>0</v>
      </c>
      <c r="T192" s="9"/>
      <c r="U192" s="9"/>
      <c r="V192" s="10"/>
    </row>
    <row r="193" spans="1:22">
      <c r="A193" s="2">
        <v>127</v>
      </c>
      <c r="B193" s="1" t="str">
        <f>[1]ALL!A128</f>
        <v>1356C</v>
      </c>
      <c r="C193" s="2" t="str">
        <f>[1]ALL!B128</f>
        <v>Parkview Panthers Team C</v>
      </c>
      <c r="D193" s="2" t="str">
        <f>[1]ALL!C128</f>
        <v>Parkview High School - Gwinnett</v>
      </c>
      <c r="E193" s="2" t="str">
        <f>[1]ALL!D128</f>
        <v>Lilburn, Georgia, United States</v>
      </c>
      <c r="F193" s="8">
        <f>[1]ALL!E128</f>
        <v>298</v>
      </c>
      <c r="G193" s="8">
        <f>[1]ALL!F128</f>
        <v>150</v>
      </c>
      <c r="H193" s="8">
        <f>[1]ALL!G128</f>
        <v>124.67100000000001</v>
      </c>
      <c r="I193" s="11">
        <f>[1]ALL!H128</f>
        <v>112.67</v>
      </c>
      <c r="J193" s="11">
        <f>[1]ALL!I128</f>
        <v>124.67100000000001</v>
      </c>
      <c r="K193" s="11">
        <f>[1]ALL!J128</f>
        <v>96.465599999999995</v>
      </c>
      <c r="L193" s="11">
        <f>[1]ALL!K128</f>
        <v>54.965600000000002</v>
      </c>
      <c r="M193" s="11">
        <f>[1]ALL!L128</f>
        <v>25.523800000000001</v>
      </c>
      <c r="N193" s="11">
        <f>[1]ALL!M128</f>
        <v>54.368499999999997</v>
      </c>
      <c r="O193" s="11">
        <f>[1]ALL!N128</f>
        <v>44.743699999999997</v>
      </c>
      <c r="P193" s="11">
        <f>[1]ALL!O128</f>
        <v>0</v>
      </c>
      <c r="Q193" s="11">
        <f>[1]ALL!P128</f>
        <v>0</v>
      </c>
      <c r="R193" s="11">
        <f>[1]ALL!Q128</f>
        <v>0</v>
      </c>
      <c r="S193" s="11">
        <f>[1]ALL!R189</f>
        <v>0</v>
      </c>
      <c r="T193" s="9"/>
      <c r="U193" s="9"/>
      <c r="V193" s="10"/>
    </row>
    <row r="194" spans="1:22">
      <c r="A194" s="2">
        <v>459</v>
      </c>
      <c r="B194" s="1" t="str">
        <f>[1]ALL!A460</f>
        <v>9364E</v>
      </c>
      <c r="C194" s="2" t="str">
        <f>[1]ALL!B460</f>
        <v>Iron Eagles</v>
      </c>
      <c r="D194" s="2" t="str">
        <f>[1]ALL!C460</f>
        <v>Brentwood Academy</v>
      </c>
      <c r="E194" s="2" t="str">
        <f>[1]ALL!D460</f>
        <v>Brentwood, Tennessee, United States</v>
      </c>
      <c r="F194" s="8">
        <f>[1]ALL!E460</f>
        <v>288</v>
      </c>
      <c r="G194" s="8">
        <f>[1]ALL!F460</f>
        <v>150</v>
      </c>
      <c r="H194" s="8">
        <f>[1]ALL!G460</f>
        <v>65.072599999999994</v>
      </c>
      <c r="I194" s="11">
        <f>[1]ALL!H460</f>
        <v>52.616599999999998</v>
      </c>
      <c r="J194" s="11">
        <f>[1]ALL!I460</f>
        <v>65.072599999999994</v>
      </c>
      <c r="K194" s="11">
        <f>[1]ALL!J460</f>
        <v>45.636299999999999</v>
      </c>
      <c r="L194" s="11">
        <f>[1]ALL!K460</f>
        <v>23.168099999999999</v>
      </c>
      <c r="M194" s="11">
        <f>[1]ALL!L460</f>
        <v>21.506399999999999</v>
      </c>
      <c r="N194" s="11">
        <f>[1]ALL!M460</f>
        <v>16.296299999999999</v>
      </c>
      <c r="O194" s="11">
        <f>[1]ALL!N460</f>
        <v>0</v>
      </c>
      <c r="P194" s="11">
        <f>[1]ALL!O460</f>
        <v>0</v>
      </c>
      <c r="Q194" s="11">
        <f>[1]ALL!P460</f>
        <v>0</v>
      </c>
      <c r="R194" s="11">
        <f>[1]ALL!Q460</f>
        <v>0</v>
      </c>
      <c r="S194" s="11">
        <f>[1]ALL!R190</f>
        <v>0</v>
      </c>
      <c r="T194" s="9"/>
      <c r="U194" s="9"/>
      <c r="V194" s="10"/>
    </row>
    <row r="195" spans="1:22">
      <c r="A195" s="2">
        <v>235</v>
      </c>
      <c r="B195" s="1" t="str">
        <f>[1]ALL!A236</f>
        <v>4154A</v>
      </c>
      <c r="C195" s="2" t="str">
        <f>[1]ALL!B236</f>
        <v>U.S.S.R.</v>
      </c>
      <c r="D195" s="2" t="str">
        <f>[1]ALL!C236</f>
        <v>University School of Nova Southeastern University</v>
      </c>
      <c r="E195" s="2" t="str">
        <f>[1]ALL!D236</f>
        <v>Fort Lauderdale, Florida, United States</v>
      </c>
      <c r="F195" s="8">
        <f>[1]ALL!E236</f>
        <v>281</v>
      </c>
      <c r="G195" s="8">
        <f>[1]ALL!F236</f>
        <v>150</v>
      </c>
      <c r="H195" s="8">
        <f>[1]ALL!G236</f>
        <v>122.53100000000001</v>
      </c>
      <c r="I195" s="11">
        <f>[1]ALL!H236</f>
        <v>69.838999999999999</v>
      </c>
      <c r="J195" s="11">
        <f>[1]ALL!I236</f>
        <v>114.85899999999999</v>
      </c>
      <c r="K195" s="11">
        <f>[1]ALL!J236</f>
        <v>122.53100000000001</v>
      </c>
      <c r="L195" s="11">
        <f>[1]ALL!K236</f>
        <v>48.1569</v>
      </c>
      <c r="M195" s="11">
        <f>[1]ALL!L236</f>
        <v>74.795500000000004</v>
      </c>
      <c r="N195" s="11">
        <f>[1]ALL!M236</f>
        <v>0</v>
      </c>
      <c r="O195" s="11">
        <f>[1]ALL!N236</f>
        <v>0</v>
      </c>
      <c r="P195" s="11">
        <f>[1]ALL!O236</f>
        <v>0</v>
      </c>
      <c r="Q195" s="11">
        <f>[1]ALL!P236</f>
        <v>0</v>
      </c>
      <c r="R195" s="11">
        <f>[1]ALL!Q236</f>
        <v>0</v>
      </c>
      <c r="S195" s="11">
        <f>[1]ALL!R191</f>
        <v>0</v>
      </c>
      <c r="T195" s="9"/>
      <c r="U195" s="9"/>
      <c r="V195" s="10"/>
    </row>
    <row r="196" spans="1:22">
      <c r="A196" s="2">
        <v>216</v>
      </c>
      <c r="B196" s="1" t="str">
        <f>[1]ALL!A217</f>
        <v>3702G</v>
      </c>
      <c r="C196" s="2" t="str">
        <f>[1]ALL!B217</f>
        <v>Robo-ADS</v>
      </c>
      <c r="D196" s="2" t="str">
        <f>[1]ALL!C217</f>
        <v>Danville High School</v>
      </c>
      <c r="E196" s="2" t="str">
        <f>[1]ALL!D217</f>
        <v>Danville, Kentucky, United States</v>
      </c>
      <c r="F196" s="8">
        <f>[1]ALL!E217</f>
        <v>275</v>
      </c>
      <c r="G196" s="8">
        <f>[1]ALL!F217</f>
        <v>150</v>
      </c>
      <c r="H196" s="8">
        <f>[1]ALL!G217</f>
        <v>121.375</v>
      </c>
      <c r="I196" s="11">
        <f>[1]ALL!H217</f>
        <v>121.375</v>
      </c>
      <c r="J196" s="11">
        <f>[1]ALL!I217</f>
        <v>106.051</v>
      </c>
      <c r="K196" s="11">
        <f>[1]ALL!J217</f>
        <v>74.806700000000006</v>
      </c>
      <c r="L196" s="11">
        <f>[1]ALL!K217</f>
        <v>0</v>
      </c>
      <c r="M196" s="11">
        <f>[1]ALL!L217</f>
        <v>0</v>
      </c>
      <c r="N196" s="11">
        <f>[1]ALL!M217</f>
        <v>0</v>
      </c>
      <c r="O196" s="11">
        <f>[1]ALL!N217</f>
        <v>0</v>
      </c>
      <c r="P196" s="11">
        <f>[1]ALL!O217</f>
        <v>0</v>
      </c>
      <c r="Q196" s="11">
        <f>[1]ALL!P217</f>
        <v>0</v>
      </c>
      <c r="R196" s="11">
        <f>[1]ALL!Q217</f>
        <v>0</v>
      </c>
      <c r="S196" s="11">
        <f>[1]ALL!R192</f>
        <v>0</v>
      </c>
      <c r="T196" s="9"/>
      <c r="U196" s="9"/>
      <c r="V196" s="10"/>
    </row>
    <row r="197" spans="1:22">
      <c r="A197" s="2">
        <v>436</v>
      </c>
      <c r="B197" s="1" t="str">
        <f>[1]ALL!A437</f>
        <v>8800</v>
      </c>
      <c r="C197" s="2" t="str">
        <f>[1]ALL!B437</f>
        <v>Phoenix Lights</v>
      </c>
      <c r="D197" s="2" t="str">
        <f>[1]ALL!C437</f>
        <v>East Valley Community Robotics</v>
      </c>
      <c r="E197" s="2" t="str">
        <f>[1]ALL!D437</f>
        <v>Phoenix, Arizona, United States</v>
      </c>
      <c r="F197" s="8">
        <f>[1]ALL!E437</f>
        <v>131</v>
      </c>
      <c r="G197" s="8">
        <f>[1]ALL!F437</f>
        <v>150</v>
      </c>
      <c r="H197" s="8">
        <f>[1]ALL!G437</f>
        <v>113.8</v>
      </c>
      <c r="I197" s="11">
        <f>[1]ALL!H437</f>
        <v>58.3367</v>
      </c>
      <c r="J197" s="11">
        <f>[1]ALL!I437</f>
        <v>25.519300000000001</v>
      </c>
      <c r="K197" s="11">
        <f>[1]ALL!J437</f>
        <v>113.8</v>
      </c>
      <c r="L197" s="11">
        <f>[1]ALL!K437</f>
        <v>102.675</v>
      </c>
      <c r="M197" s="11">
        <f>[1]ALL!L437</f>
        <v>0</v>
      </c>
      <c r="N197" s="11">
        <f>[1]ALL!M437</f>
        <v>0</v>
      </c>
      <c r="O197" s="11">
        <f>[1]ALL!N437</f>
        <v>0</v>
      </c>
      <c r="P197" s="11">
        <f>[1]ALL!O437</f>
        <v>0</v>
      </c>
      <c r="Q197" s="11">
        <f>[1]ALL!P437</f>
        <v>0</v>
      </c>
      <c r="R197" s="11">
        <f>[1]ALL!Q437</f>
        <v>0</v>
      </c>
      <c r="S197" s="11">
        <f>[1]ALL!R193</f>
        <v>0</v>
      </c>
      <c r="T197" s="9"/>
      <c r="U197" s="9"/>
      <c r="V197" s="10"/>
    </row>
    <row r="198" spans="1:22">
      <c r="A198" s="2">
        <v>252</v>
      </c>
      <c r="B198" s="1" t="str">
        <f>[1]ALL!A253</f>
        <v>4716D</v>
      </c>
      <c r="C198" s="2" t="str">
        <f>[1]ALL!B253</f>
        <v>Pingree Servomatics</v>
      </c>
      <c r="D198" s="2" t="str">
        <f>[1]ALL!C253</f>
        <v>Pingree School</v>
      </c>
      <c r="E198" s="2" t="str">
        <f>[1]ALL!D253</f>
        <v>S. Hamilton, Massachusetts, United States</v>
      </c>
      <c r="F198" s="8">
        <f>[1]ALL!E253</f>
        <v>105</v>
      </c>
      <c r="G198" s="8">
        <f>[1]ALL!F253</f>
        <v>150</v>
      </c>
      <c r="H198" s="8">
        <f>[1]ALL!G253</f>
        <v>88.680400000000006</v>
      </c>
      <c r="I198" s="11">
        <f>[1]ALL!H253</f>
        <v>84.113200000000006</v>
      </c>
      <c r="J198" s="11">
        <f>[1]ALL!I253</f>
        <v>88.680400000000006</v>
      </c>
      <c r="K198" s="11">
        <f>[1]ALL!J253</f>
        <v>67.422200000000004</v>
      </c>
      <c r="L198" s="11">
        <f>[1]ALL!K253</f>
        <v>29.464300000000001</v>
      </c>
      <c r="M198" s="11">
        <f>[1]ALL!L253</f>
        <v>15.8947</v>
      </c>
      <c r="N198" s="11">
        <f>[1]ALL!M253</f>
        <v>0</v>
      </c>
      <c r="O198" s="11">
        <f>[1]ALL!N253</f>
        <v>0</v>
      </c>
      <c r="P198" s="11">
        <f>[1]ALL!O253</f>
        <v>0</v>
      </c>
      <c r="Q198" s="11">
        <f>[1]ALL!P253</f>
        <v>0</v>
      </c>
      <c r="R198" s="11">
        <f>[1]ALL!Q253</f>
        <v>0</v>
      </c>
      <c r="S198" s="11">
        <f>[1]ALL!R194</f>
        <v>0</v>
      </c>
      <c r="T198" s="9"/>
      <c r="U198" s="9"/>
      <c r="V198" s="10"/>
    </row>
    <row r="199" spans="1:22">
      <c r="A199" s="2">
        <v>222</v>
      </c>
      <c r="B199" s="1" t="str">
        <f>[1]ALL!A223</f>
        <v>3946A</v>
      </c>
      <c r="C199" s="2" t="str">
        <f>[1]ALL!B223</f>
        <v>Sun Devils</v>
      </c>
      <c r="D199" s="2" t="str">
        <f>[1]ALL!C223</f>
        <v>Kent Denver School</v>
      </c>
      <c r="E199" s="2" t="str">
        <f>[1]ALL!D223</f>
        <v>Englewood, Colorado, United States</v>
      </c>
      <c r="F199" s="8">
        <f>[1]ALL!E223</f>
        <v>359</v>
      </c>
      <c r="G199" s="8">
        <f>[1]ALL!F223</f>
        <v>148</v>
      </c>
      <c r="H199" s="8">
        <f>[1]ALL!G223</f>
        <v>104.44199999999999</v>
      </c>
      <c r="I199" s="11">
        <f>[1]ALL!H223</f>
        <v>96.911000000000001</v>
      </c>
      <c r="J199" s="11">
        <f>[1]ALL!I223</f>
        <v>69.733599999999996</v>
      </c>
      <c r="K199" s="11">
        <f>[1]ALL!J223</f>
        <v>68.135000000000005</v>
      </c>
      <c r="L199" s="11">
        <f>[1]ALL!K223</f>
        <v>104.44199999999999</v>
      </c>
      <c r="M199" s="11">
        <f>[1]ALL!L223</f>
        <v>50.923400000000001</v>
      </c>
      <c r="N199" s="11">
        <f>[1]ALL!M223</f>
        <v>73.137</v>
      </c>
      <c r="O199" s="11">
        <f>[1]ALL!N223</f>
        <v>0</v>
      </c>
      <c r="P199" s="11">
        <f>[1]ALL!O223</f>
        <v>0</v>
      </c>
      <c r="Q199" s="11">
        <f>[1]ALL!P223</f>
        <v>0</v>
      </c>
      <c r="R199" s="11">
        <f>[1]ALL!Q223</f>
        <v>0</v>
      </c>
      <c r="S199" s="11">
        <f>[1]ALL!R195</f>
        <v>0</v>
      </c>
      <c r="T199" s="9"/>
      <c r="U199" s="9"/>
      <c r="V199" s="10"/>
    </row>
    <row r="200" spans="1:22">
      <c r="A200" s="2">
        <v>460</v>
      </c>
      <c r="B200" s="1" t="str">
        <f>[1]ALL!A461</f>
        <v>9421</v>
      </c>
      <c r="C200" s="2" t="str">
        <f>[1]ALL!B461</f>
        <v>Triple Threat</v>
      </c>
      <c r="D200" s="2" t="str">
        <f>[1]ALL!C461</f>
        <v>Framingham High School</v>
      </c>
      <c r="E200" s="2" t="str">
        <f>[1]ALL!D461</f>
        <v>Framingham, Massachusetts, United States</v>
      </c>
      <c r="F200" s="8">
        <f>[1]ALL!E461</f>
        <v>225</v>
      </c>
      <c r="G200" s="8">
        <f>[1]ALL!F461</f>
        <v>147</v>
      </c>
      <c r="H200" s="8">
        <f>[1]ALL!G461</f>
        <v>85.816699999999997</v>
      </c>
      <c r="I200" s="11">
        <f>[1]ALL!H461</f>
        <v>85.816699999999997</v>
      </c>
      <c r="J200" s="11">
        <f>[1]ALL!I461</f>
        <v>73.719099999999997</v>
      </c>
      <c r="K200" s="11">
        <f>[1]ALL!J461</f>
        <v>72.901799999999994</v>
      </c>
      <c r="L200" s="11">
        <f>[1]ALL!K461</f>
        <v>45.982199999999999</v>
      </c>
      <c r="M200" s="11">
        <f>[1]ALL!L461</f>
        <v>35.690600000000003</v>
      </c>
      <c r="N200" s="11">
        <f>[1]ALL!M461</f>
        <v>45.247</v>
      </c>
      <c r="O200" s="11">
        <f>[1]ALL!N461</f>
        <v>0</v>
      </c>
      <c r="P200" s="11">
        <f>[1]ALL!O461</f>
        <v>0</v>
      </c>
      <c r="Q200" s="11">
        <f>[1]ALL!P461</f>
        <v>0</v>
      </c>
      <c r="R200" s="11">
        <f>[1]ALL!Q461</f>
        <v>0</v>
      </c>
      <c r="S200" s="11">
        <f>[1]ALL!R196</f>
        <v>0</v>
      </c>
      <c r="T200" s="9"/>
      <c r="U200" s="9"/>
      <c r="V200" s="10"/>
    </row>
    <row r="201" spans="1:22">
      <c r="A201" s="2">
        <v>209</v>
      </c>
      <c r="B201" s="1" t="str">
        <f>[1]ALL!A210</f>
        <v>3309B</v>
      </c>
      <c r="C201" s="2" t="str">
        <f>[1]ALL!B210</f>
        <v>Friarbots B</v>
      </c>
      <c r="D201" s="2" t="str">
        <f>[1]ALL!C210</f>
        <v>Servite High School</v>
      </c>
      <c r="E201" s="2" t="str">
        <f>[1]ALL!D210</f>
        <v>Anaheim, California, United States</v>
      </c>
      <c r="F201" s="8">
        <f>[1]ALL!E210</f>
        <v>198</v>
      </c>
      <c r="G201" s="8">
        <f>[1]ALL!F210</f>
        <v>147</v>
      </c>
      <c r="H201" s="8">
        <f>[1]ALL!G210</f>
        <v>130.304</v>
      </c>
      <c r="I201" s="11">
        <f>[1]ALL!H210</f>
        <v>91.408100000000005</v>
      </c>
      <c r="J201" s="11">
        <f>[1]ALL!I210</f>
        <v>130.304</v>
      </c>
      <c r="K201" s="11">
        <f>[1]ALL!J210</f>
        <v>87.3232</v>
      </c>
      <c r="L201" s="11">
        <f>[1]ALL!K210</f>
        <v>103.559</v>
      </c>
      <c r="M201" s="11">
        <f>[1]ALL!L210</f>
        <v>119.42400000000001</v>
      </c>
      <c r="N201" s="11">
        <f>[1]ALL!M210</f>
        <v>40.173299999999998</v>
      </c>
      <c r="O201" s="11">
        <f>[1]ALL!N210</f>
        <v>52.271799999999999</v>
      </c>
      <c r="P201" s="11">
        <f>[1]ALL!O210</f>
        <v>34.406999999999996</v>
      </c>
      <c r="Q201" s="11">
        <f>[1]ALL!P210</f>
        <v>0</v>
      </c>
      <c r="R201" s="11">
        <f>[1]ALL!Q210</f>
        <v>0</v>
      </c>
      <c r="S201" s="11">
        <f>[1]ALL!R197</f>
        <v>0</v>
      </c>
      <c r="T201" s="9"/>
      <c r="U201" s="9"/>
      <c r="V201" s="10"/>
    </row>
    <row r="202" spans="1:22">
      <c r="A202" s="2">
        <v>75</v>
      </c>
      <c r="B202" s="1" t="str">
        <f>[1]ALL!A76</f>
        <v>628A</v>
      </c>
      <c r="C202" s="2" t="str">
        <f>[1]ALL!B76</f>
        <v>Monroe Engineering</v>
      </c>
      <c r="D202" s="2" t="str">
        <f>[1]ALL!C76</f>
        <v>James Monroe High School //////////////// Engineering and Design</v>
      </c>
      <c r="E202" s="2" t="str">
        <f>[1]ALL!D76</f>
        <v>North Hills, California, United States</v>
      </c>
      <c r="F202" s="8">
        <f>[1]ALL!E76</f>
        <v>147</v>
      </c>
      <c r="G202" s="8">
        <f>[1]ALL!F76</f>
        <v>147</v>
      </c>
      <c r="H202" s="8">
        <f>[1]ALL!G76</f>
        <v>97.646900000000002</v>
      </c>
      <c r="I202" s="11">
        <f>[1]ALL!H76</f>
        <v>97.646900000000002</v>
      </c>
      <c r="J202" s="11">
        <f>[1]ALL!I76</f>
        <v>19.026199999999999</v>
      </c>
      <c r="K202" s="11">
        <f>[1]ALL!J76</f>
        <v>48.345100000000002</v>
      </c>
      <c r="L202" s="11">
        <f>[1]ALL!K76</f>
        <v>0</v>
      </c>
      <c r="M202" s="11">
        <f>[1]ALL!L76</f>
        <v>0</v>
      </c>
      <c r="N202" s="11">
        <f>[1]ALL!M76</f>
        <v>0</v>
      </c>
      <c r="O202" s="11">
        <f>[1]ALL!N76</f>
        <v>0</v>
      </c>
      <c r="P202" s="11">
        <f>[1]ALL!O76</f>
        <v>0</v>
      </c>
      <c r="Q202" s="11">
        <f>[1]ALL!P76</f>
        <v>0</v>
      </c>
      <c r="R202" s="11">
        <f>[1]ALL!Q76</f>
        <v>0</v>
      </c>
      <c r="S202" s="11">
        <f>[1]ALL!R198</f>
        <v>0</v>
      </c>
      <c r="T202" s="9"/>
      <c r="U202" s="9"/>
      <c r="V202" s="10"/>
    </row>
    <row r="203" spans="1:22">
      <c r="A203" s="2">
        <v>477</v>
      </c>
      <c r="B203" s="1" t="str">
        <f>[1]ALL!A478</f>
        <v>9920</v>
      </c>
      <c r="C203" s="2" t="str">
        <f>[1]ALL!B478</f>
        <v>Sailor Robotics</v>
      </c>
      <c r="D203" s="2" t="str">
        <f>[1]ALL!C478</f>
        <v>Sarasota High School</v>
      </c>
      <c r="E203" s="2" t="str">
        <f>[1]ALL!D478</f>
        <v>Sarasota, Florida, United States</v>
      </c>
      <c r="F203" s="8">
        <f>[1]ALL!E478</f>
        <v>300</v>
      </c>
      <c r="G203" s="8">
        <f>[1]ALL!F478</f>
        <v>146</v>
      </c>
      <c r="H203" s="8">
        <f>[1]ALL!G478</f>
        <v>79.531999999999996</v>
      </c>
      <c r="I203" s="11">
        <f>[1]ALL!H478</f>
        <v>0</v>
      </c>
      <c r="J203" s="11">
        <f>[1]ALL!I478</f>
        <v>79.531999999999996</v>
      </c>
      <c r="K203" s="11">
        <f>[1]ALL!J478</f>
        <v>66.351299999999995</v>
      </c>
      <c r="L203" s="11">
        <f>[1]ALL!K478</f>
        <v>0</v>
      </c>
      <c r="M203" s="11">
        <f>[1]ALL!L478</f>
        <v>0</v>
      </c>
      <c r="N203" s="11">
        <f>[1]ALL!M478</f>
        <v>0</v>
      </c>
      <c r="O203" s="11">
        <f>[1]ALL!N478</f>
        <v>0</v>
      </c>
      <c r="P203" s="11">
        <f>[1]ALL!O478</f>
        <v>0</v>
      </c>
      <c r="Q203" s="11">
        <f>[1]ALL!P478</f>
        <v>0</v>
      </c>
      <c r="R203" s="11">
        <f>[1]ALL!Q478</f>
        <v>0</v>
      </c>
      <c r="S203" s="11">
        <f>[1]ALL!R199</f>
        <v>0</v>
      </c>
      <c r="T203" s="9"/>
      <c r="U203" s="9"/>
      <c r="V203" s="10"/>
    </row>
    <row r="204" spans="1:22">
      <c r="A204" s="2">
        <v>458</v>
      </c>
      <c r="B204" s="1" t="str">
        <f>[1]ALL!A459</f>
        <v>9364C</v>
      </c>
      <c r="C204" s="2" t="str">
        <f>[1]ALL!B459</f>
        <v>Iron Eagles</v>
      </c>
      <c r="D204" s="2" t="str">
        <f>[1]ALL!C459</f>
        <v>Brentwood Academy</v>
      </c>
      <c r="E204" s="2" t="str">
        <f>[1]ALL!D459</f>
        <v>Brentwood, Tennessee, United States</v>
      </c>
      <c r="F204" s="8">
        <f>[1]ALL!E459</f>
        <v>287</v>
      </c>
      <c r="G204" s="8">
        <f>[1]ALL!F459</f>
        <v>146</v>
      </c>
      <c r="H204" s="8">
        <f>[1]ALL!G459</f>
        <v>103.898</v>
      </c>
      <c r="I204" s="11">
        <f>[1]ALL!H459</f>
        <v>103.898</v>
      </c>
      <c r="J204" s="11">
        <f>[1]ALL!I459</f>
        <v>86.001099999999994</v>
      </c>
      <c r="K204" s="11">
        <f>[1]ALL!J459</f>
        <v>98.8429</v>
      </c>
      <c r="L204" s="11">
        <f>[1]ALL!K459</f>
        <v>87.537899999999993</v>
      </c>
      <c r="M204" s="11">
        <f>[1]ALL!L459</f>
        <v>47.779299999999999</v>
      </c>
      <c r="N204" s="11">
        <f>[1]ALL!M459</f>
        <v>40.892899999999997</v>
      </c>
      <c r="O204" s="11">
        <f>[1]ALL!N459</f>
        <v>14.3568</v>
      </c>
      <c r="P204" s="11">
        <f>[1]ALL!O459</f>
        <v>0</v>
      </c>
      <c r="Q204" s="11">
        <f>[1]ALL!P459</f>
        <v>0</v>
      </c>
      <c r="R204" s="11">
        <f>[1]ALL!Q459</f>
        <v>0</v>
      </c>
      <c r="S204" s="11">
        <f>[1]ALL!R200</f>
        <v>0</v>
      </c>
      <c r="T204" s="9"/>
      <c r="U204" s="9"/>
      <c r="V204" s="10"/>
    </row>
    <row r="205" spans="1:22">
      <c r="A205" s="2">
        <v>262</v>
      </c>
      <c r="B205" s="1" t="str">
        <f>[1]ALL!A263</f>
        <v>4886A</v>
      </c>
      <c r="C205" s="2" t="str">
        <f>[1]ALL!B263</f>
        <v>Black Mesa</v>
      </c>
      <c r="D205" s="2" t="str">
        <f>[1]ALL!C263</f>
        <v>Thetford Academy</v>
      </c>
      <c r="E205" s="2" t="str">
        <f>[1]ALL!D263</f>
        <v>Thetford, Vermont, United States</v>
      </c>
      <c r="F205" s="8">
        <f>[1]ALL!E263</f>
        <v>163</v>
      </c>
      <c r="G205" s="8">
        <f>[1]ALL!F263</f>
        <v>146</v>
      </c>
      <c r="H205" s="8">
        <f>[1]ALL!G263</f>
        <v>125.179</v>
      </c>
      <c r="I205" s="11">
        <f>[1]ALL!H263</f>
        <v>125.179</v>
      </c>
      <c r="J205" s="11">
        <f>[1]ALL!I263</f>
        <v>71.413799999999995</v>
      </c>
      <c r="K205" s="11">
        <f>[1]ALL!J263</f>
        <v>84.884299999999996</v>
      </c>
      <c r="L205" s="11">
        <f>[1]ALL!K263</f>
        <v>43.179400000000001</v>
      </c>
      <c r="M205" s="11">
        <f>[1]ALL!L263</f>
        <v>31.5123</v>
      </c>
      <c r="N205" s="11">
        <f>[1]ALL!M263</f>
        <v>0</v>
      </c>
      <c r="O205" s="11">
        <f>[1]ALL!N263</f>
        <v>0</v>
      </c>
      <c r="P205" s="11">
        <f>[1]ALL!O263</f>
        <v>0</v>
      </c>
      <c r="Q205" s="11">
        <f>[1]ALL!P263</f>
        <v>0</v>
      </c>
      <c r="R205" s="11">
        <f>[1]ALL!Q263</f>
        <v>0</v>
      </c>
      <c r="S205" s="11">
        <f>[1]ALL!R201</f>
        <v>0</v>
      </c>
      <c r="T205" s="9"/>
      <c r="U205" s="9"/>
      <c r="V205" s="10"/>
    </row>
    <row r="206" spans="1:22">
      <c r="A206" s="2">
        <v>64</v>
      </c>
      <c r="B206" s="1" t="str">
        <f>[1]ALL!A65</f>
        <v>464H</v>
      </c>
      <c r="C206" s="2" t="str">
        <f>[1]ALL!B65</f>
        <v>Phobos</v>
      </c>
      <c r="D206" s="2" t="str">
        <f>[1]ALL!C65</f>
        <v>Forest Hills High School</v>
      </c>
      <c r="E206" s="2" t="str">
        <f>[1]ALL!D65</f>
        <v>Sidman, Pennsylvania, United States</v>
      </c>
      <c r="F206" s="8">
        <f>[1]ALL!E65</f>
        <v>103</v>
      </c>
      <c r="G206" s="8">
        <f>[1]ALL!F65</f>
        <v>146</v>
      </c>
      <c r="H206" s="8">
        <f>[1]ALL!G65</f>
        <v>144.14599999999999</v>
      </c>
      <c r="I206" s="11">
        <f>[1]ALL!H65</f>
        <v>144.14599999999999</v>
      </c>
      <c r="J206" s="11">
        <f>[1]ALL!I65</f>
        <v>93.637299999999996</v>
      </c>
      <c r="K206" s="11">
        <f>[1]ALL!J65</f>
        <v>0</v>
      </c>
      <c r="L206" s="11">
        <f>[1]ALL!K65</f>
        <v>0</v>
      </c>
      <c r="M206" s="11">
        <f>[1]ALL!L65</f>
        <v>0</v>
      </c>
      <c r="N206" s="11">
        <f>[1]ALL!M65</f>
        <v>0</v>
      </c>
      <c r="O206" s="11">
        <f>[1]ALL!N65</f>
        <v>0</v>
      </c>
      <c r="P206" s="11">
        <f>[1]ALL!O65</f>
        <v>0</v>
      </c>
      <c r="Q206" s="11">
        <f>[1]ALL!P65</f>
        <v>0</v>
      </c>
      <c r="R206" s="11">
        <f>[1]ALL!Q65</f>
        <v>0</v>
      </c>
      <c r="S206" s="11">
        <f>[1]ALL!R202</f>
        <v>0</v>
      </c>
      <c r="T206" s="9"/>
      <c r="U206" s="9"/>
      <c r="V206" s="10"/>
    </row>
    <row r="207" spans="1:22">
      <c r="A207" s="2">
        <v>478</v>
      </c>
      <c r="B207" s="1" t="str">
        <f>[1]ALL!A479</f>
        <v>9932</v>
      </c>
      <c r="C207" s="2" t="str">
        <f>[1]ALL!B479</f>
        <v>Hawks</v>
      </c>
      <c r="D207" s="2" t="str">
        <f>[1]ALL!C479</f>
        <v>Jericho High School</v>
      </c>
      <c r="E207" s="2" t="str">
        <f>[1]ALL!D479</f>
        <v>Jericho, New York, United States</v>
      </c>
      <c r="F207" s="8">
        <f>[1]ALL!E479</f>
        <v>56</v>
      </c>
      <c r="G207" s="8">
        <f>[1]ALL!F479</f>
        <v>146</v>
      </c>
      <c r="H207" s="8">
        <f>[1]ALL!G479</f>
        <v>84.776700000000005</v>
      </c>
      <c r="I207" s="11">
        <f>[1]ALL!H479</f>
        <v>84.776700000000005</v>
      </c>
      <c r="J207" s="11">
        <f>[1]ALL!I479</f>
        <v>63.548299999999998</v>
      </c>
      <c r="K207" s="11">
        <f>[1]ALL!J479</f>
        <v>67.640799999999999</v>
      </c>
      <c r="L207" s="11">
        <f>[1]ALL!K479</f>
        <v>73.188999999999993</v>
      </c>
      <c r="M207" s="11">
        <f>[1]ALL!L479</f>
        <v>52.500900000000001</v>
      </c>
      <c r="N207" s="11">
        <f>[1]ALL!M479</f>
        <v>39.500399999999999</v>
      </c>
      <c r="O207" s="11">
        <f>[1]ALL!N479</f>
        <v>0</v>
      </c>
      <c r="P207" s="11">
        <f>[1]ALL!O479</f>
        <v>0</v>
      </c>
      <c r="Q207" s="11">
        <f>[1]ALL!P479</f>
        <v>0</v>
      </c>
      <c r="R207" s="11">
        <f>[1]ALL!Q479</f>
        <v>0</v>
      </c>
      <c r="S207" s="11">
        <f>[1]ALL!R203</f>
        <v>0</v>
      </c>
      <c r="T207" s="9"/>
      <c r="U207" s="9"/>
      <c r="V207" s="10"/>
    </row>
    <row r="208" spans="1:22">
      <c r="A208" s="2">
        <v>201</v>
      </c>
      <c r="B208" s="1" t="str">
        <f>[1]ALL!A202</f>
        <v>3118A</v>
      </c>
      <c r="C208" s="2" t="str">
        <f>[1]ALL!B202</f>
        <v>IVEX</v>
      </c>
      <c r="D208" s="2" t="str">
        <f>[1]ALL!C202</f>
        <v>Clear Creek ISD</v>
      </c>
      <c r="E208" s="2" t="str">
        <f>[1]ALL!D202</f>
        <v>League City, Texas, United States</v>
      </c>
      <c r="F208" s="8">
        <f>[1]ALL!E202</f>
        <v>346</v>
      </c>
      <c r="G208" s="8">
        <f>[1]ALL!F202</f>
        <v>145</v>
      </c>
      <c r="H208" s="8">
        <f>[1]ALL!G202</f>
        <v>179.071</v>
      </c>
      <c r="I208" s="11">
        <f>[1]ALL!H202</f>
        <v>179.071</v>
      </c>
      <c r="J208" s="11">
        <f>[1]ALL!I202</f>
        <v>131.09299999999999</v>
      </c>
      <c r="K208" s="11">
        <f>[1]ALL!J202</f>
        <v>100.76</v>
      </c>
      <c r="L208" s="11">
        <f>[1]ALL!K202</f>
        <v>33.687600000000003</v>
      </c>
      <c r="M208" s="11">
        <f>[1]ALL!L202</f>
        <v>36.582999999999998</v>
      </c>
      <c r="N208" s="11">
        <f>[1]ALL!M202</f>
        <v>0</v>
      </c>
      <c r="O208" s="11">
        <f>[1]ALL!N202</f>
        <v>0</v>
      </c>
      <c r="P208" s="11">
        <f>[1]ALL!O202</f>
        <v>0</v>
      </c>
      <c r="Q208" s="11">
        <f>[1]ALL!P202</f>
        <v>0</v>
      </c>
      <c r="R208" s="11">
        <f>[1]ALL!Q202</f>
        <v>0</v>
      </c>
      <c r="S208" s="11">
        <f>[1]ALL!R204</f>
        <v>0</v>
      </c>
      <c r="T208" s="9"/>
      <c r="U208" s="9"/>
      <c r="V208" s="10"/>
    </row>
    <row r="209" spans="1:22">
      <c r="A209" s="2">
        <v>212</v>
      </c>
      <c r="B209" s="1" t="str">
        <f>[1]ALL!A213</f>
        <v>3388T</v>
      </c>
      <c r="C209" s="2" t="str">
        <f>[1]ALL!B213</f>
        <v>TurboTech</v>
      </c>
      <c r="D209" s="2" t="str">
        <f>[1]ALL!C213</f>
        <v>Sir Winston Churchill High School</v>
      </c>
      <c r="E209" s="2" t="str">
        <f>[1]ALL!D213</f>
        <v>Calgary, Alberta, Canada</v>
      </c>
      <c r="F209" s="8">
        <f>[1]ALL!E213</f>
        <v>305</v>
      </c>
      <c r="G209" s="8">
        <f>[1]ALL!F213</f>
        <v>145</v>
      </c>
      <c r="H209" s="8">
        <f>[1]ALL!G213</f>
        <v>138.31899999999999</v>
      </c>
      <c r="I209" s="11">
        <f>[1]ALL!H213</f>
        <v>138.31899999999999</v>
      </c>
      <c r="J209" s="11">
        <f>[1]ALL!I213</f>
        <v>95.3</v>
      </c>
      <c r="K209" s="11">
        <f>[1]ALL!J213</f>
        <v>124.664</v>
      </c>
      <c r="L209" s="11">
        <f>[1]ALL!K213</f>
        <v>73.139600000000002</v>
      </c>
      <c r="M209" s="11">
        <f>[1]ALL!L213</f>
        <v>0</v>
      </c>
      <c r="N209" s="11">
        <f>[1]ALL!M213</f>
        <v>0</v>
      </c>
      <c r="O209" s="11">
        <f>[1]ALL!N213</f>
        <v>0</v>
      </c>
      <c r="P209" s="11">
        <f>[1]ALL!O213</f>
        <v>0</v>
      </c>
      <c r="Q209" s="11">
        <f>[1]ALL!P213</f>
        <v>0</v>
      </c>
      <c r="R209" s="11">
        <f>[1]ALL!Q213</f>
        <v>0</v>
      </c>
      <c r="S209" s="11">
        <f>[1]ALL!R205</f>
        <v>0</v>
      </c>
      <c r="T209" s="9"/>
      <c r="U209" s="9"/>
      <c r="V209" s="10"/>
    </row>
    <row r="210" spans="1:22">
      <c r="A210" s="2">
        <v>444</v>
      </c>
      <c r="B210" s="1" t="str">
        <f>[1]ALL!A445</f>
        <v>9019A</v>
      </c>
      <c r="C210" s="2" t="str">
        <f>[1]ALL!B445</f>
        <v>Atomic Wolf Pack</v>
      </c>
      <c r="D210" s="2" t="str">
        <f>[1]ALL!C445</f>
        <v>Roosevelt High School</v>
      </c>
      <c r="E210" s="2" t="str">
        <f>[1]ALL!D445</f>
        <v>Johnstown, Colorado, United States</v>
      </c>
      <c r="F210" s="8">
        <f>[1]ALL!E445</f>
        <v>221</v>
      </c>
      <c r="G210" s="8">
        <f>[1]ALL!F445</f>
        <v>145</v>
      </c>
      <c r="H210" s="8">
        <f>[1]ALL!G445</f>
        <v>130.953</v>
      </c>
      <c r="I210" s="11">
        <f>[1]ALL!H445</f>
        <v>79.619900000000001</v>
      </c>
      <c r="J210" s="11">
        <f>[1]ALL!I445</f>
        <v>83.852400000000003</v>
      </c>
      <c r="K210" s="11">
        <f>[1]ALL!J445</f>
        <v>48.768300000000004</v>
      </c>
      <c r="L210" s="11">
        <f>[1]ALL!K445</f>
        <v>113.13200000000001</v>
      </c>
      <c r="M210" s="11">
        <f>[1]ALL!L445</f>
        <v>130.953</v>
      </c>
      <c r="N210" s="11">
        <f>[1]ALL!M445</f>
        <v>101.416</v>
      </c>
      <c r="O210" s="11">
        <f>[1]ALL!N445</f>
        <v>57.374899999999997</v>
      </c>
      <c r="P210" s="11">
        <f>[1]ALL!O445</f>
        <v>0</v>
      </c>
      <c r="Q210" s="11">
        <f>[1]ALL!P445</f>
        <v>0</v>
      </c>
      <c r="R210" s="11">
        <f>[1]ALL!Q445</f>
        <v>0</v>
      </c>
      <c r="S210" s="11">
        <f>[1]ALL!R206</f>
        <v>0</v>
      </c>
      <c r="T210" s="9"/>
      <c r="U210" s="9"/>
      <c r="V210" s="10"/>
    </row>
    <row r="211" spans="1:22">
      <c r="A211" s="2">
        <v>321</v>
      </c>
      <c r="B211" s="1" t="str">
        <f>[1]ALL!A322</f>
        <v>6106A</v>
      </c>
      <c r="C211" s="2" t="str">
        <f>[1]ALL!B322</f>
        <v>Choate Robotics</v>
      </c>
      <c r="D211" s="2" t="str">
        <f>[1]ALL!C322</f>
        <v>Choate Rosemary Hall</v>
      </c>
      <c r="E211" s="2" t="str">
        <f>[1]ALL!D322</f>
        <v>Wallingford, Connecticut, United States</v>
      </c>
      <c r="F211" s="8">
        <f>[1]ALL!E322</f>
        <v>117</v>
      </c>
      <c r="G211" s="8">
        <f>[1]ALL!F322</f>
        <v>145</v>
      </c>
      <c r="H211" s="8">
        <f>[1]ALL!G322</f>
        <v>124.977</v>
      </c>
      <c r="I211" s="11">
        <f>[1]ALL!H322</f>
        <v>76.5304</v>
      </c>
      <c r="J211" s="11">
        <f>[1]ALL!I322</f>
        <v>124.977</v>
      </c>
      <c r="K211" s="11">
        <f>[1]ALL!J322</f>
        <v>118.92100000000001</v>
      </c>
      <c r="L211" s="11">
        <f>[1]ALL!K322</f>
        <v>91.825900000000004</v>
      </c>
      <c r="M211" s="11">
        <f>[1]ALL!L322</f>
        <v>25.0335</v>
      </c>
      <c r="N211" s="11">
        <f>[1]ALL!M322</f>
        <v>20.563800000000001</v>
      </c>
      <c r="O211" s="11">
        <f>[1]ALL!N322</f>
        <v>24.290400000000002</v>
      </c>
      <c r="P211" s="11">
        <f>[1]ALL!O322</f>
        <v>0</v>
      </c>
      <c r="Q211" s="11">
        <f>[1]ALL!P322</f>
        <v>0</v>
      </c>
      <c r="R211" s="11">
        <f>[1]ALL!Q322</f>
        <v>0</v>
      </c>
      <c r="S211" s="11">
        <f>[1]ALL!R207</f>
        <v>0</v>
      </c>
      <c r="T211" s="9"/>
      <c r="U211" s="9"/>
      <c r="V211" s="10"/>
    </row>
    <row r="212" spans="1:22">
      <c r="A212" s="2">
        <v>174</v>
      </c>
      <c r="B212" s="1" t="str">
        <f>[1]ALL!A175</f>
        <v>2353A</v>
      </c>
      <c r="C212" s="2" t="str">
        <f>[1]ALL!B175</f>
        <v>Esc. Bellas Artes HS ADV</v>
      </c>
      <c r="D212" s="2" t="str">
        <f>[1]ALL!C175</f>
        <v>Bellas Artes</v>
      </c>
      <c r="E212" s="2" t="str">
        <f>[1]ALL!D175</f>
        <v>Humacao, Not Applicable or Not Listed, Puerto Rico</v>
      </c>
      <c r="F212" s="8">
        <f>[1]ALL!E175</f>
        <v>106</v>
      </c>
      <c r="G212" s="8">
        <f>[1]ALL!F175</f>
        <v>145</v>
      </c>
      <c r="H212" s="8">
        <f>[1]ALL!G175</f>
        <v>124.336</v>
      </c>
      <c r="I212" s="11">
        <f>[1]ALL!H175</f>
        <v>112.276</v>
      </c>
      <c r="J212" s="11">
        <f>[1]ALL!I175</f>
        <v>124.336</v>
      </c>
      <c r="K212" s="11">
        <f>[1]ALL!J175</f>
        <v>67.242199999999997</v>
      </c>
      <c r="L212" s="11">
        <f>[1]ALL!K175</f>
        <v>59.172199999999997</v>
      </c>
      <c r="M212" s="11">
        <f>[1]ALL!L175</f>
        <v>0</v>
      </c>
      <c r="N212" s="11">
        <f>[1]ALL!M175</f>
        <v>0</v>
      </c>
      <c r="O212" s="11">
        <f>[1]ALL!N175</f>
        <v>0</v>
      </c>
      <c r="P212" s="11">
        <f>[1]ALL!O175</f>
        <v>0</v>
      </c>
      <c r="Q212" s="11">
        <f>[1]ALL!P175</f>
        <v>0</v>
      </c>
      <c r="R212" s="11">
        <f>[1]ALL!Q175</f>
        <v>0</v>
      </c>
      <c r="S212" s="11">
        <f>[1]ALL!R208</f>
        <v>0</v>
      </c>
      <c r="T212" s="9"/>
      <c r="U212" s="9"/>
      <c r="V212" s="10"/>
    </row>
    <row r="213" spans="1:22">
      <c r="A213" s="2">
        <v>231</v>
      </c>
      <c r="B213" s="1" t="str">
        <f>[1]ALL!A232</f>
        <v>4142B</v>
      </c>
      <c r="C213" s="2" t="str">
        <f>[1]ALL!B232</f>
        <v>Pearl City High School</v>
      </c>
      <c r="D213" s="2" t="str">
        <f>[1]ALL!C232</f>
        <v>Pearl City High School</v>
      </c>
      <c r="E213" s="2" t="str">
        <f>[1]ALL!D232</f>
        <v>Pearl City, Hawaii, United States</v>
      </c>
      <c r="F213" s="8">
        <f>[1]ALL!E232</f>
        <v>291</v>
      </c>
      <c r="G213" s="8">
        <f>[1]ALL!F232</f>
        <v>142</v>
      </c>
      <c r="H213" s="8">
        <f>[1]ALL!G232</f>
        <v>101.355</v>
      </c>
      <c r="I213" s="11">
        <f>[1]ALL!H232</f>
        <v>75.552400000000006</v>
      </c>
      <c r="J213" s="11">
        <f>[1]ALL!I232</f>
        <v>94.464600000000004</v>
      </c>
      <c r="K213" s="11">
        <f>[1]ALL!J232</f>
        <v>101.355</v>
      </c>
      <c r="L213" s="11">
        <f>[1]ALL!K232</f>
        <v>55.485599999999998</v>
      </c>
      <c r="M213" s="11">
        <f>[1]ALL!L232</f>
        <v>0</v>
      </c>
      <c r="N213" s="11">
        <f>[1]ALL!M232</f>
        <v>0</v>
      </c>
      <c r="O213" s="11">
        <f>[1]ALL!N232</f>
        <v>0</v>
      </c>
      <c r="P213" s="11">
        <f>[1]ALL!O232</f>
        <v>0</v>
      </c>
      <c r="Q213" s="11">
        <f>[1]ALL!P232</f>
        <v>0</v>
      </c>
      <c r="R213" s="11">
        <f>[1]ALL!Q232</f>
        <v>0</v>
      </c>
      <c r="S213" s="11">
        <f>[1]ALL!R209</f>
        <v>0</v>
      </c>
      <c r="T213" s="9"/>
      <c r="U213" s="9"/>
      <c r="V213" s="10"/>
    </row>
    <row r="214" spans="1:22">
      <c r="A214" s="2">
        <v>5</v>
      </c>
      <c r="B214" s="1" t="str">
        <f>[1]ALL!A6</f>
        <v>10Q</v>
      </c>
      <c r="C214" s="2" t="str">
        <f>[1]ALL!B6</f>
        <v>Exothermic Quties</v>
      </c>
      <c r="D214" s="2" t="str">
        <f>[1]ALL!C6</f>
        <v>Exothermic Robotics</v>
      </c>
      <c r="E214" s="2" t="str">
        <f>[1]ALL!D6</f>
        <v>Redmond, Washington, United States</v>
      </c>
      <c r="F214" s="8">
        <f>[1]ALL!E6</f>
        <v>316</v>
      </c>
      <c r="G214" s="8">
        <f>[1]ALL!F6</f>
        <v>141</v>
      </c>
      <c r="H214" s="8">
        <f>[1]ALL!G6</f>
        <v>149.648</v>
      </c>
      <c r="I214" s="11">
        <f>[1]ALL!H6</f>
        <v>149.648</v>
      </c>
      <c r="J214" s="11">
        <f>[1]ALL!I6</f>
        <v>145.149</v>
      </c>
      <c r="K214" s="11">
        <f>[1]ALL!J6</f>
        <v>120.913</v>
      </c>
      <c r="L214" s="11">
        <f>[1]ALL!K6</f>
        <v>137.77500000000001</v>
      </c>
      <c r="M214" s="11">
        <f>[1]ALL!L6</f>
        <v>146.43</v>
      </c>
      <c r="N214" s="11">
        <f>[1]ALL!M6</f>
        <v>65.663200000000003</v>
      </c>
      <c r="O214" s="11">
        <f>[1]ALL!N6</f>
        <v>0</v>
      </c>
      <c r="P214" s="11">
        <f>[1]ALL!O6</f>
        <v>0</v>
      </c>
      <c r="Q214" s="11">
        <f>[1]ALL!P6</f>
        <v>0</v>
      </c>
      <c r="R214" s="11">
        <f>[1]ALL!Q6</f>
        <v>0</v>
      </c>
      <c r="S214" s="11">
        <f>[1]ALL!R210</f>
        <v>0</v>
      </c>
      <c r="T214" s="9"/>
      <c r="U214" s="9"/>
      <c r="V214" s="10"/>
    </row>
    <row r="215" spans="1:22">
      <c r="A215" s="2">
        <v>347</v>
      </c>
      <c r="B215" s="1" t="str">
        <f>[1]ALL!A348</f>
        <v>6813B</v>
      </c>
      <c r="C215" s="2" t="str">
        <f>[1]ALL!B348</f>
        <v>MW M^3</v>
      </c>
      <c r="D215" s="2" t="str">
        <f>[1]ALL!C348</f>
        <v>MILLARD WEST HIGH SCHOOL</v>
      </c>
      <c r="E215" s="2" t="str">
        <f>[1]ALL!D348</f>
        <v>OMAHA, Nebraska, United States</v>
      </c>
      <c r="F215" s="8">
        <f>[1]ALL!E348</f>
        <v>306</v>
      </c>
      <c r="G215" s="8">
        <f>[1]ALL!F348</f>
        <v>141</v>
      </c>
      <c r="H215" s="8">
        <f>[1]ALL!G348</f>
        <v>107.57599999999999</v>
      </c>
      <c r="I215" s="11">
        <f>[1]ALL!H348</f>
        <v>93.349800000000002</v>
      </c>
      <c r="J215" s="11">
        <f>[1]ALL!I348</f>
        <v>34.460500000000003</v>
      </c>
      <c r="K215" s="11">
        <f>[1]ALL!J348</f>
        <v>67.002300000000005</v>
      </c>
      <c r="L215" s="11">
        <f>[1]ALL!K348</f>
        <v>90.234099999999998</v>
      </c>
      <c r="M215" s="11">
        <f>[1]ALL!L348</f>
        <v>107.57599999999999</v>
      </c>
      <c r="N215" s="11">
        <f>[1]ALL!M348</f>
        <v>88.331800000000001</v>
      </c>
      <c r="O215" s="11">
        <f>[1]ALL!N348</f>
        <v>0</v>
      </c>
      <c r="P215" s="11">
        <f>[1]ALL!O348</f>
        <v>0</v>
      </c>
      <c r="Q215" s="11">
        <f>[1]ALL!P348</f>
        <v>0</v>
      </c>
      <c r="R215" s="11">
        <f>[1]ALL!Q348</f>
        <v>0</v>
      </c>
      <c r="S215" s="11">
        <f>[1]ALL!R211</f>
        <v>0</v>
      </c>
      <c r="T215" s="9"/>
      <c r="U215" s="9"/>
      <c r="V215" s="10"/>
    </row>
    <row r="216" spans="1:22">
      <c r="A216" s="2">
        <v>117</v>
      </c>
      <c r="B216" s="1" t="str">
        <f>[1]ALL!A118</f>
        <v>1233A</v>
      </c>
      <c r="C216" s="2" t="str">
        <f>[1]ALL!B118</f>
        <v>UnderDogs</v>
      </c>
      <c r="D216" s="2" t="str">
        <f>[1]ALL!C118</f>
        <v>Crown Point High School</v>
      </c>
      <c r="E216" s="2" t="str">
        <f>[1]ALL!D118</f>
        <v>Crown Point, Indiana, United States</v>
      </c>
      <c r="F216" s="8">
        <f>[1]ALL!E118</f>
        <v>236</v>
      </c>
      <c r="G216" s="8">
        <f>[1]ALL!F118</f>
        <v>141</v>
      </c>
      <c r="H216" s="8">
        <f>[1]ALL!G118</f>
        <v>109.902</v>
      </c>
      <c r="I216" s="11">
        <f>[1]ALL!H118</f>
        <v>92.043300000000002</v>
      </c>
      <c r="J216" s="11">
        <f>[1]ALL!I118</f>
        <v>63.863900000000001</v>
      </c>
      <c r="K216" s="11">
        <f>[1]ALL!J118</f>
        <v>109.902</v>
      </c>
      <c r="L216" s="11">
        <f>[1]ALL!K118</f>
        <v>89.919499999999999</v>
      </c>
      <c r="M216" s="11">
        <f>[1]ALL!L118</f>
        <v>53.512300000000003</v>
      </c>
      <c r="N216" s="11">
        <f>[1]ALL!M118</f>
        <v>84.398300000000006</v>
      </c>
      <c r="O216" s="11">
        <f>[1]ALL!N118</f>
        <v>54.042400000000001</v>
      </c>
      <c r="P216" s="11">
        <f>[1]ALL!O118</f>
        <v>68.332800000000006</v>
      </c>
      <c r="Q216" s="11">
        <f>[1]ALL!P118</f>
        <v>54.723300000000002</v>
      </c>
      <c r="R216" s="11">
        <f>[1]ALL!Q118</f>
        <v>51.338700000000003</v>
      </c>
      <c r="S216" s="11">
        <f>[1]ALL!R212</f>
        <v>0</v>
      </c>
      <c r="T216" s="9"/>
      <c r="U216" s="9"/>
      <c r="V216" s="10"/>
    </row>
    <row r="217" spans="1:22">
      <c r="A217" s="2">
        <v>160</v>
      </c>
      <c r="B217" s="1" t="str">
        <f>[1]ALL!A161</f>
        <v>2019F</v>
      </c>
      <c r="C217" s="2" t="str">
        <f>[1]ALL!B161</f>
        <v>Deus ex Machina</v>
      </c>
      <c r="D217" s="2" t="str">
        <f>[1]ALL!C161</f>
        <v>Flower Mound High School</v>
      </c>
      <c r="E217" s="2" t="str">
        <f>[1]ALL!D161</f>
        <v>Flower Mound, Texas, United States</v>
      </c>
      <c r="F217" s="8">
        <f>[1]ALL!E161</f>
        <v>150</v>
      </c>
      <c r="G217" s="8">
        <f>[1]ALL!F161</f>
        <v>141</v>
      </c>
      <c r="H217" s="8">
        <f>[1]ALL!G161</f>
        <v>143.298</v>
      </c>
      <c r="I217" s="11">
        <f>[1]ALL!H161</f>
        <v>126.788</v>
      </c>
      <c r="J217" s="11">
        <f>[1]ALL!I161</f>
        <v>129.95099999999999</v>
      </c>
      <c r="K217" s="11">
        <f>[1]ALL!J161</f>
        <v>143.298</v>
      </c>
      <c r="L217" s="11">
        <f>[1]ALL!K161</f>
        <v>97.904899999999998</v>
      </c>
      <c r="M217" s="11">
        <f>[1]ALL!L161</f>
        <v>0</v>
      </c>
      <c r="N217" s="11">
        <f>[1]ALL!M161</f>
        <v>0</v>
      </c>
      <c r="O217" s="11">
        <f>[1]ALL!N161</f>
        <v>0</v>
      </c>
      <c r="P217" s="11">
        <f>[1]ALL!O161</f>
        <v>0</v>
      </c>
      <c r="Q217" s="11">
        <f>[1]ALL!P161</f>
        <v>0</v>
      </c>
      <c r="R217" s="11">
        <f>[1]ALL!Q161</f>
        <v>0</v>
      </c>
      <c r="S217" s="11">
        <f>[1]ALL!R213</f>
        <v>0</v>
      </c>
      <c r="T217" s="9"/>
      <c r="U217" s="9"/>
      <c r="V217" s="10"/>
    </row>
    <row r="218" spans="1:22">
      <c r="A218" s="2">
        <v>467</v>
      </c>
      <c r="B218" s="1" t="str">
        <f>[1]ALL!A468</f>
        <v>9623B</v>
      </c>
      <c r="C218" s="2" t="str">
        <f>[1]ALL!B468</f>
        <v>WARP Drive</v>
      </c>
      <c r="D218" s="2" t="str">
        <f>[1]ALL!C468</f>
        <v>West Ashley High School</v>
      </c>
      <c r="E218" s="2" t="str">
        <f>[1]ALL!D468</f>
        <v>Charleston, South Carolina, United States</v>
      </c>
      <c r="F218" s="8">
        <f>[1]ALL!E468</f>
        <v>148</v>
      </c>
      <c r="G218" s="8">
        <f>[1]ALL!F468</f>
        <v>141</v>
      </c>
      <c r="H218" s="8">
        <f>[1]ALL!G468</f>
        <v>94.595399999999998</v>
      </c>
      <c r="I218" s="11">
        <f>[1]ALL!H468</f>
        <v>94.595399999999998</v>
      </c>
      <c r="J218" s="11">
        <f>[1]ALL!I468</f>
        <v>84.184299999999993</v>
      </c>
      <c r="K218" s="11">
        <f>[1]ALL!J468</f>
        <v>75.329599999999999</v>
      </c>
      <c r="L218" s="11">
        <f>[1]ALL!K468</f>
        <v>48.988100000000003</v>
      </c>
      <c r="M218" s="11">
        <f>[1]ALL!L468</f>
        <v>72.926199999999994</v>
      </c>
      <c r="N218" s="11">
        <f>[1]ALL!M468</f>
        <v>0</v>
      </c>
      <c r="O218" s="11">
        <f>[1]ALL!N468</f>
        <v>0</v>
      </c>
      <c r="P218" s="11">
        <f>[1]ALL!O468</f>
        <v>0</v>
      </c>
      <c r="Q218" s="11">
        <f>[1]ALL!P468</f>
        <v>0</v>
      </c>
      <c r="R218" s="11">
        <f>[1]ALL!Q468</f>
        <v>0</v>
      </c>
      <c r="S218" s="11">
        <f>[1]ALL!R214</f>
        <v>0</v>
      </c>
      <c r="T218" s="9"/>
      <c r="U218" s="9"/>
      <c r="V218" s="10"/>
    </row>
    <row r="219" spans="1:22">
      <c r="A219" s="2">
        <v>254</v>
      </c>
      <c r="B219" s="1" t="str">
        <f>[1]ALL!A255</f>
        <v>4805E</v>
      </c>
      <c r="C219" s="2" t="str">
        <f>[1]ALL!B255</f>
        <v>B.O.S.</v>
      </c>
      <c r="D219" s="2" t="str">
        <f>[1]ALL!C255</f>
        <v>Marion Harding High School</v>
      </c>
      <c r="E219" s="2" t="str">
        <f>[1]ALL!D255</f>
        <v>Marion, Ohio, United States</v>
      </c>
      <c r="F219" s="8">
        <f>[1]ALL!E255</f>
        <v>0</v>
      </c>
      <c r="G219" s="8">
        <f>[1]ALL!F255</f>
        <v>141</v>
      </c>
      <c r="H219" s="8">
        <f>[1]ALL!G255</f>
        <v>51.571100000000001</v>
      </c>
      <c r="I219" s="11">
        <f>[1]ALL!H255</f>
        <v>51.571100000000001</v>
      </c>
      <c r="J219" s="11">
        <f>[1]ALL!I255</f>
        <v>33.081000000000003</v>
      </c>
      <c r="K219" s="11">
        <f>[1]ALL!J255</f>
        <v>44.777000000000001</v>
      </c>
      <c r="L219" s="11">
        <f>[1]ALL!K255</f>
        <v>13.762</v>
      </c>
      <c r="M219" s="11">
        <f>[1]ALL!L255</f>
        <v>0</v>
      </c>
      <c r="N219" s="11">
        <f>[1]ALL!M255</f>
        <v>25.657900000000001</v>
      </c>
      <c r="O219" s="11">
        <f>[1]ALL!N255</f>
        <v>18.7318</v>
      </c>
      <c r="P219" s="11">
        <f>[1]ALL!O255</f>
        <v>26.637799999999999</v>
      </c>
      <c r="Q219" s="11">
        <f>[1]ALL!P255</f>
        <v>14.602600000000001</v>
      </c>
      <c r="R219" s="11">
        <f>[1]ALL!Q255</f>
        <v>0</v>
      </c>
      <c r="S219" s="11">
        <f>[1]ALL!R215</f>
        <v>0</v>
      </c>
      <c r="T219" s="9"/>
      <c r="U219" s="9"/>
      <c r="V219" s="10"/>
    </row>
    <row r="220" spans="1:22">
      <c r="A220" s="2">
        <v>267</v>
      </c>
      <c r="B220" s="1" t="str">
        <f>[1]ALL!A268</f>
        <v>5062B</v>
      </c>
      <c r="C220" s="2" t="str">
        <f>[1]ALL!B268</f>
        <v>Black Fox</v>
      </c>
      <c r="D220" s="2" t="str">
        <f>[1]ALL!C268</f>
        <v>Fox Valley Lutheran High School</v>
      </c>
      <c r="E220" s="2" t="str">
        <f>[1]ALL!D268</f>
        <v>Appleton, Wisconsin, United States</v>
      </c>
      <c r="F220" s="8">
        <f>[1]ALL!E268</f>
        <v>300</v>
      </c>
      <c r="G220" s="8">
        <f>[1]ALL!F268</f>
        <v>140</v>
      </c>
      <c r="H220" s="8">
        <f>[1]ALL!G268</f>
        <v>81.725999999999999</v>
      </c>
      <c r="I220" s="11">
        <f>[1]ALL!H268</f>
        <v>50.772500000000001</v>
      </c>
      <c r="J220" s="11">
        <f>[1]ALL!I268</f>
        <v>74.109300000000005</v>
      </c>
      <c r="K220" s="11">
        <f>[1]ALL!J268</f>
        <v>81.725999999999999</v>
      </c>
      <c r="L220" s="11">
        <f>[1]ALL!K268</f>
        <v>75.759799999999998</v>
      </c>
      <c r="M220" s="11">
        <f>[1]ALL!L268</f>
        <v>48.0244</v>
      </c>
      <c r="N220" s="11">
        <f>[1]ALL!M268</f>
        <v>0</v>
      </c>
      <c r="O220" s="11">
        <f>[1]ALL!N268</f>
        <v>0</v>
      </c>
      <c r="P220" s="11">
        <f>[1]ALL!O268</f>
        <v>0</v>
      </c>
      <c r="Q220" s="11">
        <f>[1]ALL!P268</f>
        <v>0</v>
      </c>
      <c r="R220" s="11">
        <f>[1]ALL!Q268</f>
        <v>0</v>
      </c>
      <c r="S220" s="11">
        <f>[1]ALL!R216</f>
        <v>0</v>
      </c>
      <c r="T220" s="9"/>
      <c r="U220" s="9"/>
      <c r="V220" s="10"/>
    </row>
    <row r="221" spans="1:22">
      <c r="A221" s="2">
        <v>400</v>
      </c>
      <c r="B221" s="1" t="str">
        <f>[1]ALL!A401</f>
        <v>8000D</v>
      </c>
      <c r="C221" s="2" t="str">
        <f>[1]ALL!B401</f>
        <v>HRS Robohawks</v>
      </c>
      <c r="D221" s="2" t="str">
        <f>[1]ALL!C401</f>
        <v>Head-Royce School</v>
      </c>
      <c r="E221" s="2" t="str">
        <f>[1]ALL!D401</f>
        <v>Oakland, California, United States</v>
      </c>
      <c r="F221" s="8">
        <f>[1]ALL!E401</f>
        <v>140</v>
      </c>
      <c r="G221" s="8">
        <f>[1]ALL!F401</f>
        <v>140</v>
      </c>
      <c r="H221" s="8">
        <f>[1]ALL!G401</f>
        <v>113.867</v>
      </c>
      <c r="I221" s="11">
        <f>[1]ALL!H401</f>
        <v>91.684899999999999</v>
      </c>
      <c r="J221" s="11">
        <f>[1]ALL!I401</f>
        <v>113.867</v>
      </c>
      <c r="K221" s="11">
        <f>[1]ALL!J401</f>
        <v>52.571599999999997</v>
      </c>
      <c r="L221" s="11">
        <f>[1]ALL!K401</f>
        <v>80.444999999999993</v>
      </c>
      <c r="M221" s="11">
        <f>[1]ALL!L401</f>
        <v>102.31100000000001</v>
      </c>
      <c r="N221" s="11">
        <f>[1]ALL!M401</f>
        <v>45.436799999999998</v>
      </c>
      <c r="O221" s="11">
        <f>[1]ALL!N401</f>
        <v>61.555999999999997</v>
      </c>
      <c r="P221" s="11">
        <f>[1]ALL!O401</f>
        <v>85.3</v>
      </c>
      <c r="Q221" s="11">
        <f>[1]ALL!P401</f>
        <v>0</v>
      </c>
      <c r="R221" s="11">
        <f>[1]ALL!Q401</f>
        <v>0</v>
      </c>
      <c r="S221" s="11">
        <f>[1]ALL!R217</f>
        <v>0</v>
      </c>
      <c r="T221" s="9"/>
      <c r="U221" s="9"/>
      <c r="V221" s="10"/>
    </row>
    <row r="222" spans="1:22">
      <c r="A222" s="2">
        <v>387</v>
      </c>
      <c r="B222" s="1" t="str">
        <f>[1]ALL!A388</f>
        <v>7853D</v>
      </c>
      <c r="C222" s="2" t="str">
        <f>[1]ALL!B388</f>
        <v>Black Knights-NCC-1701</v>
      </c>
      <c r="D222" s="2" t="str">
        <f>[1]ALL!C388</f>
        <v>Sierra Vista High School</v>
      </c>
      <c r="E222" s="2" t="str">
        <f>[1]ALL!D388</f>
        <v>Las Vegas, Nevada, United States</v>
      </c>
      <c r="F222" s="8">
        <f>[1]ALL!E388</f>
        <v>121</v>
      </c>
      <c r="G222" s="8">
        <f>[1]ALL!F388</f>
        <v>140</v>
      </c>
      <c r="H222" s="8">
        <f>[1]ALL!G388</f>
        <v>96.869100000000003</v>
      </c>
      <c r="I222" s="11">
        <f>[1]ALL!H388</f>
        <v>96.869100000000003</v>
      </c>
      <c r="J222" s="11">
        <f>[1]ALL!I388</f>
        <v>70.109899999999996</v>
      </c>
      <c r="K222" s="11">
        <f>[1]ALL!J388</f>
        <v>67.726799999999997</v>
      </c>
      <c r="L222" s="11">
        <f>[1]ALL!K388</f>
        <v>-5.1007699999999998</v>
      </c>
      <c r="M222" s="11">
        <f>[1]ALL!L388</f>
        <v>0</v>
      </c>
      <c r="N222" s="11">
        <f>[1]ALL!M388</f>
        <v>0</v>
      </c>
      <c r="O222" s="11">
        <f>[1]ALL!N388</f>
        <v>0</v>
      </c>
      <c r="P222" s="11">
        <f>[1]ALL!O388</f>
        <v>0</v>
      </c>
      <c r="Q222" s="11">
        <f>[1]ALL!P388</f>
        <v>0</v>
      </c>
      <c r="R222" s="11">
        <f>[1]ALL!Q388</f>
        <v>0</v>
      </c>
      <c r="S222" s="11">
        <f>[1]ALL!R218</f>
        <v>0</v>
      </c>
      <c r="T222" s="9"/>
      <c r="U222" s="9"/>
      <c r="V222" s="10"/>
    </row>
    <row r="223" spans="1:22">
      <c r="A223" s="2">
        <v>479</v>
      </c>
      <c r="B223" s="1" t="str">
        <f>[1]ALL!A480</f>
        <v>9932E</v>
      </c>
      <c r="C223" s="2" t="str">
        <f>[1]ALL!B480</f>
        <v>Hawks</v>
      </c>
      <c r="D223" s="2" t="str">
        <f>[1]ALL!C480</f>
        <v>Jericho High School</v>
      </c>
      <c r="E223" s="2" t="str">
        <f>[1]ALL!D480</f>
        <v>Jericho, New York, United States</v>
      </c>
      <c r="F223" s="8">
        <f>[1]ALL!E480</f>
        <v>78</v>
      </c>
      <c r="G223" s="8">
        <f>[1]ALL!F480</f>
        <v>140</v>
      </c>
      <c r="H223" s="8">
        <f>[1]ALL!G480</f>
        <v>55.331200000000003</v>
      </c>
      <c r="I223" s="11">
        <f>[1]ALL!H480</f>
        <v>55.331200000000003</v>
      </c>
      <c r="J223" s="11">
        <f>[1]ALL!I480</f>
        <v>24.729600000000001</v>
      </c>
      <c r="K223" s="11">
        <f>[1]ALL!J480</f>
        <v>26.549900000000001</v>
      </c>
      <c r="L223" s="11">
        <f>[1]ALL!K480</f>
        <v>49.457299999999996</v>
      </c>
      <c r="M223" s="11">
        <f>[1]ALL!L480</f>
        <v>19.268999999999998</v>
      </c>
      <c r="N223" s="11">
        <f>[1]ALL!M480</f>
        <v>21.027799999999999</v>
      </c>
      <c r="O223" s="11">
        <f>[1]ALL!N480</f>
        <v>0</v>
      </c>
      <c r="P223" s="11">
        <f>[1]ALL!O480</f>
        <v>0</v>
      </c>
      <c r="Q223" s="11">
        <f>[1]ALL!P480</f>
        <v>0</v>
      </c>
      <c r="R223" s="11">
        <f>[1]ALL!Q480</f>
        <v>0</v>
      </c>
      <c r="S223" s="11">
        <f>[1]ALL!R219</f>
        <v>0</v>
      </c>
      <c r="T223" s="9"/>
      <c r="U223" s="9"/>
      <c r="V223" s="10"/>
    </row>
    <row r="224" spans="1:22">
      <c r="A224" s="2">
        <v>324</v>
      </c>
      <c r="B224" s="1" t="str">
        <f>[1]ALL!A325</f>
        <v>6135C</v>
      </c>
      <c r="C224" s="2" t="str">
        <f>[1]ALL!B325</f>
        <v>CHHS Bruins C</v>
      </c>
      <c r="D224" s="2" t="str">
        <f>[1]ALL!C325</f>
        <v>Central Hardin High School PLTW</v>
      </c>
      <c r="E224" s="2" t="str">
        <f>[1]ALL!D325</f>
        <v>Cecilia, Kentucky, United States</v>
      </c>
      <c r="F224" s="8">
        <f>[1]ALL!E325</f>
        <v>246</v>
      </c>
      <c r="G224" s="8">
        <f>[1]ALL!F325</f>
        <v>138</v>
      </c>
      <c r="H224" s="8">
        <f>[1]ALL!G325</f>
        <v>150.21899999999999</v>
      </c>
      <c r="I224" s="11">
        <f>[1]ALL!H325</f>
        <v>150.21899999999999</v>
      </c>
      <c r="J224" s="11">
        <f>[1]ALL!I325</f>
        <v>64.808800000000005</v>
      </c>
      <c r="K224" s="11">
        <f>[1]ALL!J325</f>
        <v>87.766999999999996</v>
      </c>
      <c r="L224" s="11">
        <f>[1]ALL!K325</f>
        <v>98.679100000000005</v>
      </c>
      <c r="M224" s="11">
        <f>[1]ALL!L325</f>
        <v>115.919</v>
      </c>
      <c r="N224" s="11">
        <f>[1]ALL!M325</f>
        <v>31.170300000000001</v>
      </c>
      <c r="O224" s="11">
        <f>[1]ALL!N325</f>
        <v>67.358800000000002</v>
      </c>
      <c r="P224" s="11">
        <f>[1]ALL!O325</f>
        <v>0</v>
      </c>
      <c r="Q224" s="11">
        <f>[1]ALL!P325</f>
        <v>0</v>
      </c>
      <c r="R224" s="11">
        <f>[1]ALL!Q325</f>
        <v>0</v>
      </c>
      <c r="S224" s="11">
        <f>[1]ALL!R220</f>
        <v>0</v>
      </c>
      <c r="T224" s="9"/>
      <c r="U224" s="9"/>
      <c r="V224" s="10"/>
    </row>
    <row r="225" spans="1:22">
      <c r="A225" s="2">
        <v>314</v>
      </c>
      <c r="B225" s="1" t="str">
        <f>[1]ALL!A315</f>
        <v>6008A</v>
      </c>
      <c r="C225" s="2" t="str">
        <f>[1]ALL!B315</f>
        <v>Angels in Beta</v>
      </c>
      <c r="D225" s="2" t="str">
        <f>[1]ALL!C315</f>
        <v>North Union High School</v>
      </c>
      <c r="E225" s="2" t="str">
        <f>[1]ALL!D315</f>
        <v>Richwood, Ohio, United States</v>
      </c>
      <c r="F225" s="8">
        <f>[1]ALL!E315</f>
        <v>142</v>
      </c>
      <c r="G225" s="8">
        <f>[1]ALL!F315</f>
        <v>137</v>
      </c>
      <c r="H225" s="8">
        <f>[1]ALL!G315</f>
        <v>87.578699999999998</v>
      </c>
      <c r="I225" s="11">
        <f>[1]ALL!H315</f>
        <v>87.578699999999998</v>
      </c>
      <c r="J225" s="11">
        <f>[1]ALL!I315</f>
        <v>57.310099999999998</v>
      </c>
      <c r="K225" s="11">
        <f>[1]ALL!J315</f>
        <v>50.701799999999999</v>
      </c>
      <c r="L225" s="11">
        <f>[1]ALL!K315</f>
        <v>38.456400000000002</v>
      </c>
      <c r="M225" s="11">
        <f>[1]ALL!L315</f>
        <v>41.598599999999998</v>
      </c>
      <c r="N225" s="11">
        <f>[1]ALL!M315</f>
        <v>37.766800000000003</v>
      </c>
      <c r="O225" s="11">
        <f>[1]ALL!N315</f>
        <v>0</v>
      </c>
      <c r="P225" s="11">
        <f>[1]ALL!O315</f>
        <v>25.186699999999998</v>
      </c>
      <c r="Q225" s="11">
        <f>[1]ALL!P315</f>
        <v>20.047499999999999</v>
      </c>
      <c r="R225" s="11">
        <f>[1]ALL!Q315</f>
        <v>25.283100000000001</v>
      </c>
      <c r="S225" s="11">
        <f>[1]ALL!R221</f>
        <v>0</v>
      </c>
      <c r="T225" s="9"/>
      <c r="U225" s="9"/>
      <c r="V225" s="10"/>
    </row>
    <row r="226" spans="1:22">
      <c r="A226" s="2">
        <v>217</v>
      </c>
      <c r="B226" s="1" t="str">
        <f>[1]ALL!A218</f>
        <v>3767B</v>
      </c>
      <c r="C226" s="2" t="str">
        <f>[1]ALL!B218</f>
        <v>Titan Robotics</v>
      </c>
      <c r="D226" s="2" t="str">
        <f>[1]ALL!C218</f>
        <v>West Senior High School</v>
      </c>
      <c r="E226" s="2" t="str">
        <f>[1]ALL!D218</f>
        <v>Traverse City, Michigan, United States</v>
      </c>
      <c r="F226" s="8">
        <f>[1]ALL!E218</f>
        <v>139</v>
      </c>
      <c r="G226" s="8">
        <f>[1]ALL!F218</f>
        <v>137</v>
      </c>
      <c r="H226" s="8">
        <f>[1]ALL!G218</f>
        <v>114.527</v>
      </c>
      <c r="I226" s="11">
        <f>[1]ALL!H218</f>
        <v>114.527</v>
      </c>
      <c r="J226" s="11">
        <f>[1]ALL!I218</f>
        <v>113.779</v>
      </c>
      <c r="K226" s="11">
        <f>[1]ALL!J218</f>
        <v>-5.69231</v>
      </c>
      <c r="L226" s="11">
        <f>[1]ALL!K218</f>
        <v>0</v>
      </c>
      <c r="M226" s="11">
        <f>[1]ALL!L218</f>
        <v>0</v>
      </c>
      <c r="N226" s="11">
        <f>[1]ALL!M218</f>
        <v>0</v>
      </c>
      <c r="O226" s="11">
        <f>[1]ALL!N218</f>
        <v>0</v>
      </c>
      <c r="P226" s="11">
        <f>[1]ALL!O218</f>
        <v>0</v>
      </c>
      <c r="Q226" s="11">
        <f>[1]ALL!P218</f>
        <v>0</v>
      </c>
      <c r="R226" s="11">
        <f>[1]ALL!Q218</f>
        <v>0</v>
      </c>
      <c r="S226" s="11">
        <f>[1]ALL!R222</f>
        <v>0</v>
      </c>
      <c r="T226" s="9"/>
      <c r="U226" s="9"/>
      <c r="V226" s="10"/>
    </row>
    <row r="227" spans="1:22">
      <c r="A227" s="2">
        <v>59</v>
      </c>
      <c r="B227" s="1" t="str">
        <f>[1]ALL!A60</f>
        <v>383V</v>
      </c>
      <c r="C227" s="2" t="str">
        <f>[1]ALL!B60</f>
        <v>Semulator</v>
      </c>
      <c r="D227" s="2" t="str">
        <f>[1]ALL!C60</f>
        <v>Lowndes High School</v>
      </c>
      <c r="E227" s="2" t="str">
        <f>[1]ALL!D60</f>
        <v>Valdosta, Georgia, United States</v>
      </c>
      <c r="F227" s="8">
        <f>[1]ALL!E60</f>
        <v>281</v>
      </c>
      <c r="G227" s="8">
        <f>[1]ALL!F60</f>
        <v>136</v>
      </c>
      <c r="H227" s="8">
        <f>[1]ALL!G60</f>
        <v>109.351</v>
      </c>
      <c r="I227" s="11">
        <f>[1]ALL!H60</f>
        <v>109.351</v>
      </c>
      <c r="J227" s="11">
        <f>[1]ALL!I60</f>
        <v>68.342399999999998</v>
      </c>
      <c r="K227" s="11">
        <f>[1]ALL!J60</f>
        <v>79.1785</v>
      </c>
      <c r="L227" s="11">
        <f>[1]ALL!K60</f>
        <v>64.866399999999999</v>
      </c>
      <c r="M227" s="11">
        <f>[1]ALL!L60</f>
        <v>72.831599999999995</v>
      </c>
      <c r="N227" s="11">
        <f>[1]ALL!M60</f>
        <v>0</v>
      </c>
      <c r="O227" s="11">
        <f>[1]ALL!N60</f>
        <v>0</v>
      </c>
      <c r="P227" s="11">
        <f>[1]ALL!O60</f>
        <v>0</v>
      </c>
      <c r="Q227" s="11">
        <f>[1]ALL!P60</f>
        <v>0</v>
      </c>
      <c r="R227" s="11">
        <f>[1]ALL!Q60</f>
        <v>0</v>
      </c>
      <c r="S227" s="11">
        <f>[1]ALL!R223</f>
        <v>0</v>
      </c>
      <c r="T227" s="9"/>
      <c r="U227" s="9"/>
      <c r="V227" s="10"/>
    </row>
    <row r="228" spans="1:22">
      <c r="A228" s="2">
        <v>125</v>
      </c>
      <c r="B228" s="1" t="str">
        <f>[1]ALL!A126</f>
        <v>1353A</v>
      </c>
      <c r="C228" s="2" t="str">
        <f>[1]ALL!B126</f>
        <v>Robodalers</v>
      </c>
      <c r="D228" s="2" t="str">
        <f>[1]ALL!C126</f>
        <v>Farmingdale High School</v>
      </c>
      <c r="E228" s="2" t="str">
        <f>[1]ALL!D126</f>
        <v>Farmingdale, New York, United States</v>
      </c>
      <c r="F228" s="8">
        <f>[1]ALL!E126</f>
        <v>243</v>
      </c>
      <c r="G228" s="8">
        <f>[1]ALL!F126</f>
        <v>136</v>
      </c>
      <c r="H228" s="8">
        <f>[1]ALL!G126</f>
        <v>103.46299999999999</v>
      </c>
      <c r="I228" s="11">
        <f>[1]ALL!H126</f>
        <v>103.46299999999999</v>
      </c>
      <c r="J228" s="11">
        <f>[1]ALL!I126</f>
        <v>80.349999999999994</v>
      </c>
      <c r="K228" s="11">
        <f>[1]ALL!J126</f>
        <v>91.954700000000003</v>
      </c>
      <c r="L228" s="11">
        <f>[1]ALL!K126</f>
        <v>83.2119</v>
      </c>
      <c r="M228" s="11">
        <f>[1]ALL!L126</f>
        <v>6.4713700000000003</v>
      </c>
      <c r="N228" s="11">
        <f>[1]ALL!M126</f>
        <v>15.527200000000001</v>
      </c>
      <c r="O228" s="11">
        <f>[1]ALL!N126</f>
        <v>0</v>
      </c>
      <c r="P228" s="11">
        <f>[1]ALL!O126</f>
        <v>0</v>
      </c>
      <c r="Q228" s="11">
        <f>[1]ALL!P126</f>
        <v>0</v>
      </c>
      <c r="R228" s="11">
        <f>[1]ALL!Q126</f>
        <v>0</v>
      </c>
      <c r="S228" s="11">
        <f>[1]ALL!R224</f>
        <v>0</v>
      </c>
      <c r="T228" s="9"/>
      <c r="U228" s="9"/>
      <c r="V228" s="10"/>
    </row>
    <row r="229" spans="1:22">
      <c r="A229" s="2">
        <v>158</v>
      </c>
      <c r="B229" s="1" t="str">
        <f>[1]ALL!A159</f>
        <v>2011B</v>
      </c>
      <c r="C229" s="2" t="str">
        <f>[1]ALL!B159</f>
        <v>Brecksville Robotics</v>
      </c>
      <c r="D229" s="2" t="str">
        <f>[1]ALL!C159</f>
        <v>Brecksville-Broadview Heights</v>
      </c>
      <c r="E229" s="2" t="str">
        <f>[1]ALL!D159</f>
        <v>Broadview Heights, Ohio, United States</v>
      </c>
      <c r="F229" s="8">
        <f>[1]ALL!E159</f>
        <v>278</v>
      </c>
      <c r="G229" s="8">
        <f>[1]ALL!F159</f>
        <v>135</v>
      </c>
      <c r="H229" s="8">
        <f>[1]ALL!G159</f>
        <v>133.714</v>
      </c>
      <c r="I229" s="11">
        <f>[1]ALL!H159</f>
        <v>133.714</v>
      </c>
      <c r="J229" s="11">
        <f>[1]ALL!I159</f>
        <v>93.238</v>
      </c>
      <c r="K229" s="11">
        <f>[1]ALL!J159</f>
        <v>116.755</v>
      </c>
      <c r="L229" s="11">
        <f>[1]ALL!K159</f>
        <v>132.34899999999999</v>
      </c>
      <c r="M229" s="11">
        <f>[1]ALL!L159</f>
        <v>87.656999999999996</v>
      </c>
      <c r="N229" s="11">
        <f>[1]ALL!M159</f>
        <v>99.972499999999997</v>
      </c>
      <c r="O229" s="11">
        <f>[1]ALL!N159</f>
        <v>57.228299999999997</v>
      </c>
      <c r="P229" s="11">
        <f>[1]ALL!O159</f>
        <v>27.655899999999999</v>
      </c>
      <c r="Q229" s="11">
        <f>[1]ALL!P159</f>
        <v>0</v>
      </c>
      <c r="R229" s="11">
        <f>[1]ALL!Q159</f>
        <v>0</v>
      </c>
      <c r="S229" s="11">
        <f>[1]ALL!R225</f>
        <v>0</v>
      </c>
      <c r="T229" s="9"/>
      <c r="U229" s="9"/>
      <c r="V229" s="10"/>
    </row>
    <row r="230" spans="1:22">
      <c r="A230" s="2">
        <v>3</v>
      </c>
      <c r="B230" s="1" t="str">
        <f>[1]ALL!A4</f>
        <v>2Z</v>
      </c>
      <c r="C230" s="2" t="str">
        <f>[1]ALL!B4</f>
        <v>Robosavages Z</v>
      </c>
      <c r="D230" s="2" t="str">
        <f>[1]ALL!C4</f>
        <v>Gladstone</v>
      </c>
      <c r="E230" s="2" t="str">
        <f>[1]ALL!D4</f>
        <v>Vancouver, British Columbia, Canada</v>
      </c>
      <c r="F230" s="8">
        <f>[1]ALL!E4</f>
        <v>260</v>
      </c>
      <c r="G230" s="8">
        <f>[1]ALL!F4</f>
        <v>135</v>
      </c>
      <c r="H230" s="8">
        <f>[1]ALL!G4</f>
        <v>103.771</v>
      </c>
      <c r="I230" s="11">
        <f>[1]ALL!H4</f>
        <v>103.771</v>
      </c>
      <c r="J230" s="11">
        <f>[1]ALL!I4</f>
        <v>80.842600000000004</v>
      </c>
      <c r="K230" s="11">
        <f>[1]ALL!J4</f>
        <v>98.807299999999998</v>
      </c>
      <c r="L230" s="11">
        <f>[1]ALL!K4</f>
        <v>87.034899999999993</v>
      </c>
      <c r="M230" s="11">
        <f>[1]ALL!L4</f>
        <v>67.794300000000007</v>
      </c>
      <c r="N230" s="11">
        <f>[1]ALL!M4</f>
        <v>0</v>
      </c>
      <c r="O230" s="11">
        <f>[1]ALL!N4</f>
        <v>0</v>
      </c>
      <c r="P230" s="11">
        <f>[1]ALL!O4</f>
        <v>0</v>
      </c>
      <c r="Q230" s="11">
        <f>[1]ALL!P4</f>
        <v>0</v>
      </c>
      <c r="R230" s="11">
        <f>[1]ALL!Q4</f>
        <v>0</v>
      </c>
      <c r="S230" s="11">
        <f>[1]ALL!R226</f>
        <v>0</v>
      </c>
      <c r="T230" s="9"/>
      <c r="U230" s="9"/>
      <c r="V230" s="10"/>
    </row>
    <row r="231" spans="1:22">
      <c r="A231" s="2">
        <v>182</v>
      </c>
      <c r="B231" s="1" t="str">
        <f>[1]ALL!A183</f>
        <v>2567A</v>
      </c>
      <c r="C231" s="2" t="str">
        <f>[1]ALL!B183</f>
        <v>Porta-Botz!</v>
      </c>
      <c r="D231" s="2" t="str">
        <f>[1]ALL!C183</f>
        <v>Portage High School PLTW</v>
      </c>
      <c r="E231" s="2" t="str">
        <f>[1]ALL!D183</f>
        <v>Portage, Indiana, United States</v>
      </c>
      <c r="F231" s="8">
        <f>[1]ALL!E183</f>
        <v>217</v>
      </c>
      <c r="G231" s="8">
        <f>[1]ALL!F183</f>
        <v>135</v>
      </c>
      <c r="H231" s="8">
        <f>[1]ALL!G183</f>
        <v>108.62</v>
      </c>
      <c r="I231" s="11">
        <f>[1]ALL!H183</f>
        <v>105.48699999999999</v>
      </c>
      <c r="J231" s="11">
        <f>[1]ALL!I183</f>
        <v>100.172</v>
      </c>
      <c r="K231" s="11">
        <f>[1]ALL!J183</f>
        <v>108.62</v>
      </c>
      <c r="L231" s="11">
        <f>[1]ALL!K183</f>
        <v>96.934399999999997</v>
      </c>
      <c r="M231" s="11">
        <f>[1]ALL!L183</f>
        <v>80.688500000000005</v>
      </c>
      <c r="N231" s="11">
        <f>[1]ALL!M183</f>
        <v>17.560700000000001</v>
      </c>
      <c r="O231" s="11">
        <f>[1]ALL!N183</f>
        <v>6.1615399999999996</v>
      </c>
      <c r="P231" s="11">
        <f>[1]ALL!O183</f>
        <v>10.694699999999999</v>
      </c>
      <c r="Q231" s="11">
        <f>[1]ALL!P183</f>
        <v>0</v>
      </c>
      <c r="R231" s="11">
        <f>[1]ALL!Q183</f>
        <v>0</v>
      </c>
      <c r="S231" s="11">
        <f>[1]ALL!R227</f>
        <v>0</v>
      </c>
      <c r="T231" s="9"/>
      <c r="U231" s="9"/>
      <c r="V231" s="10"/>
    </row>
    <row r="232" spans="1:22">
      <c r="A232" s="2">
        <v>38</v>
      </c>
      <c r="B232" s="1" t="str">
        <f>[1]ALL!A39</f>
        <v>217D</v>
      </c>
      <c r="C232" s="2" t="str">
        <f>[1]ALL!B39</f>
        <v>ThunderChickens</v>
      </c>
      <c r="D232" s="2" t="str">
        <f>[1]ALL!C39</f>
        <v>Utica Community Schools</v>
      </c>
      <c r="E232" s="2" t="str">
        <f>[1]ALL!D39</f>
        <v>Macomb, Michigan, United States</v>
      </c>
      <c r="F232" s="8">
        <f>[1]ALL!E39</f>
        <v>135</v>
      </c>
      <c r="G232" s="8">
        <f>[1]ALL!F39</f>
        <v>135</v>
      </c>
      <c r="H232" s="8">
        <f>[1]ALL!G39</f>
        <v>94.864800000000002</v>
      </c>
      <c r="I232" s="11">
        <f>[1]ALL!H39</f>
        <v>94.864800000000002</v>
      </c>
      <c r="J232" s="11">
        <f>[1]ALL!I39</f>
        <v>79.559700000000007</v>
      </c>
      <c r="K232" s="11">
        <f>[1]ALL!J39</f>
        <v>52.672899999999998</v>
      </c>
      <c r="L232" s="11">
        <f>[1]ALL!K39</f>
        <v>24.758900000000001</v>
      </c>
      <c r="M232" s="11">
        <f>[1]ALL!L39</f>
        <v>1.06107</v>
      </c>
      <c r="N232" s="11">
        <f>[1]ALL!M39</f>
        <v>60.176200000000001</v>
      </c>
      <c r="O232" s="11">
        <f>[1]ALL!N39</f>
        <v>44.522799999999997</v>
      </c>
      <c r="P232" s="11">
        <f>[1]ALL!O39</f>
        <v>0</v>
      </c>
      <c r="Q232" s="11">
        <f>[1]ALL!P39</f>
        <v>0</v>
      </c>
      <c r="R232" s="11">
        <f>[1]ALL!Q39</f>
        <v>0</v>
      </c>
      <c r="S232" s="11">
        <f>[1]ALL!R228</f>
        <v>0</v>
      </c>
      <c r="T232" s="9"/>
      <c r="U232" s="9"/>
      <c r="V232" s="10"/>
    </row>
    <row r="233" spans="1:22">
      <c r="A233" s="2">
        <v>497</v>
      </c>
      <c r="B233" s="1" t="str">
        <f>[1]ALL!A498</f>
        <v>99750A</v>
      </c>
      <c r="C233" s="2" t="str">
        <f>[1]ALL!B498</f>
        <v>Sparta's Chosen</v>
      </c>
      <c r="D233" s="2" t="str">
        <f>[1]ALL!C498</f>
        <v>Rocori High School</v>
      </c>
      <c r="E233" s="2" t="str">
        <f>[1]ALL!D498</f>
        <v>Cold Spring, Minnesota, United States</v>
      </c>
      <c r="F233" s="8">
        <f>[1]ALL!E498</f>
        <v>125</v>
      </c>
      <c r="G233" s="8">
        <f>[1]ALL!F498</f>
        <v>134</v>
      </c>
      <c r="H233" s="8">
        <f>[1]ALL!G498</f>
        <v>110.238</v>
      </c>
      <c r="I233" s="11">
        <f>[1]ALL!H498</f>
        <v>110.238</v>
      </c>
      <c r="J233" s="11">
        <f>[1]ALL!I498</f>
        <v>54.564399999999999</v>
      </c>
      <c r="K233" s="11">
        <f>[1]ALL!J498</f>
        <v>49.113</v>
      </c>
      <c r="L233" s="11">
        <f>[1]ALL!K498</f>
        <v>14.0365</v>
      </c>
      <c r="M233" s="11">
        <f>[1]ALL!L498</f>
        <v>0</v>
      </c>
      <c r="N233" s="11">
        <f>[1]ALL!M498</f>
        <v>0</v>
      </c>
      <c r="O233" s="11">
        <f>[1]ALL!N498</f>
        <v>0</v>
      </c>
      <c r="P233" s="11">
        <f>[1]ALL!O498</f>
        <v>0</v>
      </c>
      <c r="Q233" s="11">
        <f>[1]ALL!P498</f>
        <v>0</v>
      </c>
      <c r="R233" s="11">
        <f>[1]ALL!Q498</f>
        <v>0</v>
      </c>
      <c r="S233" s="11">
        <f>[1]ALL!R229</f>
        <v>0</v>
      </c>
      <c r="T233" s="9"/>
      <c r="U233" s="9"/>
      <c r="V233" s="10"/>
    </row>
    <row r="234" spans="1:22">
      <c r="A234" s="2">
        <v>14</v>
      </c>
      <c r="B234" s="1" t="str">
        <f>[1]ALL!A15</f>
        <v>46A</v>
      </c>
      <c r="C234" s="2" t="str">
        <f>[1]ALL!B15</f>
        <v>Conquistadors</v>
      </c>
      <c r="D234" s="2" t="str">
        <f>[1]ALL!C15</f>
        <v>Seton Junior-Senior High School</v>
      </c>
      <c r="E234" s="2" t="str">
        <f>[1]ALL!D15</f>
        <v>Manassas, Virginia, United States</v>
      </c>
      <c r="F234" s="8">
        <f>[1]ALL!E15</f>
        <v>119</v>
      </c>
      <c r="G234" s="8">
        <f>[1]ALL!F15</f>
        <v>133</v>
      </c>
      <c r="H234" s="8">
        <f>[1]ALL!G15</f>
        <v>84.924499999999995</v>
      </c>
      <c r="I234" s="11">
        <f>[1]ALL!H15</f>
        <v>69.6708</v>
      </c>
      <c r="J234" s="11">
        <f>[1]ALL!I15</f>
        <v>10.106400000000001</v>
      </c>
      <c r="K234" s="11">
        <f>[1]ALL!J15</f>
        <v>61.349499999999999</v>
      </c>
      <c r="L234" s="11">
        <f>[1]ALL!K15</f>
        <v>84.924499999999995</v>
      </c>
      <c r="M234" s="11">
        <f>[1]ALL!L15</f>
        <v>0</v>
      </c>
      <c r="N234" s="11">
        <f>[1]ALL!M15</f>
        <v>0</v>
      </c>
      <c r="O234" s="11">
        <f>[1]ALL!N15</f>
        <v>0</v>
      </c>
      <c r="P234" s="11">
        <f>[1]ALL!O15</f>
        <v>0</v>
      </c>
      <c r="Q234" s="11">
        <f>[1]ALL!P15</f>
        <v>0</v>
      </c>
      <c r="R234" s="11">
        <f>[1]ALL!Q15</f>
        <v>0</v>
      </c>
      <c r="S234" s="11">
        <f>[1]ALL!R230</f>
        <v>0</v>
      </c>
      <c r="T234" s="9"/>
      <c r="U234" s="9"/>
      <c r="V234" s="10"/>
    </row>
    <row r="235" spans="1:22">
      <c r="A235" s="2">
        <v>27</v>
      </c>
      <c r="B235" s="1" t="str">
        <f>[1]ALL!A28</f>
        <v>134D</v>
      </c>
      <c r="C235" s="2" t="str">
        <f>[1]ALL!B28</f>
        <v>Team Discovery - Delta</v>
      </c>
      <c r="D235" s="2" t="str">
        <f>[1]ALL!C28</f>
        <v>Pembroke Academy</v>
      </c>
      <c r="E235" s="2" t="str">
        <f>[1]ALL!D28</f>
        <v>Pembroke, New Hampshire, United States</v>
      </c>
      <c r="F235" s="8">
        <f>[1]ALL!E28</f>
        <v>114</v>
      </c>
      <c r="G235" s="8">
        <f>[1]ALL!F28</f>
        <v>133</v>
      </c>
      <c r="H235" s="8">
        <f>[1]ALL!G28</f>
        <v>96.254000000000005</v>
      </c>
      <c r="I235" s="11">
        <f>[1]ALL!H28</f>
        <v>96.254000000000005</v>
      </c>
      <c r="J235" s="11">
        <f>[1]ALL!I28</f>
        <v>94.664599999999993</v>
      </c>
      <c r="K235" s="11">
        <f>[1]ALL!J28</f>
        <v>80.083399999999997</v>
      </c>
      <c r="L235" s="11">
        <f>[1]ALL!K28</f>
        <v>79.641099999999994</v>
      </c>
      <c r="M235" s="11">
        <f>[1]ALL!L28</f>
        <v>77.951800000000006</v>
      </c>
      <c r="N235" s="11">
        <f>[1]ALL!M28</f>
        <v>39.320500000000003</v>
      </c>
      <c r="O235" s="11">
        <f>[1]ALL!N28</f>
        <v>35.006999999999998</v>
      </c>
      <c r="P235" s="11">
        <f>[1]ALL!O28</f>
        <v>0</v>
      </c>
      <c r="Q235" s="11">
        <f>[1]ALL!P28</f>
        <v>0</v>
      </c>
      <c r="R235" s="11">
        <f>[1]ALL!Q28</f>
        <v>0</v>
      </c>
      <c r="S235" s="11">
        <f>[1]ALL!R231</f>
        <v>0</v>
      </c>
      <c r="T235" s="9"/>
      <c r="U235" s="9"/>
      <c r="V235" s="10"/>
    </row>
    <row r="236" spans="1:22">
      <c r="A236" s="2">
        <v>37</v>
      </c>
      <c r="B236" s="1" t="str">
        <f>[1]ALL!A38</f>
        <v>212P</v>
      </c>
      <c r="C236" s="2" t="str">
        <f>[1]ALL!B38</f>
        <v>The πΤΗΦηs</v>
      </c>
      <c r="D236" s="2" t="str">
        <f>[1]ALL!C38</f>
        <v>Pine View School</v>
      </c>
      <c r="E236" s="2" t="str">
        <f>[1]ALL!D38</f>
        <v>Osprey, Florida, United States</v>
      </c>
      <c r="F236" s="8">
        <f>[1]ALL!E38</f>
        <v>175</v>
      </c>
      <c r="G236" s="8">
        <f>[1]ALL!F38</f>
        <v>132</v>
      </c>
      <c r="H236" s="8">
        <f>[1]ALL!G38</f>
        <v>77.949100000000001</v>
      </c>
      <c r="I236" s="11">
        <f>[1]ALL!H38</f>
        <v>0</v>
      </c>
      <c r="J236" s="11">
        <f>[1]ALL!I38</f>
        <v>57.874000000000002</v>
      </c>
      <c r="K236" s="11">
        <f>[1]ALL!J38</f>
        <v>77.949100000000001</v>
      </c>
      <c r="L236" s="11">
        <f>[1]ALL!K38</f>
        <v>65.598399999999998</v>
      </c>
      <c r="M236" s="11">
        <f>[1]ALL!L38</f>
        <v>0</v>
      </c>
      <c r="N236" s="11">
        <f>[1]ALL!M38</f>
        <v>0</v>
      </c>
      <c r="O236" s="11">
        <f>[1]ALL!N38</f>
        <v>0</v>
      </c>
      <c r="P236" s="11">
        <f>[1]ALL!O38</f>
        <v>0</v>
      </c>
      <c r="Q236" s="11">
        <f>[1]ALL!P38</f>
        <v>0</v>
      </c>
      <c r="R236" s="11">
        <f>[1]ALL!Q38</f>
        <v>0</v>
      </c>
      <c r="S236" s="11">
        <f>[1]ALL!R232</f>
        <v>0</v>
      </c>
      <c r="T236" s="9"/>
      <c r="U236" s="9"/>
      <c r="V236" s="10"/>
    </row>
    <row r="237" spans="1:22">
      <c r="A237" s="2">
        <v>101</v>
      </c>
      <c r="B237" s="1" t="str">
        <f>[1]ALL!A102</f>
        <v>1045D</v>
      </c>
      <c r="C237" s="2" t="str">
        <f>[1]ALL!B102</f>
        <v>OPS - The Bunny Overload</v>
      </c>
      <c r="D237" s="2" t="str">
        <f>[1]ALL!C102</f>
        <v>Benson High Magnet  School</v>
      </c>
      <c r="E237" s="2" t="str">
        <f>[1]ALL!D102</f>
        <v>Omaha, Nebraska, United States</v>
      </c>
      <c r="F237" s="8">
        <f>[1]ALL!E102</f>
        <v>265</v>
      </c>
      <c r="G237" s="8">
        <f>[1]ALL!F102</f>
        <v>131</v>
      </c>
      <c r="H237" s="8">
        <f>[1]ALL!G102</f>
        <v>157.55199999999999</v>
      </c>
      <c r="I237" s="11">
        <f>[1]ALL!H102</f>
        <v>157.55199999999999</v>
      </c>
      <c r="J237" s="11">
        <f>[1]ALL!I102</f>
        <v>139.41399999999999</v>
      </c>
      <c r="K237" s="11">
        <f>[1]ALL!J102</f>
        <v>129.596</v>
      </c>
      <c r="L237" s="11">
        <f>[1]ALL!K102</f>
        <v>86.732100000000003</v>
      </c>
      <c r="M237" s="11">
        <f>[1]ALL!L102</f>
        <v>102.85899999999999</v>
      </c>
      <c r="N237" s="11">
        <f>[1]ALL!M102</f>
        <v>0</v>
      </c>
      <c r="O237" s="11">
        <f>[1]ALL!N102</f>
        <v>0</v>
      </c>
      <c r="P237" s="11">
        <f>[1]ALL!O102</f>
        <v>0</v>
      </c>
      <c r="Q237" s="11">
        <f>[1]ALL!P102</f>
        <v>0</v>
      </c>
      <c r="R237" s="11">
        <f>[1]ALL!Q102</f>
        <v>0</v>
      </c>
      <c r="S237" s="11">
        <f>[1]ALL!R233</f>
        <v>0</v>
      </c>
      <c r="T237" s="9"/>
      <c r="U237" s="9"/>
      <c r="V237" s="10"/>
    </row>
    <row r="238" spans="1:22">
      <c r="A238" s="2">
        <v>72</v>
      </c>
      <c r="B238" s="1" t="str">
        <f>[1]ALL!A73</f>
        <v>590</v>
      </c>
      <c r="C238" s="2" t="str">
        <f>[1]ALL!B73</f>
        <v xml:space="preserve">Texas City ✭ Robotics </v>
      </c>
      <c r="D238" s="2" t="str">
        <f>[1]ALL!C73</f>
        <v>Texas City High School</v>
      </c>
      <c r="E238" s="2" t="str">
        <f>[1]ALL!D73</f>
        <v>Texas City, Texas, United States</v>
      </c>
      <c r="F238" s="8">
        <f>[1]ALL!E73</f>
        <v>187</v>
      </c>
      <c r="G238" s="8">
        <f>[1]ALL!F73</f>
        <v>131</v>
      </c>
      <c r="H238" s="8">
        <f>[1]ALL!G73</f>
        <v>85.793999999999997</v>
      </c>
      <c r="I238" s="11">
        <f>[1]ALL!H73</f>
        <v>66.753100000000003</v>
      </c>
      <c r="J238" s="11">
        <f>[1]ALL!I73</f>
        <v>46.641599999999997</v>
      </c>
      <c r="K238" s="11">
        <f>[1]ALL!J73</f>
        <v>85.793999999999997</v>
      </c>
      <c r="L238" s="11">
        <f>[1]ALL!K73</f>
        <v>49.989699999999999</v>
      </c>
      <c r="M238" s="11">
        <f>[1]ALL!L73</f>
        <v>33.604500000000002</v>
      </c>
      <c r="N238" s="11">
        <f>[1]ALL!M73</f>
        <v>0</v>
      </c>
      <c r="O238" s="11">
        <f>[1]ALL!N73</f>
        <v>0</v>
      </c>
      <c r="P238" s="11">
        <f>[1]ALL!O73</f>
        <v>0</v>
      </c>
      <c r="Q238" s="11">
        <f>[1]ALL!P73</f>
        <v>0</v>
      </c>
      <c r="R238" s="11">
        <f>[1]ALL!Q73</f>
        <v>0</v>
      </c>
      <c r="S238" s="11">
        <f>[1]ALL!R234</f>
        <v>0</v>
      </c>
      <c r="T238" s="9"/>
      <c r="U238" s="9"/>
      <c r="V238" s="10"/>
    </row>
    <row r="239" spans="1:22">
      <c r="A239" s="2">
        <v>315</v>
      </c>
      <c r="B239" s="1" t="str">
        <f>[1]ALL!A316</f>
        <v>6008Z</v>
      </c>
      <c r="C239" s="2" t="str">
        <f>[1]ALL!B316</f>
        <v>The Blind Squirrels</v>
      </c>
      <c r="D239" s="2" t="str">
        <f>[1]ALL!C316</f>
        <v>North Union High School</v>
      </c>
      <c r="E239" s="2" t="str">
        <f>[1]ALL!D316</f>
        <v>Richwood, Ohio, United States</v>
      </c>
      <c r="F239" s="8">
        <f>[1]ALL!E316</f>
        <v>148</v>
      </c>
      <c r="G239" s="8">
        <f>[1]ALL!F316</f>
        <v>131</v>
      </c>
      <c r="H239" s="8">
        <f>[1]ALL!G316</f>
        <v>94.8429</v>
      </c>
      <c r="I239" s="11">
        <f>[1]ALL!H316</f>
        <v>76.9953</v>
      </c>
      <c r="J239" s="11">
        <f>[1]ALL!I316</f>
        <v>53.464199999999998</v>
      </c>
      <c r="K239" s="11">
        <f>[1]ALL!J316</f>
        <v>63.664900000000003</v>
      </c>
      <c r="L239" s="11">
        <f>[1]ALL!K316</f>
        <v>59.2898</v>
      </c>
      <c r="M239" s="11">
        <f>[1]ALL!L316</f>
        <v>32.318399999999997</v>
      </c>
      <c r="N239" s="11">
        <f>[1]ALL!M316</f>
        <v>94.8429</v>
      </c>
      <c r="O239" s="11">
        <f>[1]ALL!N316</f>
        <v>56.127000000000002</v>
      </c>
      <c r="P239" s="11">
        <f>[1]ALL!O316</f>
        <v>0</v>
      </c>
      <c r="Q239" s="11">
        <f>[1]ALL!P316</f>
        <v>31.688199999999998</v>
      </c>
      <c r="R239" s="11">
        <f>[1]ALL!Q316</f>
        <v>12.5595</v>
      </c>
      <c r="S239" s="11">
        <f>[1]ALL!R235</f>
        <v>0</v>
      </c>
      <c r="T239" s="9"/>
      <c r="U239" s="9"/>
      <c r="V239" s="10"/>
    </row>
    <row r="240" spans="1:22">
      <c r="A240" s="2">
        <v>168</v>
      </c>
      <c r="B240" s="1" t="str">
        <f>[1]ALL!A169</f>
        <v>2131W</v>
      </c>
      <c r="C240" s="2" t="str">
        <f>[1]ALL!B169</f>
        <v>Radioactive Bananas</v>
      </c>
      <c r="D240" s="2" t="str">
        <f>[1]ALL!C169</f>
        <v>Davis High School</v>
      </c>
      <c r="E240" s="2" t="str">
        <f>[1]ALL!D169</f>
        <v>Kaysville, Utah, United States</v>
      </c>
      <c r="F240" s="8">
        <f>[1]ALL!E169</f>
        <v>332</v>
      </c>
      <c r="G240" s="8">
        <f>[1]ALL!F169</f>
        <v>130</v>
      </c>
      <c r="H240" s="8">
        <f>[1]ALL!G169</f>
        <v>146.41</v>
      </c>
      <c r="I240" s="11">
        <f>[1]ALL!H169</f>
        <v>96.929900000000004</v>
      </c>
      <c r="J240" s="11">
        <f>[1]ALL!I169</f>
        <v>36.279600000000002</v>
      </c>
      <c r="K240" s="11">
        <f>[1]ALL!J169</f>
        <v>87.758200000000002</v>
      </c>
      <c r="L240" s="11">
        <f>[1]ALL!K169</f>
        <v>109.092</v>
      </c>
      <c r="M240" s="11">
        <f>[1]ALL!L169</f>
        <v>146.41</v>
      </c>
      <c r="N240" s="11">
        <f>[1]ALL!M169</f>
        <v>48.508299999999998</v>
      </c>
      <c r="O240" s="11">
        <f>[1]ALL!N169</f>
        <v>0</v>
      </c>
      <c r="P240" s="11">
        <f>[1]ALL!O169</f>
        <v>0</v>
      </c>
      <c r="Q240" s="11">
        <f>[1]ALL!P169</f>
        <v>0</v>
      </c>
      <c r="R240" s="11">
        <f>[1]ALL!Q169</f>
        <v>0</v>
      </c>
      <c r="S240" s="11">
        <f>[1]ALL!R236</f>
        <v>0</v>
      </c>
      <c r="T240" s="9"/>
      <c r="U240" s="9"/>
      <c r="V240" s="10"/>
    </row>
    <row r="241" spans="1:22">
      <c r="A241" s="2">
        <v>83</v>
      </c>
      <c r="B241" s="1" t="str">
        <f>[1]ALL!A84</f>
        <v>765A</v>
      </c>
      <c r="C241" s="2" t="str">
        <f>[1]ALL!B84</f>
        <v>HTHS - Fury</v>
      </c>
      <c r="D241" s="2" t="str">
        <f>[1]ALL!C84</f>
        <v>High Technology High School</v>
      </c>
      <c r="E241" s="2" t="str">
        <f>[1]ALL!D84</f>
        <v>Lincroft, New Jersey, United States</v>
      </c>
      <c r="F241" s="8">
        <f>[1]ALL!E84</f>
        <v>311</v>
      </c>
      <c r="G241" s="8">
        <f>[1]ALL!F84</f>
        <v>130</v>
      </c>
      <c r="H241" s="8">
        <f>[1]ALL!G84</f>
        <v>103.339</v>
      </c>
      <c r="I241" s="11">
        <f>[1]ALL!H84</f>
        <v>76.120999999999995</v>
      </c>
      <c r="J241" s="11">
        <f>[1]ALL!I84</f>
        <v>103.339</v>
      </c>
      <c r="K241" s="11">
        <f>[1]ALL!J84</f>
        <v>45.863199999999999</v>
      </c>
      <c r="L241" s="11">
        <f>[1]ALL!K84</f>
        <v>0</v>
      </c>
      <c r="M241" s="11">
        <f>[1]ALL!L84</f>
        <v>0</v>
      </c>
      <c r="N241" s="11">
        <f>[1]ALL!M84</f>
        <v>0</v>
      </c>
      <c r="O241" s="11">
        <f>[1]ALL!N84</f>
        <v>0</v>
      </c>
      <c r="P241" s="11">
        <f>[1]ALL!O84</f>
        <v>0</v>
      </c>
      <c r="Q241" s="11">
        <f>[1]ALL!P84</f>
        <v>0</v>
      </c>
      <c r="R241" s="11">
        <f>[1]ALL!Q84</f>
        <v>0</v>
      </c>
      <c r="S241" s="11">
        <f>[1]ALL!R237</f>
        <v>0</v>
      </c>
      <c r="T241" s="9"/>
      <c r="U241" s="9"/>
      <c r="V241" s="10"/>
    </row>
    <row r="242" spans="1:22">
      <c r="A242" s="2">
        <v>233</v>
      </c>
      <c r="B242" s="1" t="str">
        <f>[1]ALL!A234</f>
        <v>4148A</v>
      </c>
      <c r="C242" s="2" t="str">
        <f>[1]ALL!B234</f>
        <v>Iron Cowboys</v>
      </c>
      <c r="D242" s="2" t="str">
        <f>[1]ALL!C234</f>
        <v>Greenville High School</v>
      </c>
      <c r="E242" s="2" t="str">
        <f>[1]ALL!D234</f>
        <v>Greenville, Texas, United States</v>
      </c>
      <c r="F242" s="8">
        <f>[1]ALL!E234</f>
        <v>257</v>
      </c>
      <c r="G242" s="8">
        <f>[1]ALL!F234</f>
        <v>130</v>
      </c>
      <c r="H242" s="8">
        <f>[1]ALL!G234</f>
        <v>107.127</v>
      </c>
      <c r="I242" s="11">
        <f>[1]ALL!H234</f>
        <v>91.912400000000005</v>
      </c>
      <c r="J242" s="11">
        <f>[1]ALL!I234</f>
        <v>107.127</v>
      </c>
      <c r="K242" s="11">
        <f>[1]ALL!J234</f>
        <v>84.268500000000003</v>
      </c>
      <c r="L242" s="11">
        <f>[1]ALL!K234</f>
        <v>89.802000000000007</v>
      </c>
      <c r="M242" s="11">
        <f>[1]ALL!L234</f>
        <v>69.767399999999995</v>
      </c>
      <c r="N242" s="11">
        <f>[1]ALL!M234</f>
        <v>87.231800000000007</v>
      </c>
      <c r="O242" s="11">
        <f>[1]ALL!N234</f>
        <v>0</v>
      </c>
      <c r="P242" s="11">
        <f>[1]ALL!O234</f>
        <v>0</v>
      </c>
      <c r="Q242" s="11">
        <f>[1]ALL!P234</f>
        <v>0</v>
      </c>
      <c r="R242" s="11">
        <f>[1]ALL!Q234</f>
        <v>0</v>
      </c>
      <c r="S242" s="11">
        <f>[1]ALL!R238</f>
        <v>0</v>
      </c>
      <c r="T242" s="9"/>
      <c r="U242" s="9"/>
      <c r="V242" s="10"/>
    </row>
    <row r="243" spans="1:22">
      <c r="A243" s="2">
        <v>425</v>
      </c>
      <c r="B243" s="1" t="str">
        <f>[1]ALL!A426</f>
        <v>8659G</v>
      </c>
      <c r="C243" s="2" t="str">
        <f>[1]ALL!B426</f>
        <v>Binary Botz</v>
      </c>
      <c r="D243" s="2" t="str">
        <f>[1]ALL!C426</f>
        <v>Goose Creek High</v>
      </c>
      <c r="E243" s="2" t="str">
        <f>[1]ALL!D426</f>
        <v>GOOSE CREEK, South Carolina, United States</v>
      </c>
      <c r="F243" s="8">
        <f>[1]ALL!E426</f>
        <v>206</v>
      </c>
      <c r="G243" s="8">
        <f>[1]ALL!F426</f>
        <v>130</v>
      </c>
      <c r="H243" s="8">
        <f>[1]ALL!G426</f>
        <v>108.432</v>
      </c>
      <c r="I243" s="11">
        <f>[1]ALL!H426</f>
        <v>108.432</v>
      </c>
      <c r="J243" s="11">
        <f>[1]ALL!I426</f>
        <v>98.566999999999993</v>
      </c>
      <c r="K243" s="11">
        <f>[1]ALL!J426</f>
        <v>44.384500000000003</v>
      </c>
      <c r="L243" s="11">
        <f>[1]ALL!K426</f>
        <v>0</v>
      </c>
      <c r="M243" s="11">
        <f>[1]ALL!L426</f>
        <v>0</v>
      </c>
      <c r="N243" s="11">
        <f>[1]ALL!M426</f>
        <v>0</v>
      </c>
      <c r="O243" s="11">
        <f>[1]ALL!N426</f>
        <v>0</v>
      </c>
      <c r="P243" s="11">
        <f>[1]ALL!O426</f>
        <v>0</v>
      </c>
      <c r="Q243" s="11">
        <f>[1]ALL!P426</f>
        <v>0</v>
      </c>
      <c r="R243" s="11">
        <f>[1]ALL!Q426</f>
        <v>0</v>
      </c>
      <c r="S243" s="11">
        <f>[1]ALL!R239</f>
        <v>0</v>
      </c>
      <c r="T243" s="9"/>
      <c r="U243" s="9"/>
      <c r="V243" s="10"/>
    </row>
    <row r="244" spans="1:22">
      <c r="A244" s="2">
        <v>73</v>
      </c>
      <c r="B244" s="1" t="str">
        <f>[1]ALL!A74</f>
        <v>598A</v>
      </c>
      <c r="C244" s="2" t="str">
        <f>[1]ALL!B74</f>
        <v>Loudonville High School A</v>
      </c>
      <c r="D244" s="2" t="str">
        <f>[1]ALL!C74</f>
        <v>Loudonville High School</v>
      </c>
      <c r="E244" s="2" t="str">
        <f>[1]ALL!D74</f>
        <v>Loudonville, Ohio, United States</v>
      </c>
      <c r="F244" s="8">
        <f>[1]ALL!E74</f>
        <v>195</v>
      </c>
      <c r="G244" s="8">
        <f>[1]ALL!F74</f>
        <v>130</v>
      </c>
      <c r="H244" s="8">
        <f>[1]ALL!G74</f>
        <v>152.39699999999999</v>
      </c>
      <c r="I244" s="11">
        <f>[1]ALL!H74</f>
        <v>152.39699999999999</v>
      </c>
      <c r="J244" s="11">
        <f>[1]ALL!I74</f>
        <v>47.497300000000003</v>
      </c>
      <c r="K244" s="11">
        <f>[1]ALL!J74</f>
        <v>93.283500000000004</v>
      </c>
      <c r="L244" s="11">
        <f>[1]ALL!K74</f>
        <v>63.713200000000001</v>
      </c>
      <c r="M244" s="11">
        <f>[1]ALL!L74</f>
        <v>97.198700000000002</v>
      </c>
      <c r="N244" s="11">
        <f>[1]ALL!M74</f>
        <v>75.5809</v>
      </c>
      <c r="O244" s="11">
        <f>[1]ALL!N74</f>
        <v>0</v>
      </c>
      <c r="P244" s="11">
        <f>[1]ALL!O74</f>
        <v>47.491999999999997</v>
      </c>
      <c r="Q244" s="11">
        <f>[1]ALL!P74</f>
        <v>12.593</v>
      </c>
      <c r="R244" s="11">
        <f>[1]ALL!Q74</f>
        <v>0</v>
      </c>
      <c r="S244" s="11">
        <f>[1]ALL!R240</f>
        <v>0</v>
      </c>
      <c r="T244" s="9"/>
      <c r="U244" s="9"/>
      <c r="V244" s="10"/>
    </row>
    <row r="245" spans="1:22">
      <c r="A245" s="2">
        <v>443</v>
      </c>
      <c r="B245" s="1" t="str">
        <f>[1]ALL!A444</f>
        <v>8931B</v>
      </c>
      <c r="C245" s="2" t="str">
        <f>[1]ALL!B444</f>
        <v>V-Bots Trifecta</v>
      </c>
      <c r="D245" s="2" t="str">
        <f>[1]ALL!C444</f>
        <v>Lake Stevens High</v>
      </c>
      <c r="E245" s="2" t="str">
        <f>[1]ALL!D444</f>
        <v>Lake Stevens, Washington, United States</v>
      </c>
      <c r="F245" s="8">
        <f>[1]ALL!E444</f>
        <v>174</v>
      </c>
      <c r="G245" s="8">
        <f>[1]ALL!F444</f>
        <v>130</v>
      </c>
      <c r="H245" s="8">
        <f>[1]ALL!G444</f>
        <v>116.723</v>
      </c>
      <c r="I245" s="11">
        <f>[1]ALL!H444</f>
        <v>116.723</v>
      </c>
      <c r="J245" s="11">
        <f>[1]ALL!I444</f>
        <v>74.938400000000001</v>
      </c>
      <c r="K245" s="11">
        <f>[1]ALL!J444</f>
        <v>55.4863</v>
      </c>
      <c r="L245" s="11">
        <f>[1]ALL!K444</f>
        <v>57.863199999999999</v>
      </c>
      <c r="M245" s="11">
        <f>[1]ALL!L444</f>
        <v>21.606400000000001</v>
      </c>
      <c r="N245" s="11">
        <f>[1]ALL!M444</f>
        <v>0</v>
      </c>
      <c r="O245" s="11">
        <f>[1]ALL!N444</f>
        <v>0</v>
      </c>
      <c r="P245" s="11">
        <f>[1]ALL!O444</f>
        <v>0</v>
      </c>
      <c r="Q245" s="11">
        <f>[1]ALL!P444</f>
        <v>0</v>
      </c>
      <c r="R245" s="11">
        <f>[1]ALL!Q444</f>
        <v>0</v>
      </c>
      <c r="S245" s="11">
        <f>[1]ALL!R241</f>
        <v>0</v>
      </c>
      <c r="T245" s="9"/>
      <c r="U245" s="9"/>
      <c r="V245" s="10"/>
    </row>
    <row r="246" spans="1:22">
      <c r="A246" s="2">
        <v>245</v>
      </c>
      <c r="B246" s="1" t="str">
        <f>[1]ALL!A246</f>
        <v>4448A</v>
      </c>
      <c r="C246" s="2" t="str">
        <f>[1]ALL!B246</f>
        <v>RLF Eagles</v>
      </c>
      <c r="D246" s="2" t="str">
        <f>[1]ALL!C246</f>
        <v>Lafayette High School</v>
      </c>
      <c r="E246" s="2" t="str">
        <f>[1]ALL!D246</f>
        <v>Red Lake Falls, Minnesota, United States</v>
      </c>
      <c r="F246" s="8">
        <f>[1]ALL!E246</f>
        <v>101</v>
      </c>
      <c r="G246" s="8">
        <f>[1]ALL!F246</f>
        <v>130</v>
      </c>
      <c r="H246" s="8">
        <f>[1]ALL!G246</f>
        <v>78.748099999999994</v>
      </c>
      <c r="I246" s="11">
        <f>[1]ALL!H246</f>
        <v>78.748099999999994</v>
      </c>
      <c r="J246" s="11">
        <f>[1]ALL!I246</f>
        <v>47.892499999999998</v>
      </c>
      <c r="K246" s="11">
        <f>[1]ALL!J246</f>
        <v>23.707899999999999</v>
      </c>
      <c r="L246" s="11">
        <f>[1]ALL!K246</f>
        <v>0</v>
      </c>
      <c r="M246" s="11">
        <f>[1]ALL!L246</f>
        <v>0</v>
      </c>
      <c r="N246" s="11">
        <f>[1]ALL!M246</f>
        <v>0</v>
      </c>
      <c r="O246" s="11">
        <f>[1]ALL!N246</f>
        <v>0</v>
      </c>
      <c r="P246" s="11">
        <f>[1]ALL!O246</f>
        <v>0</v>
      </c>
      <c r="Q246" s="11">
        <f>[1]ALL!P246</f>
        <v>0</v>
      </c>
      <c r="R246" s="11">
        <f>[1]ALL!Q246</f>
        <v>0</v>
      </c>
      <c r="S246" s="11">
        <f>[1]ALL!R242</f>
        <v>0</v>
      </c>
      <c r="T246" s="9"/>
      <c r="U246" s="9"/>
      <c r="V246" s="10"/>
    </row>
    <row r="247" spans="1:22">
      <c r="A247" s="2">
        <v>28</v>
      </c>
      <c r="B247" s="1" t="str">
        <f>[1]ALL!A29</f>
        <v>169A</v>
      </c>
      <c r="C247" s="2" t="str">
        <f>[1]ALL!B29</f>
        <v>The Cavalry</v>
      </c>
      <c r="D247" s="2" t="str">
        <f>[1]ALL!C29</f>
        <v>Haverford School Robotics</v>
      </c>
      <c r="E247" s="2" t="str">
        <f>[1]ALL!D29</f>
        <v>Haverford, Pennsylvania, United States</v>
      </c>
      <c r="F247" s="8">
        <f>[1]ALL!E29</f>
        <v>347</v>
      </c>
      <c r="G247" s="8">
        <f>[1]ALL!F29</f>
        <v>129</v>
      </c>
      <c r="H247" s="8">
        <f>[1]ALL!G29</f>
        <v>154.89500000000001</v>
      </c>
      <c r="I247" s="11">
        <f>[1]ALL!H29</f>
        <v>144.47300000000001</v>
      </c>
      <c r="J247" s="11">
        <f>[1]ALL!I29</f>
        <v>154.89500000000001</v>
      </c>
      <c r="K247" s="11">
        <f>[1]ALL!J29</f>
        <v>86.415199999999999</v>
      </c>
      <c r="L247" s="11">
        <f>[1]ALL!K29</f>
        <v>111.363</v>
      </c>
      <c r="M247" s="11">
        <f>[1]ALL!L29</f>
        <v>0</v>
      </c>
      <c r="N247" s="11">
        <f>[1]ALL!M29</f>
        <v>0</v>
      </c>
      <c r="O247" s="11">
        <f>[1]ALL!N29</f>
        <v>0</v>
      </c>
      <c r="P247" s="11">
        <f>[1]ALL!O29</f>
        <v>0</v>
      </c>
      <c r="Q247" s="11">
        <f>[1]ALL!P29</f>
        <v>0</v>
      </c>
      <c r="R247" s="11">
        <f>[1]ALL!Q29</f>
        <v>0</v>
      </c>
      <c r="S247" s="11">
        <f>[1]ALL!R243</f>
        <v>0</v>
      </c>
      <c r="T247" s="9"/>
      <c r="U247" s="9"/>
      <c r="V247" s="10"/>
    </row>
    <row r="248" spans="1:22">
      <c r="A248" s="2">
        <v>128</v>
      </c>
      <c r="B248" s="1" t="str">
        <f>[1]ALL!A129</f>
        <v>1366</v>
      </c>
      <c r="C248" s="2" t="str">
        <f>[1]ALL!B129</f>
        <v>Berkner Fearless Robotics</v>
      </c>
      <c r="D248" s="2" t="str">
        <f>[1]ALL!C129</f>
        <v>Berkner STEM Academy</v>
      </c>
      <c r="E248" s="2" t="str">
        <f>[1]ALL!D129</f>
        <v>Richardson, Texas, United States</v>
      </c>
      <c r="F248" s="8">
        <f>[1]ALL!E129</f>
        <v>330</v>
      </c>
      <c r="G248" s="8">
        <f>[1]ALL!F129</f>
        <v>129</v>
      </c>
      <c r="H248" s="8">
        <f>[1]ALL!G129</f>
        <v>181.03700000000001</v>
      </c>
      <c r="I248" s="11">
        <f>[1]ALL!H129</f>
        <v>158.482</v>
      </c>
      <c r="J248" s="11">
        <f>[1]ALL!I129</f>
        <v>181.03700000000001</v>
      </c>
      <c r="K248" s="11">
        <f>[1]ALL!J129</f>
        <v>108.468</v>
      </c>
      <c r="L248" s="11">
        <f>[1]ALL!K129</f>
        <v>80.251000000000005</v>
      </c>
      <c r="M248" s="11">
        <f>[1]ALL!L129</f>
        <v>0</v>
      </c>
      <c r="N248" s="11">
        <f>[1]ALL!M129</f>
        <v>0</v>
      </c>
      <c r="O248" s="11">
        <f>[1]ALL!N129</f>
        <v>0</v>
      </c>
      <c r="P248" s="11">
        <f>[1]ALL!O129</f>
        <v>0</v>
      </c>
      <c r="Q248" s="11">
        <f>[1]ALL!P129</f>
        <v>0</v>
      </c>
      <c r="R248" s="11">
        <f>[1]ALL!Q129</f>
        <v>0</v>
      </c>
      <c r="S248" s="11">
        <f>[1]ALL!R244</f>
        <v>0</v>
      </c>
      <c r="T248" s="9"/>
      <c r="U248" s="9"/>
      <c r="V248" s="10"/>
    </row>
    <row r="249" spans="1:22">
      <c r="A249" s="2">
        <v>229</v>
      </c>
      <c r="B249" s="1" t="str">
        <f>[1]ALL!A230</f>
        <v>4112A</v>
      </c>
      <c r="C249" s="2" t="str">
        <f>[1]ALL!B230</f>
        <v>Blue Devils</v>
      </c>
      <c r="D249" s="2" t="str">
        <f>[1]ALL!C230</f>
        <v>Zanesville High School</v>
      </c>
      <c r="E249" s="2" t="str">
        <f>[1]ALL!D230</f>
        <v>Zanesville, Ohio, United States</v>
      </c>
      <c r="F249" s="8">
        <f>[1]ALL!E230</f>
        <v>230</v>
      </c>
      <c r="G249" s="8">
        <f>[1]ALL!F230</f>
        <v>127</v>
      </c>
      <c r="H249" s="8">
        <f>[1]ALL!G230</f>
        <v>118.90300000000001</v>
      </c>
      <c r="I249" s="11">
        <f>[1]ALL!H230</f>
        <v>46.2498</v>
      </c>
      <c r="J249" s="11">
        <f>[1]ALL!I230</f>
        <v>58.603299999999997</v>
      </c>
      <c r="K249" s="11">
        <f>[1]ALL!J230</f>
        <v>0</v>
      </c>
      <c r="L249" s="11">
        <f>[1]ALL!K230</f>
        <v>118.90300000000001</v>
      </c>
      <c r="M249" s="11">
        <f>[1]ALL!L230</f>
        <v>86.547399999999996</v>
      </c>
      <c r="N249" s="11">
        <f>[1]ALL!M230</f>
        <v>0</v>
      </c>
      <c r="O249" s="11">
        <f>[1]ALL!N230</f>
        <v>0</v>
      </c>
      <c r="P249" s="11">
        <f>[1]ALL!O230</f>
        <v>0</v>
      </c>
      <c r="Q249" s="11">
        <f>[1]ALL!P230</f>
        <v>0</v>
      </c>
      <c r="R249" s="11">
        <f>[1]ALL!Q230</f>
        <v>0</v>
      </c>
      <c r="S249" s="11">
        <f>[1]ALL!R245</f>
        <v>0</v>
      </c>
      <c r="T249" s="9"/>
      <c r="U249" s="9"/>
      <c r="V249" s="10"/>
    </row>
    <row r="250" spans="1:22">
      <c r="A250" s="2">
        <v>275</v>
      </c>
      <c r="B250" s="1" t="str">
        <f>[1]ALL!A276</f>
        <v>5194B</v>
      </c>
      <c r="C250" s="2" t="str">
        <f>[1]ALL!B276</f>
        <v>Volt Robotics</v>
      </c>
      <c r="D250" s="2" t="str">
        <f>[1]ALL!C276</f>
        <v>East Barnet School - UK</v>
      </c>
      <c r="E250" s="2" t="str">
        <f>[1]ALL!D276</f>
        <v>Barnet, Not Applicable or Not Listed, United Kingdom</v>
      </c>
      <c r="F250" s="8">
        <f>[1]ALL!E276</f>
        <v>0</v>
      </c>
      <c r="G250" s="8">
        <f>[1]ALL!F276</f>
        <v>127</v>
      </c>
      <c r="H250" s="8">
        <f>[1]ALL!G276</f>
        <v>104.315</v>
      </c>
      <c r="I250" s="11">
        <f>[1]ALL!H276</f>
        <v>36.2014</v>
      </c>
      <c r="J250" s="11">
        <f>[1]ALL!I276</f>
        <v>69.876400000000004</v>
      </c>
      <c r="K250" s="11">
        <f>[1]ALL!J276</f>
        <v>47.991500000000002</v>
      </c>
      <c r="L250" s="11">
        <f>[1]ALL!K276</f>
        <v>104.315</v>
      </c>
      <c r="M250" s="11">
        <f>[1]ALL!L276</f>
        <v>84.075699999999998</v>
      </c>
      <c r="N250" s="11">
        <f>[1]ALL!M276</f>
        <v>78.381399999999999</v>
      </c>
      <c r="O250" s="11">
        <f>[1]ALL!N276</f>
        <v>45.699100000000001</v>
      </c>
      <c r="P250" s="11">
        <f>[1]ALL!O276</f>
        <v>2.9764300000000001</v>
      </c>
      <c r="Q250" s="11">
        <f>[1]ALL!P276</f>
        <v>0</v>
      </c>
      <c r="R250" s="11">
        <f>[1]ALL!Q276</f>
        <v>0</v>
      </c>
      <c r="S250" s="11">
        <f>[1]ALL!R246</f>
        <v>0</v>
      </c>
      <c r="T250" s="9"/>
      <c r="U250" s="9"/>
      <c r="V250" s="10"/>
    </row>
    <row r="251" spans="1:22">
      <c r="A251" s="2">
        <v>202</v>
      </c>
      <c r="B251" s="1" t="str">
        <f>[1]ALL!A203</f>
        <v>3211H</v>
      </c>
      <c r="C251" s="2" t="str">
        <f>[1]ALL!B203</f>
        <v>BeatBotz</v>
      </c>
      <c r="D251" s="2" t="str">
        <f>[1]ALL!C203</f>
        <v>Boy Scouts   Troop 211</v>
      </c>
      <c r="E251" s="2" t="str">
        <f>[1]ALL!D203</f>
        <v>Sartell, Minnesota, United States</v>
      </c>
      <c r="F251" s="8">
        <f>[1]ALL!E203</f>
        <v>280</v>
      </c>
      <c r="G251" s="8">
        <f>[1]ALL!F203</f>
        <v>126</v>
      </c>
      <c r="H251" s="8">
        <f>[1]ALL!G203</f>
        <v>85.185900000000004</v>
      </c>
      <c r="I251" s="11">
        <f>[1]ALL!H203</f>
        <v>85.185900000000004</v>
      </c>
      <c r="J251" s="11">
        <f>[1]ALL!I203</f>
        <v>49.811100000000003</v>
      </c>
      <c r="K251" s="11">
        <f>[1]ALL!J203</f>
        <v>59.941400000000002</v>
      </c>
      <c r="L251" s="11">
        <f>[1]ALL!K203</f>
        <v>67.316599999999994</v>
      </c>
      <c r="M251" s="11">
        <f>[1]ALL!L203</f>
        <v>23.5138</v>
      </c>
      <c r="N251" s="11">
        <f>[1]ALL!M203</f>
        <v>0</v>
      </c>
      <c r="O251" s="11">
        <f>[1]ALL!N203</f>
        <v>0</v>
      </c>
      <c r="P251" s="11">
        <f>[1]ALL!O203</f>
        <v>0</v>
      </c>
      <c r="Q251" s="11">
        <f>[1]ALL!P203</f>
        <v>0</v>
      </c>
      <c r="R251" s="11">
        <f>[1]ALL!Q203</f>
        <v>0</v>
      </c>
      <c r="S251" s="11">
        <f>[1]ALL!R247</f>
        <v>0</v>
      </c>
      <c r="T251" s="9"/>
      <c r="U251" s="9"/>
      <c r="V251" s="10"/>
    </row>
    <row r="252" spans="1:22">
      <c r="A252" s="2">
        <v>30</v>
      </c>
      <c r="B252" s="1" t="str">
        <f>[1]ALL!A31</f>
        <v>169E</v>
      </c>
      <c r="C252" s="2" t="str">
        <f>[1]ALL!B31</f>
        <v>The Cavalry</v>
      </c>
      <c r="D252" s="2" t="str">
        <f>[1]ALL!C31</f>
        <v>Haverford School Robotics</v>
      </c>
      <c r="E252" s="2" t="str">
        <f>[1]ALL!D31</f>
        <v>Haverford, Pennsylvania, United States</v>
      </c>
      <c r="F252" s="8">
        <f>[1]ALL!E31</f>
        <v>240</v>
      </c>
      <c r="G252" s="8">
        <f>[1]ALL!F31</f>
        <v>126</v>
      </c>
      <c r="H252" s="8">
        <f>[1]ALL!G31</f>
        <v>108.229</v>
      </c>
      <c r="I252" s="11">
        <f>[1]ALL!H31</f>
        <v>108.229</v>
      </c>
      <c r="J252" s="11">
        <f>[1]ALL!I31</f>
        <v>86.408100000000005</v>
      </c>
      <c r="K252" s="11">
        <f>[1]ALL!J31</f>
        <v>57.667000000000002</v>
      </c>
      <c r="L252" s="11">
        <f>[1]ALL!K31</f>
        <v>31.0595</v>
      </c>
      <c r="M252" s="11">
        <f>[1]ALL!L31</f>
        <v>-2.6130499999999999</v>
      </c>
      <c r="N252" s="11">
        <f>[1]ALL!M31</f>
        <v>16.224</v>
      </c>
      <c r="O252" s="11">
        <f>[1]ALL!N31</f>
        <v>0</v>
      </c>
      <c r="P252" s="11">
        <f>[1]ALL!O31</f>
        <v>0</v>
      </c>
      <c r="Q252" s="11">
        <f>[1]ALL!P31</f>
        <v>0</v>
      </c>
      <c r="R252" s="11">
        <f>[1]ALL!Q31</f>
        <v>0</v>
      </c>
      <c r="S252" s="11">
        <f>[1]ALL!R248</f>
        <v>0</v>
      </c>
      <c r="T252" s="9"/>
      <c r="U252" s="9"/>
      <c r="V252" s="10"/>
    </row>
    <row r="253" spans="1:22">
      <c r="A253" s="2">
        <v>218</v>
      </c>
      <c r="B253" s="1" t="str">
        <f>[1]ALL!A219</f>
        <v>3815J</v>
      </c>
      <c r="C253" s="2" t="str">
        <f>[1]ALL!B219</f>
        <v>Incursio</v>
      </c>
      <c r="D253" s="2" t="str">
        <f>[1]ALL!C219</f>
        <v>Ranney</v>
      </c>
      <c r="E253" s="2" t="str">
        <f>[1]ALL!D219</f>
        <v>Tinton Falls, New Jersey, United States</v>
      </c>
      <c r="F253" s="8">
        <f>[1]ALL!E219</f>
        <v>186</v>
      </c>
      <c r="G253" s="8">
        <f>[1]ALL!F219</f>
        <v>126</v>
      </c>
      <c r="H253" s="8">
        <f>[1]ALL!G219</f>
        <v>99.9255</v>
      </c>
      <c r="I253" s="11">
        <f>[1]ALL!H219</f>
        <v>58.521099999999997</v>
      </c>
      <c r="J253" s="11">
        <f>[1]ALL!I219</f>
        <v>97.573300000000003</v>
      </c>
      <c r="K253" s="11">
        <f>[1]ALL!J219</f>
        <v>99.9255</v>
      </c>
      <c r="L253" s="11">
        <f>[1]ALL!K219</f>
        <v>60.705500000000001</v>
      </c>
      <c r="M253" s="11">
        <f>[1]ALL!L219</f>
        <v>60.6633</v>
      </c>
      <c r="N253" s="11">
        <f>[1]ALL!M219</f>
        <v>64.836399999999998</v>
      </c>
      <c r="O253" s="11">
        <f>[1]ALL!N219</f>
        <v>0</v>
      </c>
      <c r="P253" s="11">
        <f>[1]ALL!O219</f>
        <v>0</v>
      </c>
      <c r="Q253" s="11">
        <f>[1]ALL!P219</f>
        <v>0</v>
      </c>
      <c r="R253" s="11">
        <f>[1]ALL!Q219</f>
        <v>0</v>
      </c>
      <c r="S253" s="11">
        <f>[1]ALL!R249</f>
        <v>0</v>
      </c>
      <c r="T253" s="9"/>
      <c r="U253" s="9"/>
      <c r="V253" s="10"/>
    </row>
    <row r="254" spans="1:22">
      <c r="A254" s="2">
        <v>307</v>
      </c>
      <c r="B254" s="1" t="str">
        <f>[1]ALL!A308</f>
        <v>5801</v>
      </c>
      <c r="C254" s="2" t="str">
        <f>[1]ALL!B308</f>
        <v>Robo Storm</v>
      </c>
      <c r="D254" s="2" t="str">
        <f>[1]ALL!C308</f>
        <v>T.E.A.C.H. Homeschool</v>
      </c>
      <c r="E254" s="2" t="str">
        <f>[1]ALL!D308</f>
        <v>Grawn, Michigan, United States</v>
      </c>
      <c r="F254" s="8">
        <f>[1]ALL!E308</f>
        <v>153</v>
      </c>
      <c r="G254" s="8">
        <f>[1]ALL!F308</f>
        <v>125</v>
      </c>
      <c r="H254" s="8">
        <f>[1]ALL!G308</f>
        <v>133.18</v>
      </c>
      <c r="I254" s="11">
        <f>[1]ALL!H308</f>
        <v>93.208500000000001</v>
      </c>
      <c r="J254" s="11">
        <f>[1]ALL!I308</f>
        <v>113.197</v>
      </c>
      <c r="K254" s="11">
        <f>[1]ALL!J308</f>
        <v>133.18</v>
      </c>
      <c r="L254" s="11">
        <f>[1]ALL!K308</f>
        <v>59.2866</v>
      </c>
      <c r="M254" s="11">
        <f>[1]ALL!L308</f>
        <v>5.69231</v>
      </c>
      <c r="N254" s="11">
        <f>[1]ALL!M308</f>
        <v>0</v>
      </c>
      <c r="O254" s="11">
        <f>[1]ALL!N308</f>
        <v>0</v>
      </c>
      <c r="P254" s="11">
        <f>[1]ALL!O308</f>
        <v>0</v>
      </c>
      <c r="Q254" s="11">
        <f>[1]ALL!P308</f>
        <v>0</v>
      </c>
      <c r="R254" s="11">
        <f>[1]ALL!Q308</f>
        <v>0</v>
      </c>
      <c r="S254" s="11">
        <f>[1]ALL!R250</f>
        <v>0</v>
      </c>
      <c r="T254" s="9"/>
      <c r="U254" s="9"/>
      <c r="V254" s="10"/>
    </row>
    <row r="255" spans="1:22">
      <c r="A255" s="2">
        <v>264</v>
      </c>
      <c r="B255" s="1" t="str">
        <f>[1]ALL!A265</f>
        <v>4911A</v>
      </c>
      <c r="C255" s="2" t="str">
        <f>[1]ALL!B265</f>
        <v>High Voltage</v>
      </c>
      <c r="D255" s="2" t="str">
        <f>[1]ALL!C265</f>
        <v>Michiana Youth Robotics and Engineering</v>
      </c>
      <c r="E255" s="2" t="str">
        <f>[1]ALL!D265</f>
        <v>Niles, Michigan, United States</v>
      </c>
      <c r="F255" s="8">
        <f>[1]ALL!E265</f>
        <v>146</v>
      </c>
      <c r="G255" s="8">
        <f>[1]ALL!F265</f>
        <v>125</v>
      </c>
      <c r="H255" s="8">
        <f>[1]ALL!G265</f>
        <v>111.986</v>
      </c>
      <c r="I255" s="11">
        <f>[1]ALL!H265</f>
        <v>100.72799999999999</v>
      </c>
      <c r="J255" s="11">
        <f>[1]ALL!I265</f>
        <v>94.535899999999998</v>
      </c>
      <c r="K255" s="11">
        <f>[1]ALL!J265</f>
        <v>111.986</v>
      </c>
      <c r="L255" s="11">
        <f>[1]ALL!K265</f>
        <v>97.012200000000007</v>
      </c>
      <c r="M255" s="11">
        <f>[1]ALL!L265</f>
        <v>0</v>
      </c>
      <c r="N255" s="11">
        <f>[1]ALL!M265</f>
        <v>0</v>
      </c>
      <c r="O255" s="11">
        <f>[1]ALL!N265</f>
        <v>0</v>
      </c>
      <c r="P255" s="11">
        <f>[1]ALL!O265</f>
        <v>0</v>
      </c>
      <c r="Q255" s="11">
        <f>[1]ALL!P265</f>
        <v>0</v>
      </c>
      <c r="R255" s="11">
        <f>[1]ALL!Q265</f>
        <v>0</v>
      </c>
      <c r="S255" s="11">
        <f>[1]ALL!R251</f>
        <v>0</v>
      </c>
      <c r="T255" s="9"/>
      <c r="U255" s="9"/>
      <c r="V255" s="10"/>
    </row>
    <row r="256" spans="1:22">
      <c r="A256" s="2">
        <v>172</v>
      </c>
      <c r="B256" s="1" t="str">
        <f>[1]ALL!A173</f>
        <v>2250F</v>
      </c>
      <c r="C256" s="2" t="str">
        <f>[1]ALL!B173</f>
        <v>Brigida Alvarez-HS ADV</v>
      </c>
      <c r="D256" s="2" t="str">
        <f>[1]ALL!C173</f>
        <v>Brigida Alvarez Rodriguez</v>
      </c>
      <c r="E256" s="2" t="str">
        <f>[1]ALL!D173</f>
        <v>Vega Baja, Not Applicable or Not Listed, Puerto Rico</v>
      </c>
      <c r="F256" s="8">
        <f>[1]ALL!E173</f>
        <v>211</v>
      </c>
      <c r="G256" s="8">
        <f>[1]ALL!F173</f>
        <v>123</v>
      </c>
      <c r="H256" s="8">
        <f>[1]ALL!G173</f>
        <v>103.84099999999999</v>
      </c>
      <c r="I256" s="11">
        <f>[1]ALL!H173</f>
        <v>93.130700000000004</v>
      </c>
      <c r="J256" s="11">
        <f>[1]ALL!I173</f>
        <v>103.84099999999999</v>
      </c>
      <c r="K256" s="11">
        <f>[1]ALL!J173</f>
        <v>22.650300000000001</v>
      </c>
      <c r="L256" s="11">
        <f>[1]ALL!K173</f>
        <v>0</v>
      </c>
      <c r="M256" s="11">
        <f>[1]ALL!L173</f>
        <v>0</v>
      </c>
      <c r="N256" s="11">
        <f>[1]ALL!M173</f>
        <v>0</v>
      </c>
      <c r="O256" s="11">
        <f>[1]ALL!N173</f>
        <v>0</v>
      </c>
      <c r="P256" s="11">
        <f>[1]ALL!O173</f>
        <v>0</v>
      </c>
      <c r="Q256" s="11">
        <f>[1]ALL!P173</f>
        <v>0</v>
      </c>
      <c r="R256" s="11">
        <f>[1]ALL!Q173</f>
        <v>0</v>
      </c>
      <c r="S256" s="11">
        <f>[1]ALL!R252</f>
        <v>0</v>
      </c>
      <c r="T256" s="9"/>
      <c r="U256" s="9"/>
      <c r="V256" s="10"/>
    </row>
    <row r="257" spans="1:22">
      <c r="A257" s="2">
        <v>40</v>
      </c>
      <c r="B257" s="1" t="str">
        <f>[1]ALL!A41</f>
        <v>231D</v>
      </c>
      <c r="C257" s="2" t="str">
        <f>[1]ALL!B41</f>
        <v>PASADENA ISD ROBOTICS</v>
      </c>
      <c r="D257" s="2" t="str">
        <f>[1]ALL!C41</f>
        <v>PASADENA ISD ROBOTICS</v>
      </c>
      <c r="E257" s="2" t="str">
        <f>[1]ALL!D41</f>
        <v>HOUSTON, Texas, United States</v>
      </c>
      <c r="F257" s="8">
        <f>[1]ALL!E41</f>
        <v>272</v>
      </c>
      <c r="G257" s="8">
        <f>[1]ALL!F41</f>
        <v>122</v>
      </c>
      <c r="H257" s="8">
        <f>[1]ALL!G41</f>
        <v>66.249799999999993</v>
      </c>
      <c r="I257" s="11">
        <f>[1]ALL!H41</f>
        <v>44.858800000000002</v>
      </c>
      <c r="J257" s="11">
        <f>[1]ALL!I41</f>
        <v>60.775500000000001</v>
      </c>
      <c r="K257" s="11">
        <f>[1]ALL!J41</f>
        <v>60.488799999999998</v>
      </c>
      <c r="L257" s="11">
        <f>[1]ALL!K41</f>
        <v>56.035600000000002</v>
      </c>
      <c r="M257" s="11">
        <f>[1]ALL!L41</f>
        <v>66.249799999999993</v>
      </c>
      <c r="N257" s="11">
        <f>[1]ALL!M41</f>
        <v>36.658700000000003</v>
      </c>
      <c r="O257" s="11">
        <f>[1]ALL!N41</f>
        <v>32.572600000000001</v>
      </c>
      <c r="P257" s="11">
        <f>[1]ALL!O41</f>
        <v>0</v>
      </c>
      <c r="Q257" s="11">
        <f>[1]ALL!P41</f>
        <v>0</v>
      </c>
      <c r="R257" s="11">
        <f>[1]ALL!Q41</f>
        <v>0</v>
      </c>
      <c r="S257" s="11">
        <f>[1]ALL!R253</f>
        <v>0</v>
      </c>
      <c r="T257" s="9"/>
      <c r="U257" s="9"/>
      <c r="V257" s="10"/>
    </row>
    <row r="258" spans="1:22">
      <c r="A258" s="2">
        <v>7</v>
      </c>
      <c r="B258" s="1" t="str">
        <f>[1]ALL!A8</f>
        <v>24A</v>
      </c>
      <c r="C258" s="2" t="str">
        <f>[1]ALL!B8</f>
        <v>Super Sonic Sparks A</v>
      </c>
      <c r="D258" s="2" t="str">
        <f>[1]ALL!C8</f>
        <v>SPARKS 4-H Club</v>
      </c>
      <c r="E258" s="2" t="str">
        <f>[1]ALL!D8</f>
        <v>Westminster, Maryland, United States</v>
      </c>
      <c r="F258" s="8">
        <f>[1]ALL!E8</f>
        <v>265</v>
      </c>
      <c r="G258" s="8">
        <f>[1]ALL!F8</f>
        <v>121</v>
      </c>
      <c r="H258" s="8">
        <f>[1]ALL!G8</f>
        <v>107.136</v>
      </c>
      <c r="I258" s="11">
        <f>[1]ALL!H8</f>
        <v>87.996499999999997</v>
      </c>
      <c r="J258" s="11">
        <f>[1]ALL!I8</f>
        <v>107.136</v>
      </c>
      <c r="K258" s="11">
        <f>[1]ALL!J8</f>
        <v>60.262599999999999</v>
      </c>
      <c r="L258" s="11">
        <f>[1]ALL!K8</f>
        <v>12.3642</v>
      </c>
      <c r="M258" s="11">
        <f>[1]ALL!L8</f>
        <v>41.787599999999998</v>
      </c>
      <c r="N258" s="11">
        <f>[1]ALL!M8</f>
        <v>39.940300000000001</v>
      </c>
      <c r="O258" s="11">
        <f>[1]ALL!N8</f>
        <v>33.211500000000001</v>
      </c>
      <c r="P258" s="11">
        <f>[1]ALL!O8</f>
        <v>0</v>
      </c>
      <c r="Q258" s="11">
        <f>[1]ALL!P8</f>
        <v>0</v>
      </c>
      <c r="R258" s="11">
        <f>[1]ALL!Q8</f>
        <v>0</v>
      </c>
      <c r="S258" s="11">
        <f>[1]ALL!R254</f>
        <v>0</v>
      </c>
      <c r="T258" s="9"/>
      <c r="U258" s="9"/>
      <c r="V258" s="10"/>
    </row>
    <row r="259" spans="1:22">
      <c r="A259" s="2">
        <v>195</v>
      </c>
      <c r="B259" s="1" t="str">
        <f>[1]ALL!A196</f>
        <v>2915C</v>
      </c>
      <c r="C259" s="2" t="str">
        <f>[1]ALL!B196</f>
        <v>Lynfield College Robotics</v>
      </c>
      <c r="D259" s="2" t="str">
        <f>[1]ALL!C196</f>
        <v>Lynfield College</v>
      </c>
      <c r="E259" s="2" t="str">
        <f>[1]ALL!D196</f>
        <v>Auckland, Not Applicable or Not Listed, New Zealand</v>
      </c>
      <c r="F259" s="8">
        <f>[1]ALL!E196</f>
        <v>238</v>
      </c>
      <c r="G259" s="8">
        <f>[1]ALL!F196</f>
        <v>121</v>
      </c>
      <c r="H259" s="8">
        <f>[1]ALL!G196</f>
        <v>142.73500000000001</v>
      </c>
      <c r="I259" s="11">
        <f>[1]ALL!H196</f>
        <v>142.73500000000001</v>
      </c>
      <c r="J259" s="11">
        <f>[1]ALL!I196</f>
        <v>102.23</v>
      </c>
      <c r="K259" s="11">
        <f>[1]ALL!J196</f>
        <v>69.600099999999998</v>
      </c>
      <c r="L259" s="11">
        <f>[1]ALL!K196</f>
        <v>0</v>
      </c>
      <c r="M259" s="11">
        <f>[1]ALL!L196</f>
        <v>0</v>
      </c>
      <c r="N259" s="11">
        <f>[1]ALL!M196</f>
        <v>0</v>
      </c>
      <c r="O259" s="11">
        <f>[1]ALL!N196</f>
        <v>0</v>
      </c>
      <c r="P259" s="11">
        <f>[1]ALL!O196</f>
        <v>0</v>
      </c>
      <c r="Q259" s="11">
        <f>[1]ALL!P196</f>
        <v>0</v>
      </c>
      <c r="R259" s="11">
        <f>[1]ALL!Q196</f>
        <v>0</v>
      </c>
      <c r="S259" s="11">
        <f>[1]ALL!R255</f>
        <v>0</v>
      </c>
      <c r="T259" s="9"/>
      <c r="U259" s="9"/>
      <c r="V259" s="10"/>
    </row>
    <row r="260" spans="1:22">
      <c r="A260" s="2">
        <v>175</v>
      </c>
      <c r="B260" s="1" t="str">
        <f>[1]ALL!A176</f>
        <v>2382A</v>
      </c>
      <c r="C260" s="2" t="str">
        <f>[1]ALL!B176</f>
        <v>Redemption Robotics</v>
      </c>
      <c r="D260" s="2" t="str">
        <f>[1]ALL!C176</f>
        <v>Friends</v>
      </c>
      <c r="E260" s="2" t="str">
        <f>[1]ALL!D176</f>
        <v>Dorado, Not Applicable or Not Listed, Puerto Rico</v>
      </c>
      <c r="F260" s="8">
        <f>[1]ALL!E176</f>
        <v>150</v>
      </c>
      <c r="G260" s="8">
        <f>[1]ALL!F176</f>
        <v>121</v>
      </c>
      <c r="H260" s="8">
        <f>[1]ALL!G176</f>
        <v>99.6524</v>
      </c>
      <c r="I260" s="11">
        <f>[1]ALL!H176</f>
        <v>99.6524</v>
      </c>
      <c r="J260" s="11">
        <f>[1]ALL!I176</f>
        <v>77.943299999999994</v>
      </c>
      <c r="K260" s="11">
        <f>[1]ALL!J176</f>
        <v>43.973500000000001</v>
      </c>
      <c r="L260" s="11">
        <f>[1]ALL!K176</f>
        <v>0</v>
      </c>
      <c r="M260" s="11">
        <f>[1]ALL!L176</f>
        <v>0</v>
      </c>
      <c r="N260" s="11">
        <f>[1]ALL!M176</f>
        <v>0</v>
      </c>
      <c r="O260" s="11">
        <f>[1]ALL!N176</f>
        <v>0</v>
      </c>
      <c r="P260" s="11">
        <f>[1]ALL!O176</f>
        <v>0</v>
      </c>
      <c r="Q260" s="11">
        <f>[1]ALL!P176</f>
        <v>0</v>
      </c>
      <c r="R260" s="11">
        <f>[1]ALL!Q176</f>
        <v>0</v>
      </c>
      <c r="S260" s="11">
        <f>[1]ALL!R256</f>
        <v>0</v>
      </c>
      <c r="T260" s="9"/>
      <c r="U260" s="9"/>
      <c r="V260" s="10"/>
    </row>
    <row r="261" spans="1:22">
      <c r="A261" s="2">
        <v>272</v>
      </c>
      <c r="B261" s="1" t="str">
        <f>[1]ALL!A273</f>
        <v>5139A</v>
      </c>
      <c r="C261" s="2" t="str">
        <f>[1]ALL!B273</f>
        <v>Robinson Bulldogs</v>
      </c>
      <c r="D261" s="2" t="str">
        <f>[1]ALL!C273</f>
        <v>Jay M Robinson High School</v>
      </c>
      <c r="E261" s="2" t="str">
        <f>[1]ALL!D273</f>
        <v>Concord, North Carolina, United States</v>
      </c>
      <c r="F261" s="8">
        <f>[1]ALL!E273</f>
        <v>70</v>
      </c>
      <c r="G261" s="8">
        <f>[1]ALL!F273</f>
        <v>121</v>
      </c>
      <c r="H261" s="8">
        <f>[1]ALL!G273</f>
        <v>74.551500000000004</v>
      </c>
      <c r="I261" s="11">
        <f>[1]ALL!H273</f>
        <v>74.551500000000004</v>
      </c>
      <c r="J261" s="11">
        <f>[1]ALL!I273</f>
        <v>49.181699999999999</v>
      </c>
      <c r="K261" s="11">
        <f>[1]ALL!J273</f>
        <v>42.923400000000001</v>
      </c>
      <c r="L261" s="11">
        <f>[1]ALL!K273</f>
        <v>22.5715</v>
      </c>
      <c r="M261" s="11">
        <f>[1]ALL!L273</f>
        <v>0</v>
      </c>
      <c r="N261" s="11">
        <f>[1]ALL!M273</f>
        <v>0</v>
      </c>
      <c r="O261" s="11">
        <f>[1]ALL!N273</f>
        <v>0</v>
      </c>
      <c r="P261" s="11">
        <f>[1]ALL!O273</f>
        <v>0</v>
      </c>
      <c r="Q261" s="11">
        <f>[1]ALL!P273</f>
        <v>0</v>
      </c>
      <c r="R261" s="11">
        <f>[1]ALL!Q273</f>
        <v>0</v>
      </c>
      <c r="S261" s="11">
        <f>[1]ALL!R257</f>
        <v>0</v>
      </c>
      <c r="T261" s="9"/>
      <c r="U261" s="9"/>
      <c r="V261" s="10"/>
    </row>
    <row r="262" spans="1:22">
      <c r="A262" s="2">
        <v>42</v>
      </c>
      <c r="B262" s="1" t="str">
        <f>[1]ALL!A43</f>
        <v>231Z</v>
      </c>
      <c r="C262" s="2" t="str">
        <f>[1]ALL!B43</f>
        <v>PASADENA ISD ROBOTICS</v>
      </c>
      <c r="D262" s="2" t="str">
        <f>[1]ALL!C43</f>
        <v>PASADENA ISD ROBOTICS</v>
      </c>
      <c r="E262" s="2" t="str">
        <f>[1]ALL!D43</f>
        <v>HOUSTON, Texas, United States</v>
      </c>
      <c r="F262" s="8">
        <f>[1]ALL!E43</f>
        <v>163</v>
      </c>
      <c r="G262" s="8">
        <f>[1]ALL!F43</f>
        <v>120</v>
      </c>
      <c r="H262" s="8">
        <f>[1]ALL!G43</f>
        <v>122.67400000000001</v>
      </c>
      <c r="I262" s="11">
        <f>[1]ALL!H43</f>
        <v>120.40600000000001</v>
      </c>
      <c r="J262" s="11">
        <f>[1]ALL!I43</f>
        <v>105.80200000000001</v>
      </c>
      <c r="K262" s="11">
        <f>[1]ALL!J43</f>
        <v>122.67400000000001</v>
      </c>
      <c r="L262" s="11">
        <f>[1]ALL!K43</f>
        <v>115.88800000000001</v>
      </c>
      <c r="M262" s="11">
        <f>[1]ALL!L43</f>
        <v>118.33</v>
      </c>
      <c r="N262" s="11">
        <f>[1]ALL!M43</f>
        <v>0</v>
      </c>
      <c r="O262" s="11">
        <f>[1]ALL!N43</f>
        <v>0</v>
      </c>
      <c r="P262" s="11">
        <f>[1]ALL!O43</f>
        <v>0</v>
      </c>
      <c r="Q262" s="11">
        <f>[1]ALL!P43</f>
        <v>0</v>
      </c>
      <c r="R262" s="11">
        <f>[1]ALL!Q43</f>
        <v>0</v>
      </c>
      <c r="S262" s="11">
        <f>[1]ALL!R258</f>
        <v>0</v>
      </c>
      <c r="T262" s="9"/>
      <c r="U262" s="9"/>
      <c r="V262" s="10"/>
    </row>
    <row r="263" spans="1:22">
      <c r="A263" s="2">
        <v>371</v>
      </c>
      <c r="B263" s="1" t="str">
        <f>[1]ALL!A372</f>
        <v>7439</v>
      </c>
      <c r="C263" s="2" t="str">
        <f>[1]ALL!B372</f>
        <v>Berwick Academy</v>
      </c>
      <c r="D263" s="2" t="str">
        <f>[1]ALL!C372</f>
        <v>Berwick Academy</v>
      </c>
      <c r="E263" s="2" t="str">
        <f>[1]ALL!D372</f>
        <v>South Berwick, Maine, United States</v>
      </c>
      <c r="F263" s="8">
        <f>[1]ALL!E372</f>
        <v>116</v>
      </c>
      <c r="G263" s="8">
        <f>[1]ALL!F372</f>
        <v>120</v>
      </c>
      <c r="H263" s="8">
        <f>[1]ALL!G372</f>
        <v>92.478800000000007</v>
      </c>
      <c r="I263" s="11">
        <f>[1]ALL!H372</f>
        <v>92.478800000000007</v>
      </c>
      <c r="J263" s="11">
        <f>[1]ALL!I372</f>
        <v>56.442500000000003</v>
      </c>
      <c r="K263" s="11">
        <f>[1]ALL!J372</f>
        <v>51.281700000000001</v>
      </c>
      <c r="L263" s="11">
        <f>[1]ALL!K372</f>
        <v>12.6731</v>
      </c>
      <c r="M263" s="11">
        <f>[1]ALL!L372</f>
        <v>0</v>
      </c>
      <c r="N263" s="11">
        <f>[1]ALL!M372</f>
        <v>0</v>
      </c>
      <c r="O263" s="11">
        <f>[1]ALL!N372</f>
        <v>0</v>
      </c>
      <c r="P263" s="11">
        <f>[1]ALL!O372</f>
        <v>0</v>
      </c>
      <c r="Q263" s="11">
        <f>[1]ALL!P372</f>
        <v>0</v>
      </c>
      <c r="R263" s="11">
        <f>[1]ALL!Q372</f>
        <v>0</v>
      </c>
      <c r="S263" s="11">
        <f>[1]ALL!R259</f>
        <v>0</v>
      </c>
      <c r="T263" s="9"/>
      <c r="U263" s="9"/>
      <c r="V263" s="10"/>
    </row>
    <row r="264" spans="1:22">
      <c r="A264" s="2">
        <v>369</v>
      </c>
      <c r="B264" s="1" t="str">
        <f>[1]ALL!A370</f>
        <v>7316E</v>
      </c>
      <c r="C264" s="2" t="str">
        <f>[1]ALL!B370</f>
        <v>Firestone Engineering</v>
      </c>
      <c r="D264" s="2" t="str">
        <f>[1]ALL!C370</f>
        <v>Firestone Engineering Club</v>
      </c>
      <c r="E264" s="2" t="str">
        <f>[1]ALL!D370</f>
        <v>Akron, Ohio, United States</v>
      </c>
      <c r="F264" s="8">
        <f>[1]ALL!E370</f>
        <v>112</v>
      </c>
      <c r="G264" s="8">
        <f>[1]ALL!F370</f>
        <v>120</v>
      </c>
      <c r="H264" s="8">
        <f>[1]ALL!G370</f>
        <v>84.390799999999999</v>
      </c>
      <c r="I264" s="11">
        <f>[1]ALL!H370</f>
        <v>84.390799999999999</v>
      </c>
      <c r="J264" s="11">
        <f>[1]ALL!I370</f>
        <v>83.138499999999993</v>
      </c>
      <c r="K264" s="11">
        <f>[1]ALL!J370</f>
        <v>65.683300000000003</v>
      </c>
      <c r="L264" s="11">
        <f>[1]ALL!K370</f>
        <v>0</v>
      </c>
      <c r="M264" s="11">
        <f>[1]ALL!L370</f>
        <v>69.372299999999996</v>
      </c>
      <c r="N264" s="11">
        <f>[1]ALL!M370</f>
        <v>69.229500000000002</v>
      </c>
      <c r="O264" s="11">
        <f>[1]ALL!N370</f>
        <v>65.128699999999995</v>
      </c>
      <c r="P264" s="11">
        <f>[1]ALL!O370</f>
        <v>74.706999999999994</v>
      </c>
      <c r="Q264" s="11">
        <f>[1]ALL!P370</f>
        <v>0</v>
      </c>
      <c r="R264" s="11">
        <f>[1]ALL!Q370</f>
        <v>0</v>
      </c>
      <c r="S264" s="11">
        <f>[1]ALL!R260</f>
        <v>0</v>
      </c>
      <c r="T264" s="9"/>
      <c r="U264" s="9"/>
      <c r="V264" s="10"/>
    </row>
    <row r="265" spans="1:22">
      <c r="A265" s="2">
        <v>353</v>
      </c>
      <c r="B265" s="1" t="str">
        <f>[1]ALL!A354</f>
        <v>6916C</v>
      </c>
      <c r="C265" s="2" t="str">
        <f>[1]ALL!B354</f>
        <v>BVT VexVengers</v>
      </c>
      <c r="D265" s="2" t="str">
        <f>[1]ALL!C354</f>
        <v>Blackstone Valley Regional High School</v>
      </c>
      <c r="E265" s="2" t="str">
        <f>[1]ALL!D354</f>
        <v>Upton, Massachusetts, United States</v>
      </c>
      <c r="F265" s="8">
        <f>[1]ALL!E354</f>
        <v>80</v>
      </c>
      <c r="G265" s="8">
        <f>[1]ALL!F354</f>
        <v>120</v>
      </c>
      <c r="H265" s="8">
        <f>[1]ALL!G354</f>
        <v>125.61199999999999</v>
      </c>
      <c r="I265" s="11">
        <f>[1]ALL!H354</f>
        <v>125.61199999999999</v>
      </c>
      <c r="J265" s="11">
        <f>[1]ALL!I354</f>
        <v>100.79900000000001</v>
      </c>
      <c r="K265" s="11">
        <f>[1]ALL!J354</f>
        <v>72.357100000000003</v>
      </c>
      <c r="L265" s="11">
        <f>[1]ALL!K354</f>
        <v>88.680499999999995</v>
      </c>
      <c r="M265" s="11">
        <f>[1]ALL!L354</f>
        <v>68.870800000000003</v>
      </c>
      <c r="N265" s="11">
        <f>[1]ALL!M354</f>
        <v>0</v>
      </c>
      <c r="O265" s="11">
        <f>[1]ALL!N354</f>
        <v>0</v>
      </c>
      <c r="P265" s="11">
        <f>[1]ALL!O354</f>
        <v>0</v>
      </c>
      <c r="Q265" s="11">
        <f>[1]ALL!P354</f>
        <v>0</v>
      </c>
      <c r="R265" s="11">
        <f>[1]ALL!Q354</f>
        <v>0</v>
      </c>
      <c r="S265" s="11">
        <f>[1]ALL!R261</f>
        <v>0</v>
      </c>
      <c r="T265" s="9"/>
      <c r="U265" s="9"/>
      <c r="V265" s="10"/>
    </row>
    <row r="266" spans="1:22">
      <c r="A266" s="2">
        <v>305</v>
      </c>
      <c r="B266" s="1" t="str">
        <f>[1]ALL!A306</f>
        <v>5776Y</v>
      </c>
      <c r="C266" s="2" t="str">
        <f>[1]ALL!B306</f>
        <v>DVHS Robotics</v>
      </c>
      <c r="D266" s="2" t="str">
        <f>[1]ALL!C306</f>
        <v>Dougherty Valley High School</v>
      </c>
      <c r="E266" s="2" t="str">
        <f>[1]ALL!D306</f>
        <v>San Ramon, California, United States</v>
      </c>
      <c r="F266" s="8">
        <f>[1]ALL!E306</f>
        <v>274</v>
      </c>
      <c r="G266" s="8">
        <f>[1]ALL!F306</f>
        <v>118</v>
      </c>
      <c r="H266" s="8">
        <f>[1]ALL!G306</f>
        <v>73.846000000000004</v>
      </c>
      <c r="I266" s="11">
        <f>[1]ALL!H306</f>
        <v>73.846000000000004</v>
      </c>
      <c r="J266" s="11">
        <f>[1]ALL!I306</f>
        <v>28.787299999999998</v>
      </c>
      <c r="K266" s="11">
        <f>[1]ALL!J306</f>
        <v>58.964799999999997</v>
      </c>
      <c r="L266" s="11">
        <f>[1]ALL!K306</f>
        <v>18.7075</v>
      </c>
      <c r="M266" s="11">
        <f>[1]ALL!L306</f>
        <v>41.877499999999998</v>
      </c>
      <c r="N266" s="11">
        <f>[1]ALL!M306</f>
        <v>52.064500000000002</v>
      </c>
      <c r="O266" s="11">
        <f>[1]ALL!N306</f>
        <v>0</v>
      </c>
      <c r="P266" s="11">
        <f>[1]ALL!O306</f>
        <v>0</v>
      </c>
      <c r="Q266" s="11">
        <f>[1]ALL!P306</f>
        <v>0</v>
      </c>
      <c r="R266" s="11">
        <f>[1]ALL!Q306</f>
        <v>0</v>
      </c>
      <c r="S266" s="11">
        <f>[1]ALL!R262</f>
        <v>0</v>
      </c>
      <c r="T266" s="9"/>
      <c r="U266" s="9"/>
      <c r="V266" s="10"/>
    </row>
    <row r="267" spans="1:22">
      <c r="A267" s="2">
        <v>154</v>
      </c>
      <c r="B267" s="1" t="str">
        <f>[1]ALL!A155</f>
        <v>1900W</v>
      </c>
      <c r="C267" s="2" t="str">
        <f>[1]ALL!B155</f>
        <v>Team GMA</v>
      </c>
      <c r="D267" s="2" t="str">
        <f>[1]ALL!C155</f>
        <v>Woodward Academy</v>
      </c>
      <c r="E267" s="2" t="str">
        <f>[1]ALL!D155</f>
        <v>College Park, Georgia, United States</v>
      </c>
      <c r="F267" s="8">
        <f>[1]ALL!E155</f>
        <v>156</v>
      </c>
      <c r="G267" s="8">
        <f>[1]ALL!F155</f>
        <v>118</v>
      </c>
      <c r="H267" s="8">
        <f>[1]ALL!G155</f>
        <v>144.792</v>
      </c>
      <c r="I267" s="11">
        <f>[1]ALL!H155</f>
        <v>144.792</v>
      </c>
      <c r="J267" s="11">
        <f>[1]ALL!I155</f>
        <v>10.5136</v>
      </c>
      <c r="K267" s="11">
        <f>[1]ALL!J155</f>
        <v>104.664</v>
      </c>
      <c r="L267" s="11">
        <f>[1]ALL!K155</f>
        <v>0</v>
      </c>
      <c r="M267" s="11">
        <f>[1]ALL!L155</f>
        <v>0</v>
      </c>
      <c r="N267" s="11">
        <f>[1]ALL!M155</f>
        <v>0</v>
      </c>
      <c r="O267" s="11">
        <f>[1]ALL!N155</f>
        <v>0</v>
      </c>
      <c r="P267" s="11">
        <f>[1]ALL!O155</f>
        <v>0</v>
      </c>
      <c r="Q267" s="11">
        <f>[1]ALL!P155</f>
        <v>0</v>
      </c>
      <c r="R267" s="11">
        <f>[1]ALL!Q155</f>
        <v>0</v>
      </c>
      <c r="S267" s="11">
        <f>[1]ALL!R263</f>
        <v>0</v>
      </c>
      <c r="T267" s="9"/>
      <c r="U267" s="9"/>
      <c r="V267" s="10"/>
    </row>
    <row r="268" spans="1:22">
      <c r="A268" s="2">
        <v>337</v>
      </c>
      <c r="B268" s="1" t="str">
        <f>[1]ALL!A338</f>
        <v>6460</v>
      </c>
      <c r="C268" s="2" t="str">
        <f>[1]ALL!B338</f>
        <v>MAGNOBOTS</v>
      </c>
      <c r="D268" s="2" t="str">
        <f>[1]ALL!C338</f>
        <v>magnolia science academy 1</v>
      </c>
      <c r="E268" s="2" t="str">
        <f>[1]ALL!D338</f>
        <v>reseda, California, United States</v>
      </c>
      <c r="F268" s="8">
        <f>[1]ALL!E338</f>
        <v>291</v>
      </c>
      <c r="G268" s="8">
        <f>[1]ALL!F338</f>
        <v>117</v>
      </c>
      <c r="H268" s="8">
        <f>[1]ALL!G338</f>
        <v>80.387200000000007</v>
      </c>
      <c r="I268" s="11">
        <f>[1]ALL!H338</f>
        <v>80.387200000000007</v>
      </c>
      <c r="J268" s="11">
        <f>[1]ALL!I338</f>
        <v>52.203899999999997</v>
      </c>
      <c r="K268" s="11">
        <f>[1]ALL!J338</f>
        <v>0</v>
      </c>
      <c r="L268" s="11">
        <f>[1]ALL!K338</f>
        <v>0</v>
      </c>
      <c r="M268" s="11">
        <f>[1]ALL!L338</f>
        <v>0</v>
      </c>
      <c r="N268" s="11">
        <f>[1]ALL!M338</f>
        <v>0</v>
      </c>
      <c r="O268" s="11">
        <f>[1]ALL!N338</f>
        <v>0</v>
      </c>
      <c r="P268" s="11">
        <f>[1]ALL!O338</f>
        <v>0</v>
      </c>
      <c r="Q268" s="11">
        <f>[1]ALL!P338</f>
        <v>0</v>
      </c>
      <c r="R268" s="11">
        <f>[1]ALL!Q338</f>
        <v>0</v>
      </c>
      <c r="S268" s="11">
        <f>[1]ALL!R264</f>
        <v>0</v>
      </c>
      <c r="T268" s="9"/>
      <c r="U268" s="9"/>
      <c r="V268" s="10"/>
    </row>
    <row r="269" spans="1:22">
      <c r="A269" s="2">
        <v>375</v>
      </c>
      <c r="B269" s="1" t="str">
        <f>[1]ALL!A376</f>
        <v>7581H</v>
      </c>
      <c r="C269" s="2" t="str">
        <f>[1]ALL!B376</f>
        <v>Haslett VEX Raptors MSU</v>
      </c>
      <c r="D269" s="2" t="str">
        <f>[1]ALL!C376</f>
        <v>Michigan State University College of Engineering</v>
      </c>
      <c r="E269" s="2" t="str">
        <f>[1]ALL!D376</f>
        <v>East Lansing, Michigan, United States</v>
      </c>
      <c r="F269" s="8">
        <f>[1]ALL!E376</f>
        <v>218</v>
      </c>
      <c r="G269" s="8">
        <f>[1]ALL!F376</f>
        <v>116</v>
      </c>
      <c r="H269" s="8">
        <f>[1]ALL!G376</f>
        <v>124.845</v>
      </c>
      <c r="I269" s="11">
        <f>[1]ALL!H376</f>
        <v>124.845</v>
      </c>
      <c r="J269" s="11">
        <f>[1]ALL!I376</f>
        <v>78.569599999999994</v>
      </c>
      <c r="K269" s="11">
        <f>[1]ALL!J376</f>
        <v>53.203699999999998</v>
      </c>
      <c r="L269" s="11">
        <f>[1]ALL!K376</f>
        <v>57.938699999999997</v>
      </c>
      <c r="M269" s="11">
        <f>[1]ALL!L376</f>
        <v>72.085599999999999</v>
      </c>
      <c r="N269" s="11">
        <f>[1]ALL!M376</f>
        <v>0</v>
      </c>
      <c r="O269" s="11">
        <f>[1]ALL!N376</f>
        <v>0</v>
      </c>
      <c r="P269" s="11">
        <f>[1]ALL!O376</f>
        <v>0</v>
      </c>
      <c r="Q269" s="11">
        <f>[1]ALL!P376</f>
        <v>0</v>
      </c>
      <c r="R269" s="11">
        <f>[1]ALL!Q376</f>
        <v>0</v>
      </c>
      <c r="S269" s="11">
        <f>[1]ALL!R265</f>
        <v>0</v>
      </c>
      <c r="T269" s="9"/>
      <c r="U269" s="9"/>
      <c r="V269" s="10"/>
    </row>
    <row r="270" spans="1:22">
      <c r="A270" s="2">
        <v>177</v>
      </c>
      <c r="B270" s="1" t="str">
        <f>[1]ALL!A178</f>
        <v>2442B</v>
      </c>
      <c r="C270" s="2" t="str">
        <f>[1]ALL!B178</f>
        <v>Bancroft Robodogs B</v>
      </c>
      <c r="D270" s="2" t="str">
        <f>[1]ALL!C178</f>
        <v>Bancroft School</v>
      </c>
      <c r="E270" s="2" t="str">
        <f>[1]ALL!D178</f>
        <v>Worcester, Massachusetts, United States</v>
      </c>
      <c r="F270" s="8">
        <f>[1]ALL!E178</f>
        <v>160</v>
      </c>
      <c r="G270" s="8">
        <f>[1]ALL!F178</f>
        <v>116</v>
      </c>
      <c r="H270" s="8">
        <f>[1]ALL!G178</f>
        <v>79.793999999999997</v>
      </c>
      <c r="I270" s="11">
        <f>[1]ALL!H178</f>
        <v>79.793999999999997</v>
      </c>
      <c r="J270" s="11">
        <f>[1]ALL!I178</f>
        <v>76.956500000000005</v>
      </c>
      <c r="K270" s="11">
        <f>[1]ALL!J178</f>
        <v>17.279299999999999</v>
      </c>
      <c r="L270" s="11">
        <f>[1]ALL!K178</f>
        <v>16.935199999999998</v>
      </c>
      <c r="M270" s="11">
        <f>[1]ALL!L178</f>
        <v>39.614100000000001</v>
      </c>
      <c r="N270" s="11">
        <f>[1]ALL!M178</f>
        <v>0</v>
      </c>
      <c r="O270" s="11">
        <f>[1]ALL!N178</f>
        <v>0</v>
      </c>
      <c r="P270" s="11">
        <f>[1]ALL!O178</f>
        <v>0</v>
      </c>
      <c r="Q270" s="11">
        <f>[1]ALL!P178</f>
        <v>0</v>
      </c>
      <c r="R270" s="11">
        <f>[1]ALL!Q178</f>
        <v>0</v>
      </c>
      <c r="S270" s="11">
        <f>[1]ALL!R266</f>
        <v>0</v>
      </c>
      <c r="T270" s="9"/>
      <c r="U270" s="9"/>
      <c r="V270" s="10"/>
    </row>
    <row r="271" spans="1:22">
      <c r="A271" s="2">
        <v>148</v>
      </c>
      <c r="B271" s="1" t="str">
        <f>[1]ALL!A149</f>
        <v>1670A</v>
      </c>
      <c r="C271" s="2" t="str">
        <f>[1]ALL!B149</f>
        <v>The A-Team</v>
      </c>
      <c r="D271" s="2" t="str">
        <f>[1]ALL!C149</f>
        <v>Calvert High School</v>
      </c>
      <c r="E271" s="2" t="str">
        <f>[1]ALL!D149</f>
        <v>Prince Frederick, Maryland, United States</v>
      </c>
      <c r="F271" s="8">
        <f>[1]ALL!E149</f>
        <v>132</v>
      </c>
      <c r="G271" s="8">
        <f>[1]ALL!F149</f>
        <v>116</v>
      </c>
      <c r="H271" s="8">
        <f>[1]ALL!G149</f>
        <v>94.677700000000002</v>
      </c>
      <c r="I271" s="11">
        <f>[1]ALL!H149</f>
        <v>57.414000000000001</v>
      </c>
      <c r="J271" s="11">
        <f>[1]ALL!I149</f>
        <v>73.281800000000004</v>
      </c>
      <c r="K271" s="11">
        <f>[1]ALL!J149</f>
        <v>94.677700000000002</v>
      </c>
      <c r="L271" s="11">
        <f>[1]ALL!K149</f>
        <v>0</v>
      </c>
      <c r="M271" s="11">
        <f>[1]ALL!L149</f>
        <v>0</v>
      </c>
      <c r="N271" s="11">
        <f>[1]ALL!M149</f>
        <v>0</v>
      </c>
      <c r="O271" s="11">
        <f>[1]ALL!N149</f>
        <v>0</v>
      </c>
      <c r="P271" s="11">
        <f>[1]ALL!O149</f>
        <v>0</v>
      </c>
      <c r="Q271" s="11">
        <f>[1]ALL!P149</f>
        <v>0</v>
      </c>
      <c r="R271" s="11">
        <f>[1]ALL!Q149</f>
        <v>0</v>
      </c>
      <c r="S271" s="11">
        <f>[1]ALL!R267</f>
        <v>0</v>
      </c>
      <c r="T271" s="9"/>
      <c r="U271" s="9"/>
      <c r="V271" s="10"/>
    </row>
    <row r="272" spans="1:22">
      <c r="A272" s="2">
        <v>433</v>
      </c>
      <c r="B272" s="1" t="str">
        <f>[1]ALL!A434</f>
        <v>8776B</v>
      </c>
      <c r="C272" s="2" t="str">
        <f>[1]ALL!B434</f>
        <v>Arrowhead Vex Team B</v>
      </c>
      <c r="D272" s="2" t="str">
        <f>[1]ALL!C434</f>
        <v>Arrowhead Park Early College High School</v>
      </c>
      <c r="E272" s="2" t="str">
        <f>[1]ALL!D434</f>
        <v>Las Cruces, New Mexico, United States</v>
      </c>
      <c r="F272" s="8">
        <f>[1]ALL!E434</f>
        <v>87</v>
      </c>
      <c r="G272" s="8">
        <f>[1]ALL!F434</f>
        <v>116</v>
      </c>
      <c r="H272" s="8">
        <f>[1]ALL!G434</f>
        <v>73.817599999999999</v>
      </c>
      <c r="I272" s="11">
        <f>[1]ALL!H434</f>
        <v>73.817599999999999</v>
      </c>
      <c r="J272" s="11">
        <f>[1]ALL!I434</f>
        <v>48.386499999999998</v>
      </c>
      <c r="K272" s="11">
        <f>[1]ALL!J434</f>
        <v>0</v>
      </c>
      <c r="L272" s="11">
        <f>[1]ALL!K434</f>
        <v>0</v>
      </c>
      <c r="M272" s="11">
        <f>[1]ALL!L434</f>
        <v>0</v>
      </c>
      <c r="N272" s="11">
        <f>[1]ALL!M434</f>
        <v>0</v>
      </c>
      <c r="O272" s="11">
        <f>[1]ALL!N434</f>
        <v>0</v>
      </c>
      <c r="P272" s="11">
        <f>[1]ALL!O434</f>
        <v>0</v>
      </c>
      <c r="Q272" s="11">
        <f>[1]ALL!P434</f>
        <v>0</v>
      </c>
      <c r="R272" s="11">
        <f>[1]ALL!Q434</f>
        <v>0</v>
      </c>
      <c r="S272" s="11">
        <f>[1]ALL!R268</f>
        <v>0</v>
      </c>
      <c r="T272" s="9"/>
      <c r="U272" s="9"/>
      <c r="V272" s="10"/>
    </row>
    <row r="273" spans="1:22">
      <c r="A273" s="2">
        <v>129</v>
      </c>
      <c r="B273" s="1" t="str">
        <f>[1]ALL!A130</f>
        <v>1390</v>
      </c>
      <c r="C273" s="2" t="str">
        <f>[1]ALL!B130</f>
        <v>Omicron Theta</v>
      </c>
      <c r="D273" s="2" t="str">
        <f>[1]ALL!C130</f>
        <v>Galactic LTD Robotics</v>
      </c>
      <c r="E273" s="2" t="str">
        <f>[1]ALL!D130</f>
        <v>El Segundo, California, United States</v>
      </c>
      <c r="F273" s="8">
        <f>[1]ALL!E130</f>
        <v>305</v>
      </c>
      <c r="G273" s="8">
        <f>[1]ALL!F130</f>
        <v>115</v>
      </c>
      <c r="H273" s="8">
        <f>[1]ALL!G130</f>
        <v>127.878</v>
      </c>
      <c r="I273" s="11">
        <f>[1]ALL!H130</f>
        <v>127.878</v>
      </c>
      <c r="J273" s="11">
        <f>[1]ALL!I130</f>
        <v>101.205</v>
      </c>
      <c r="K273" s="11">
        <f>[1]ALL!J130</f>
        <v>63.671399999999998</v>
      </c>
      <c r="L273" s="11">
        <f>[1]ALL!K130</f>
        <v>77.600700000000003</v>
      </c>
      <c r="M273" s="11">
        <f>[1]ALL!L130</f>
        <v>69.152199999999993</v>
      </c>
      <c r="N273" s="11">
        <f>[1]ALL!M130</f>
        <v>106.81100000000001</v>
      </c>
      <c r="O273" s="11">
        <f>[1]ALL!N130</f>
        <v>121.56399999999999</v>
      </c>
      <c r="P273" s="11">
        <f>[1]ALL!O130</f>
        <v>67.6995</v>
      </c>
      <c r="Q273" s="11">
        <f>[1]ALL!P130</f>
        <v>59.13</v>
      </c>
      <c r="R273" s="11">
        <f>[1]ALL!Q130</f>
        <v>88.253799999999998</v>
      </c>
      <c r="S273" s="11">
        <f>[1]ALL!R269</f>
        <v>0</v>
      </c>
      <c r="T273" s="9"/>
      <c r="U273" s="9"/>
      <c r="V273" s="10"/>
    </row>
    <row r="274" spans="1:22">
      <c r="A274" s="2">
        <v>461</v>
      </c>
      <c r="B274" s="1" t="str">
        <f>[1]ALL!A462</f>
        <v>9421X</v>
      </c>
      <c r="C274" s="2" t="str">
        <f>[1]ALL!B462</f>
        <v>FHS Robotics X</v>
      </c>
      <c r="D274" s="2" t="str">
        <f>[1]ALL!C462</f>
        <v>Framingham High School</v>
      </c>
      <c r="E274" s="2" t="str">
        <f>[1]ALL!D462</f>
        <v>Framingham, Massachusetts, United States</v>
      </c>
      <c r="F274" s="8">
        <f>[1]ALL!E462</f>
        <v>270</v>
      </c>
      <c r="G274" s="8">
        <f>[1]ALL!F462</f>
        <v>115</v>
      </c>
      <c r="H274" s="8">
        <f>[1]ALL!G462</f>
        <v>70.030100000000004</v>
      </c>
      <c r="I274" s="11">
        <f>[1]ALL!H462</f>
        <v>12.969900000000001</v>
      </c>
      <c r="J274" s="11">
        <f>[1]ALL!I462</f>
        <v>24.338999999999999</v>
      </c>
      <c r="K274" s="11">
        <f>[1]ALL!J462</f>
        <v>70.030100000000004</v>
      </c>
      <c r="L274" s="11">
        <f>[1]ALL!K462</f>
        <v>31.1999</v>
      </c>
      <c r="M274" s="11">
        <f>[1]ALL!L462</f>
        <v>54.4236</v>
      </c>
      <c r="N274" s="11">
        <f>[1]ALL!M462</f>
        <v>33.117600000000003</v>
      </c>
      <c r="O274" s="11">
        <f>[1]ALL!N462</f>
        <v>0</v>
      </c>
      <c r="P274" s="11">
        <f>[1]ALL!O462</f>
        <v>0</v>
      </c>
      <c r="Q274" s="11">
        <f>[1]ALL!P462</f>
        <v>0</v>
      </c>
      <c r="R274" s="11">
        <f>[1]ALL!Q462</f>
        <v>0</v>
      </c>
      <c r="S274" s="11">
        <f>[1]ALL!R270</f>
        <v>0</v>
      </c>
      <c r="T274" s="9"/>
      <c r="U274" s="9"/>
      <c r="V274" s="10"/>
    </row>
    <row r="275" spans="1:22">
      <c r="A275" s="2">
        <v>112</v>
      </c>
      <c r="B275" s="1" t="str">
        <f>[1]ALL!A113</f>
        <v>1114Z</v>
      </c>
      <c r="C275" s="2" t="str">
        <f>[1]ALL!B113</f>
        <v>Simbotics</v>
      </c>
      <c r="D275" s="2" t="str">
        <f>[1]ALL!C113</f>
        <v>Governor Simcoe Secondary School</v>
      </c>
      <c r="E275" s="2" t="str">
        <f>[1]ALL!D113</f>
        <v>St Catharines, Ontario, Canada</v>
      </c>
      <c r="F275" s="8">
        <f>[1]ALL!E113</f>
        <v>224</v>
      </c>
      <c r="G275" s="8">
        <f>[1]ALL!F113</f>
        <v>115</v>
      </c>
      <c r="H275" s="8">
        <f>[1]ALL!G113</f>
        <v>121.893</v>
      </c>
      <c r="I275" s="11">
        <f>[1]ALL!H113</f>
        <v>121.893</v>
      </c>
      <c r="J275" s="11">
        <f>[1]ALL!I113</f>
        <v>94.248199999999997</v>
      </c>
      <c r="K275" s="11">
        <f>[1]ALL!J113</f>
        <v>113.78400000000001</v>
      </c>
      <c r="L275" s="11">
        <f>[1]ALL!K113</f>
        <v>0</v>
      </c>
      <c r="M275" s="11">
        <f>[1]ALL!L113</f>
        <v>0</v>
      </c>
      <c r="N275" s="11">
        <f>[1]ALL!M113</f>
        <v>0</v>
      </c>
      <c r="O275" s="11">
        <f>[1]ALL!N113</f>
        <v>0</v>
      </c>
      <c r="P275" s="11">
        <f>[1]ALL!O113</f>
        <v>0</v>
      </c>
      <c r="Q275" s="11">
        <f>[1]ALL!P113</f>
        <v>0</v>
      </c>
      <c r="R275" s="11">
        <f>[1]ALL!Q113</f>
        <v>0</v>
      </c>
      <c r="S275" s="11">
        <f>[1]ALL!R271</f>
        <v>0</v>
      </c>
      <c r="T275" s="9"/>
      <c r="U275" s="9"/>
      <c r="V275" s="10"/>
    </row>
    <row r="276" spans="1:22">
      <c r="A276" s="2">
        <v>246</v>
      </c>
      <c r="B276" s="1" t="str">
        <f>[1]ALL!A247</f>
        <v>4478C</v>
      </c>
      <c r="C276" s="2" t="str">
        <f>[1]ALL!B247</f>
        <v>VEXED</v>
      </c>
      <c r="D276" s="2" t="str">
        <f>[1]ALL!C247</f>
        <v>Masuk High School Robotics Team</v>
      </c>
      <c r="E276" s="2" t="str">
        <f>[1]ALL!D247</f>
        <v>Monroe, Connecticut, United States</v>
      </c>
      <c r="F276" s="8">
        <f>[1]ALL!E247</f>
        <v>101</v>
      </c>
      <c r="G276" s="8">
        <f>[1]ALL!F247</f>
        <v>115</v>
      </c>
      <c r="H276" s="8">
        <f>[1]ALL!G247</f>
        <v>96.064800000000005</v>
      </c>
      <c r="I276" s="11">
        <f>[1]ALL!H247</f>
        <v>70.293499999999995</v>
      </c>
      <c r="J276" s="11">
        <f>[1]ALL!I247</f>
        <v>50.641100000000002</v>
      </c>
      <c r="K276" s="11">
        <f>[1]ALL!J247</f>
        <v>96.064800000000005</v>
      </c>
      <c r="L276" s="11">
        <f>[1]ALL!K247</f>
        <v>45.6646</v>
      </c>
      <c r="M276" s="11">
        <f>[1]ALL!L247</f>
        <v>70.819100000000006</v>
      </c>
      <c r="N276" s="11">
        <f>[1]ALL!M247</f>
        <v>61.215499999999999</v>
      </c>
      <c r="O276" s="11">
        <f>[1]ALL!N247</f>
        <v>21.430599999999998</v>
      </c>
      <c r="P276" s="11">
        <f>[1]ALL!O247</f>
        <v>0</v>
      </c>
      <c r="Q276" s="11">
        <f>[1]ALL!P247</f>
        <v>0</v>
      </c>
      <c r="R276" s="11">
        <f>[1]ALL!Q247</f>
        <v>0</v>
      </c>
      <c r="S276" s="11">
        <f>[1]ALL!R272</f>
        <v>0</v>
      </c>
      <c r="T276" s="9"/>
      <c r="U276" s="9"/>
      <c r="V276" s="10"/>
    </row>
    <row r="277" spans="1:22">
      <c r="A277" s="2">
        <v>70</v>
      </c>
      <c r="B277" s="1" t="str">
        <f>[1]ALL!A71</f>
        <v>585A</v>
      </c>
      <c r="C277" s="2" t="str">
        <f>[1]ALL!B71</f>
        <v>Central Robo Dawgs</v>
      </c>
      <c r="D277" s="2" t="str">
        <f>[1]ALL!C71</f>
        <v>Forsyth Central High School</v>
      </c>
      <c r="E277" s="2" t="str">
        <f>[1]ALL!D71</f>
        <v>Cumming, Georgia, United States</v>
      </c>
      <c r="F277" s="8">
        <f>[1]ALL!E71</f>
        <v>233</v>
      </c>
      <c r="G277" s="8">
        <f>[1]ALL!F71</f>
        <v>112</v>
      </c>
      <c r="H277" s="8">
        <f>[1]ALL!G71</f>
        <v>128.53399999999999</v>
      </c>
      <c r="I277" s="11">
        <f>[1]ALL!H71</f>
        <v>79.373000000000005</v>
      </c>
      <c r="J277" s="11">
        <f>[1]ALL!I71</f>
        <v>73.420100000000005</v>
      </c>
      <c r="K277" s="11">
        <f>[1]ALL!J71</f>
        <v>112.77</v>
      </c>
      <c r="L277" s="11">
        <f>[1]ALL!K71</f>
        <v>19.854900000000001</v>
      </c>
      <c r="M277" s="11">
        <f>[1]ALL!L71</f>
        <v>128.53399999999999</v>
      </c>
      <c r="N277" s="11">
        <f>[1]ALL!M71</f>
        <v>48.115600000000001</v>
      </c>
      <c r="O277" s="11">
        <f>[1]ALL!N71</f>
        <v>0</v>
      </c>
      <c r="P277" s="11">
        <f>[1]ALL!O71</f>
        <v>0</v>
      </c>
      <c r="Q277" s="11">
        <f>[1]ALL!P71</f>
        <v>0</v>
      </c>
      <c r="R277" s="11">
        <f>[1]ALL!Q71</f>
        <v>0</v>
      </c>
      <c r="S277" s="11">
        <f>[1]ALL!R273</f>
        <v>0</v>
      </c>
      <c r="T277" s="9"/>
      <c r="U277" s="9"/>
      <c r="V277" s="10"/>
    </row>
    <row r="278" spans="1:22">
      <c r="A278" s="2">
        <v>136</v>
      </c>
      <c r="B278" s="1" t="str">
        <f>[1]ALL!A137</f>
        <v>1492X</v>
      </c>
      <c r="C278" s="2" t="str">
        <f>[1]ALL!B137</f>
        <v>W.A.S.A.B.I.</v>
      </c>
      <c r="D278" s="2" t="str">
        <f>[1]ALL!C137</f>
        <v>Big Brains Education</v>
      </c>
      <c r="E278" s="2" t="str">
        <f>[1]ALL!D137</f>
        <v>Bellevue, Washington, United States</v>
      </c>
      <c r="F278" s="8">
        <f>[1]ALL!E137</f>
        <v>274</v>
      </c>
      <c r="G278" s="8">
        <f>[1]ALL!F137</f>
        <v>111</v>
      </c>
      <c r="H278" s="8">
        <f>[1]ALL!G137</f>
        <v>81.234700000000004</v>
      </c>
      <c r="I278" s="11">
        <f>[1]ALL!H137</f>
        <v>35.572200000000002</v>
      </c>
      <c r="J278" s="11">
        <f>[1]ALL!I137</f>
        <v>81.234700000000004</v>
      </c>
      <c r="K278" s="11">
        <f>[1]ALL!J137</f>
        <v>62.0122</v>
      </c>
      <c r="L278" s="11">
        <f>[1]ALL!K137</f>
        <v>55.885599999999997</v>
      </c>
      <c r="M278" s="11">
        <f>[1]ALL!L137</f>
        <v>19.780799999999999</v>
      </c>
      <c r="N278" s="11">
        <f>[1]ALL!M137</f>
        <v>35.318399999999997</v>
      </c>
      <c r="O278" s="11">
        <f>[1]ALL!N137</f>
        <v>15.5799</v>
      </c>
      <c r="P278" s="11">
        <f>[1]ALL!O137</f>
        <v>0</v>
      </c>
      <c r="Q278" s="11">
        <f>[1]ALL!P137</f>
        <v>0</v>
      </c>
      <c r="R278" s="11">
        <f>[1]ALL!Q137</f>
        <v>0</v>
      </c>
      <c r="S278" s="11">
        <f>[1]ALL!R274</f>
        <v>0</v>
      </c>
      <c r="T278" s="9"/>
      <c r="U278" s="9"/>
      <c r="V278" s="10"/>
    </row>
    <row r="279" spans="1:22">
      <c r="A279" s="2">
        <v>308</v>
      </c>
      <c r="B279" s="1" t="str">
        <f>[1]ALL!A309</f>
        <v>5813B</v>
      </c>
      <c r="C279" s="2" t="str">
        <f>[1]ALL!B309</f>
        <v>Black Squirrels</v>
      </c>
      <c r="D279" s="2" t="str">
        <f>[1]ALL!C309</f>
        <v>Abraham Lincoln High School</v>
      </c>
      <c r="E279" s="2" t="str">
        <f>[1]ALL!D309</f>
        <v>Council Bluffs, Iowa, United States</v>
      </c>
      <c r="F279" s="8">
        <f>[1]ALL!E309</f>
        <v>136</v>
      </c>
      <c r="G279" s="8">
        <f>[1]ALL!F309</f>
        <v>111</v>
      </c>
      <c r="H279" s="8">
        <f>[1]ALL!G309</f>
        <v>154.46799999999999</v>
      </c>
      <c r="I279" s="11">
        <f>[1]ALL!H309</f>
        <v>139.91300000000001</v>
      </c>
      <c r="J279" s="11">
        <f>[1]ALL!I309</f>
        <v>131.91300000000001</v>
      </c>
      <c r="K279" s="11">
        <f>[1]ALL!J309</f>
        <v>154.46799999999999</v>
      </c>
      <c r="L279" s="11">
        <f>[1]ALL!K309</f>
        <v>105.45</v>
      </c>
      <c r="M279" s="11">
        <f>[1]ALL!L309</f>
        <v>114.07299999999999</v>
      </c>
      <c r="N279" s="11">
        <f>[1]ALL!M309</f>
        <v>77.180700000000002</v>
      </c>
      <c r="O279" s="11">
        <f>[1]ALL!N309</f>
        <v>79.323999999999998</v>
      </c>
      <c r="P279" s="11">
        <f>[1]ALL!O309</f>
        <v>61.818800000000003</v>
      </c>
      <c r="Q279" s="11">
        <f>[1]ALL!P309</f>
        <v>0</v>
      </c>
      <c r="R279" s="11">
        <f>[1]ALL!Q309</f>
        <v>0</v>
      </c>
      <c r="S279" s="11">
        <f>[1]ALL!R275</f>
        <v>0</v>
      </c>
      <c r="T279" s="9"/>
      <c r="U279" s="9"/>
      <c r="V279" s="10"/>
    </row>
    <row r="280" spans="1:22">
      <c r="A280" s="2">
        <v>164</v>
      </c>
      <c r="B280" s="1" t="str">
        <f>[1]ALL!A165</f>
        <v>2114Z</v>
      </c>
      <c r="C280" s="2" t="str">
        <f>[1]ALL!B165</f>
        <v>Team da Vinci</v>
      </c>
      <c r="D280" s="2" t="str">
        <f>[1]ALL!C165</f>
        <v>Team Automata</v>
      </c>
      <c r="E280" s="2" t="str">
        <f>[1]ALL!D165</f>
        <v>Cave Creek, Arizona, United States</v>
      </c>
      <c r="F280" s="8">
        <f>[1]ALL!E165</f>
        <v>250</v>
      </c>
      <c r="G280" s="8">
        <f>[1]ALL!F165</f>
        <v>110</v>
      </c>
      <c r="H280" s="8">
        <f>[1]ALL!G165</f>
        <v>148.51599999999999</v>
      </c>
      <c r="I280" s="11">
        <f>[1]ALL!H165</f>
        <v>125.492</v>
      </c>
      <c r="J280" s="11">
        <f>[1]ALL!I165</f>
        <v>148.51599999999999</v>
      </c>
      <c r="K280" s="11">
        <f>[1]ALL!J165</f>
        <v>115.193</v>
      </c>
      <c r="L280" s="11">
        <f>[1]ALL!K165</f>
        <v>106.919</v>
      </c>
      <c r="M280" s="11">
        <f>[1]ALL!L165</f>
        <v>90.864900000000006</v>
      </c>
      <c r="N280" s="11">
        <f>[1]ALL!M165</f>
        <v>104.247</v>
      </c>
      <c r="O280" s="11">
        <f>[1]ALL!N165</f>
        <v>70.833200000000005</v>
      </c>
      <c r="P280" s="11">
        <f>[1]ALL!O165</f>
        <v>0</v>
      </c>
      <c r="Q280" s="11">
        <f>[1]ALL!P165</f>
        <v>0</v>
      </c>
      <c r="R280" s="11">
        <f>[1]ALL!Q165</f>
        <v>0</v>
      </c>
      <c r="S280" s="11">
        <f>[1]ALL!R276</f>
        <v>0</v>
      </c>
      <c r="T280" s="9"/>
      <c r="U280" s="9"/>
      <c r="V280" s="10"/>
    </row>
    <row r="281" spans="1:22">
      <c r="A281" s="2">
        <v>447</v>
      </c>
      <c r="B281" s="1" t="str">
        <f>[1]ALL!A448</f>
        <v>9064A</v>
      </c>
      <c r="C281" s="2" t="str">
        <f>[1]ALL!B448</f>
        <v>Web Slingers</v>
      </c>
      <c r="D281" s="2" t="str">
        <f>[1]ALL!C448</f>
        <v>J.M. Morehead High School</v>
      </c>
      <c r="E281" s="2" t="str">
        <f>[1]ALL!D448</f>
        <v>Eden, North Carolina, United States</v>
      </c>
      <c r="F281" s="8">
        <f>[1]ALL!E448</f>
        <v>113</v>
      </c>
      <c r="G281" s="8">
        <f>[1]ALL!F448</f>
        <v>110</v>
      </c>
      <c r="H281" s="8">
        <f>[1]ALL!G448</f>
        <v>85.036000000000001</v>
      </c>
      <c r="I281" s="11">
        <f>[1]ALL!H448</f>
        <v>85.036000000000001</v>
      </c>
      <c r="J281" s="11">
        <f>[1]ALL!I448</f>
        <v>18.703299999999999</v>
      </c>
      <c r="K281" s="11">
        <f>[1]ALL!J448</f>
        <v>3.9861399999999998E-2</v>
      </c>
      <c r="L281" s="11">
        <f>[1]ALL!K448</f>
        <v>0</v>
      </c>
      <c r="M281" s="11">
        <f>[1]ALL!L448</f>
        <v>0</v>
      </c>
      <c r="N281" s="11">
        <f>[1]ALL!M448</f>
        <v>0</v>
      </c>
      <c r="O281" s="11">
        <f>[1]ALL!N448</f>
        <v>0</v>
      </c>
      <c r="P281" s="11">
        <f>[1]ALL!O448</f>
        <v>0</v>
      </c>
      <c r="Q281" s="11">
        <f>[1]ALL!P448</f>
        <v>0</v>
      </c>
      <c r="R281" s="11">
        <f>[1]ALL!Q448</f>
        <v>0</v>
      </c>
      <c r="S281" s="11">
        <f>[1]ALL!R277</f>
        <v>0</v>
      </c>
      <c r="T281" s="9"/>
      <c r="U281" s="9"/>
      <c r="V281" s="10"/>
    </row>
    <row r="282" spans="1:22">
      <c r="A282" s="2">
        <v>57</v>
      </c>
      <c r="B282" s="1" t="str">
        <f>[1]ALL!A58</f>
        <v>359A</v>
      </c>
      <c r="C282" s="2" t="str">
        <f>[1]ALL!B58</f>
        <v>Hawaiian Kids</v>
      </c>
      <c r="D282" s="2" t="str">
        <f>[1]ALL!C58</f>
        <v>Waialua High * Intermediate School</v>
      </c>
      <c r="E282" s="2" t="str">
        <f>[1]ALL!D58</f>
        <v>Waialua, Hawaii, United States</v>
      </c>
      <c r="F282" s="8">
        <f>[1]ALL!E58</f>
        <v>248</v>
      </c>
      <c r="G282" s="8">
        <f>[1]ALL!F58</f>
        <v>109</v>
      </c>
      <c r="H282" s="8">
        <f>[1]ALL!G58</f>
        <v>117.15300000000001</v>
      </c>
      <c r="I282" s="11">
        <f>[1]ALL!H58</f>
        <v>86.387200000000007</v>
      </c>
      <c r="J282" s="11">
        <f>[1]ALL!I58</f>
        <v>117.15300000000001</v>
      </c>
      <c r="K282" s="11">
        <f>[1]ALL!J58</f>
        <v>114.411</v>
      </c>
      <c r="L282" s="11">
        <f>[1]ALL!K58</f>
        <v>103.30800000000001</v>
      </c>
      <c r="M282" s="11">
        <f>[1]ALL!L58</f>
        <v>0</v>
      </c>
      <c r="N282" s="11">
        <f>[1]ALL!M58</f>
        <v>0</v>
      </c>
      <c r="O282" s="11">
        <f>[1]ALL!N58</f>
        <v>0</v>
      </c>
      <c r="P282" s="11">
        <f>[1]ALL!O58</f>
        <v>0</v>
      </c>
      <c r="Q282" s="11">
        <f>[1]ALL!P58</f>
        <v>0</v>
      </c>
      <c r="R282" s="11">
        <f>[1]ALL!Q58</f>
        <v>0</v>
      </c>
      <c r="S282" s="11">
        <f>[1]ALL!R278</f>
        <v>0</v>
      </c>
      <c r="T282" s="9"/>
      <c r="U282" s="9"/>
      <c r="V282" s="10"/>
    </row>
    <row r="283" spans="1:22">
      <c r="A283" s="2">
        <v>173</v>
      </c>
      <c r="B283" s="1" t="str">
        <f>[1]ALL!A174</f>
        <v>2335</v>
      </c>
      <c r="C283" s="2" t="str">
        <f>[1]ALL!B174</f>
        <v>Redhead Robotics</v>
      </c>
      <c r="D283" s="2" t="str">
        <f>[1]ALL!C174</f>
        <v>Clear Creek ISD</v>
      </c>
      <c r="E283" s="2" t="str">
        <f>[1]ALL!D174</f>
        <v>League City, Texas, United States</v>
      </c>
      <c r="F283" s="8">
        <f>[1]ALL!E174</f>
        <v>272</v>
      </c>
      <c r="G283" s="8">
        <f>[1]ALL!F174</f>
        <v>108</v>
      </c>
      <c r="H283" s="8">
        <f>[1]ALL!G174</f>
        <v>118.932</v>
      </c>
      <c r="I283" s="11">
        <f>[1]ALL!H174</f>
        <v>82.659899999999993</v>
      </c>
      <c r="J283" s="11">
        <f>[1]ALL!I174</f>
        <v>118.932</v>
      </c>
      <c r="K283" s="11">
        <f>[1]ALL!J174</f>
        <v>94.398600000000002</v>
      </c>
      <c r="L283" s="11">
        <f>[1]ALL!K174</f>
        <v>88.313000000000002</v>
      </c>
      <c r="M283" s="11">
        <f>[1]ALL!L174</f>
        <v>0</v>
      </c>
      <c r="N283" s="11">
        <f>[1]ALL!M174</f>
        <v>0</v>
      </c>
      <c r="O283" s="11">
        <f>[1]ALL!N174</f>
        <v>0</v>
      </c>
      <c r="P283" s="11">
        <f>[1]ALL!O174</f>
        <v>0</v>
      </c>
      <c r="Q283" s="11">
        <f>[1]ALL!P174</f>
        <v>0</v>
      </c>
      <c r="R283" s="11">
        <f>[1]ALL!Q174</f>
        <v>0</v>
      </c>
      <c r="S283" s="11">
        <f>[1]ALL!R279</f>
        <v>0</v>
      </c>
      <c r="T283" s="9"/>
      <c r="U283" s="9"/>
      <c r="V283" s="10"/>
    </row>
    <row r="284" spans="1:22">
      <c r="A284" s="2">
        <v>317</v>
      </c>
      <c r="B284" s="1" t="str">
        <f>[1]ALL!A318</f>
        <v>6024B</v>
      </c>
      <c r="C284" s="2" t="str">
        <f>[1]ALL!B318</f>
        <v>Bruhsiden</v>
      </c>
      <c r="D284" s="2" t="str">
        <f>[1]ALL!C318</f>
        <v>Fosston High School</v>
      </c>
      <c r="E284" s="2" t="str">
        <f>[1]ALL!D318</f>
        <v>Fosston, Minnesota, United States</v>
      </c>
      <c r="F284" s="8">
        <f>[1]ALL!E318</f>
        <v>137</v>
      </c>
      <c r="G284" s="8">
        <f>[1]ALL!F318</f>
        <v>108</v>
      </c>
      <c r="H284" s="8">
        <f>[1]ALL!G318</f>
        <v>59.362900000000003</v>
      </c>
      <c r="I284" s="11">
        <f>[1]ALL!H318</f>
        <v>59.362900000000003</v>
      </c>
      <c r="J284" s="11">
        <f>[1]ALL!I318</f>
        <v>23.5596</v>
      </c>
      <c r="K284" s="11">
        <f>[1]ALL!J318</f>
        <v>19.370899999999999</v>
      </c>
      <c r="L284" s="11">
        <f>[1]ALL!K318</f>
        <v>9.3122900000000008</v>
      </c>
      <c r="M284" s="11">
        <f>[1]ALL!L318</f>
        <v>0</v>
      </c>
      <c r="N284" s="11">
        <f>[1]ALL!M318</f>
        <v>0</v>
      </c>
      <c r="O284" s="11">
        <f>[1]ALL!N318</f>
        <v>0</v>
      </c>
      <c r="P284" s="11">
        <f>[1]ALL!O318</f>
        <v>0</v>
      </c>
      <c r="Q284" s="11">
        <f>[1]ALL!P318</f>
        <v>0</v>
      </c>
      <c r="R284" s="11">
        <f>[1]ALL!Q318</f>
        <v>0</v>
      </c>
      <c r="S284" s="11">
        <f>[1]ALL!R280</f>
        <v>0</v>
      </c>
      <c r="T284" s="9"/>
      <c r="U284" s="9"/>
      <c r="V284" s="10"/>
    </row>
    <row r="285" spans="1:22">
      <c r="A285" s="2">
        <v>480</v>
      </c>
      <c r="B285" s="1" t="str">
        <f>[1]ALL!A481</f>
        <v>9964S</v>
      </c>
      <c r="C285" s="2" t="str">
        <f>[1]ALL!B481</f>
        <v>Bender</v>
      </c>
      <c r="D285" s="2" t="str">
        <f>[1]ALL!C481</f>
        <v>Stone Bridge High School</v>
      </c>
      <c r="E285" s="2" t="str">
        <f>[1]ALL!D481</f>
        <v>Ashburn, Virginia, United States</v>
      </c>
      <c r="F285" s="8">
        <f>[1]ALL!E481</f>
        <v>133</v>
      </c>
      <c r="G285" s="8">
        <f>[1]ALL!F481</f>
        <v>107</v>
      </c>
      <c r="H285" s="8">
        <f>[1]ALL!G481</f>
        <v>86.028599999999997</v>
      </c>
      <c r="I285" s="11">
        <f>[1]ALL!H481</f>
        <v>86.028599999999997</v>
      </c>
      <c r="J285" s="11">
        <f>[1]ALL!I481</f>
        <v>34.927</v>
      </c>
      <c r="K285" s="11">
        <f>[1]ALL!J481</f>
        <v>14.9811</v>
      </c>
      <c r="L285" s="11">
        <f>[1]ALL!K481</f>
        <v>0</v>
      </c>
      <c r="M285" s="11">
        <f>[1]ALL!L481</f>
        <v>0</v>
      </c>
      <c r="N285" s="11">
        <f>[1]ALL!M481</f>
        <v>0</v>
      </c>
      <c r="O285" s="11">
        <f>[1]ALL!N481</f>
        <v>0</v>
      </c>
      <c r="P285" s="11">
        <f>[1]ALL!O481</f>
        <v>0</v>
      </c>
      <c r="Q285" s="11">
        <f>[1]ALL!P481</f>
        <v>0</v>
      </c>
      <c r="R285" s="11">
        <f>[1]ALL!Q481</f>
        <v>0</v>
      </c>
      <c r="S285" s="11">
        <f>[1]ALL!R281</f>
        <v>0</v>
      </c>
      <c r="T285" s="9"/>
      <c r="U285" s="9"/>
      <c r="V285" s="10"/>
    </row>
    <row r="286" spans="1:22">
      <c r="A286" s="2">
        <v>62</v>
      </c>
      <c r="B286" s="1" t="str">
        <f>[1]ALL!A63</f>
        <v>400X</v>
      </c>
      <c r="C286" s="2" t="str">
        <f>[1]ALL!B63</f>
        <v>Floyd IV - Vesuvius</v>
      </c>
      <c r="D286" s="2" t="str">
        <f>[1]ALL!C63</f>
        <v>Galveston I.S.D. Robotics</v>
      </c>
      <c r="E286" s="2" t="str">
        <f>[1]ALL!D63</f>
        <v>Galveston, Texas, United States</v>
      </c>
      <c r="F286" s="8">
        <f>[1]ALL!E63</f>
        <v>418</v>
      </c>
      <c r="G286" s="8">
        <f>[1]ALL!F63</f>
        <v>106</v>
      </c>
      <c r="H286" s="8">
        <f>[1]ALL!G63</f>
        <v>187.78299999999999</v>
      </c>
      <c r="I286" s="11">
        <f>[1]ALL!H63</f>
        <v>174.571</v>
      </c>
      <c r="J286" s="11">
        <f>[1]ALL!I63</f>
        <v>170.553</v>
      </c>
      <c r="K286" s="11">
        <f>[1]ALL!J63</f>
        <v>187.78299999999999</v>
      </c>
      <c r="L286" s="11">
        <f>[1]ALL!K63</f>
        <v>172.44200000000001</v>
      </c>
      <c r="M286" s="11">
        <f>[1]ALL!L63</f>
        <v>156.32</v>
      </c>
      <c r="N286" s="11">
        <f>[1]ALL!M63</f>
        <v>127.54600000000001</v>
      </c>
      <c r="O286" s="11">
        <f>[1]ALL!N63</f>
        <v>139.81</v>
      </c>
      <c r="P286" s="11">
        <f>[1]ALL!O63</f>
        <v>107.895</v>
      </c>
      <c r="Q286" s="11">
        <f>[1]ALL!P63</f>
        <v>0</v>
      </c>
      <c r="R286" s="11">
        <f>[1]ALL!Q63</f>
        <v>0</v>
      </c>
      <c r="S286" s="11">
        <f>[1]ALL!R282</f>
        <v>0</v>
      </c>
      <c r="T286" s="9"/>
      <c r="U286" s="9"/>
      <c r="V286" s="10"/>
    </row>
    <row r="287" spans="1:22">
      <c r="A287" s="2">
        <v>22</v>
      </c>
      <c r="B287" s="1" t="str">
        <f>[1]ALL!A23</f>
        <v>78</v>
      </c>
      <c r="C287" s="2" t="str">
        <f>[1]ALL!B23</f>
        <v>AIR Strike</v>
      </c>
      <c r="D287" s="2" t="str">
        <f>[1]ALL!C23</f>
        <v>Aquidneck Island Robotics 4-H Club</v>
      </c>
      <c r="E287" s="2" t="str">
        <f>[1]ALL!D23</f>
        <v>Middletown, Rhode Island, United States</v>
      </c>
      <c r="F287" s="8">
        <f>[1]ALL!E23</f>
        <v>209</v>
      </c>
      <c r="G287" s="8">
        <f>[1]ALL!F23</f>
        <v>105</v>
      </c>
      <c r="H287" s="8">
        <f>[1]ALL!G23</f>
        <v>139.774</v>
      </c>
      <c r="I287" s="11">
        <f>[1]ALL!H23</f>
        <v>139.774</v>
      </c>
      <c r="J287" s="11">
        <f>[1]ALL!I23</f>
        <v>101.133</v>
      </c>
      <c r="K287" s="11">
        <f>[1]ALL!J23</f>
        <v>70.418599999999998</v>
      </c>
      <c r="L287" s="11">
        <f>[1]ALL!K23</f>
        <v>68.198099999999997</v>
      </c>
      <c r="M287" s="11">
        <f>[1]ALL!L23</f>
        <v>66.542900000000003</v>
      </c>
      <c r="N287" s="11">
        <f>[1]ALL!M23</f>
        <v>59.273899999999998</v>
      </c>
      <c r="O287" s="11">
        <f>[1]ALL!N23</f>
        <v>38.919699999999999</v>
      </c>
      <c r="P287" s="11">
        <f>[1]ALL!O23</f>
        <v>0</v>
      </c>
      <c r="Q287" s="11">
        <f>[1]ALL!P23</f>
        <v>0</v>
      </c>
      <c r="R287" s="11">
        <f>[1]ALL!Q23</f>
        <v>0</v>
      </c>
      <c r="S287" s="11">
        <f>[1]ALL!R283</f>
        <v>0</v>
      </c>
      <c r="T287" s="9"/>
      <c r="U287" s="9"/>
      <c r="V287" s="10"/>
    </row>
    <row r="288" spans="1:22">
      <c r="A288" s="2">
        <v>362</v>
      </c>
      <c r="B288" s="1" t="str">
        <f>[1]ALL!A363</f>
        <v>7192</v>
      </c>
      <c r="C288" s="2" t="str">
        <f>[1]ALL!B363</f>
        <v>Windom Eagles A Team</v>
      </c>
      <c r="D288" s="2" t="str">
        <f>[1]ALL!C363</f>
        <v>Windom MS &amp; HS</v>
      </c>
      <c r="E288" s="2" t="str">
        <f>[1]ALL!D363</f>
        <v>Windom, Minnesota, United States</v>
      </c>
      <c r="F288" s="8">
        <f>[1]ALL!E363</f>
        <v>182</v>
      </c>
      <c r="G288" s="8">
        <f>[1]ALL!F363</f>
        <v>105</v>
      </c>
      <c r="H288" s="8">
        <f>[1]ALL!G363</f>
        <v>93.274799999999999</v>
      </c>
      <c r="I288" s="11">
        <f>[1]ALL!H363</f>
        <v>93.274799999999999</v>
      </c>
      <c r="J288" s="11">
        <f>[1]ALL!I363</f>
        <v>50.068300000000001</v>
      </c>
      <c r="K288" s="11">
        <f>[1]ALL!J363</f>
        <v>43.6616</v>
      </c>
      <c r="L288" s="11">
        <f>[1]ALL!K363</f>
        <v>60.573099999999997</v>
      </c>
      <c r="M288" s="11">
        <f>[1]ALL!L363</f>
        <v>49.757399999999997</v>
      </c>
      <c r="N288" s="11">
        <f>[1]ALL!M363</f>
        <v>4.8033700000000001</v>
      </c>
      <c r="O288" s="11">
        <f>[1]ALL!N363</f>
        <v>44.098700000000001</v>
      </c>
      <c r="P288" s="11">
        <f>[1]ALL!O363</f>
        <v>0</v>
      </c>
      <c r="Q288" s="11">
        <f>[1]ALL!P363</f>
        <v>0</v>
      </c>
      <c r="R288" s="11">
        <f>[1]ALL!Q363</f>
        <v>0</v>
      </c>
      <c r="S288" s="11">
        <f>[1]ALL!R284</f>
        <v>0</v>
      </c>
      <c r="T288" s="9"/>
      <c r="U288" s="9"/>
      <c r="V288" s="10"/>
    </row>
    <row r="289" spans="1:22">
      <c r="A289" s="2">
        <v>334</v>
      </c>
      <c r="B289" s="1" t="str">
        <f>[1]ALL!A335</f>
        <v>6323C</v>
      </c>
      <c r="C289" s="2" t="str">
        <f>[1]ALL!B335</f>
        <v>Tyrannosaurus Vex</v>
      </c>
      <c r="D289" s="2" t="str">
        <f>[1]ALL!C335</f>
        <v>Desert Vista High School</v>
      </c>
      <c r="E289" s="2" t="str">
        <f>[1]ALL!D335</f>
        <v>phoenix, Arizona, United States</v>
      </c>
      <c r="F289" s="8">
        <f>[1]ALL!E335</f>
        <v>94</v>
      </c>
      <c r="G289" s="8">
        <f>[1]ALL!F335</f>
        <v>105</v>
      </c>
      <c r="H289" s="8">
        <f>[1]ALL!G335</f>
        <v>77.083399999999997</v>
      </c>
      <c r="I289" s="11">
        <f>[1]ALL!H335</f>
        <v>64.446799999999996</v>
      </c>
      <c r="J289" s="11">
        <f>[1]ALL!I335</f>
        <v>77.083399999999997</v>
      </c>
      <c r="K289" s="11">
        <f>[1]ALL!J335</f>
        <v>15.475</v>
      </c>
      <c r="L289" s="11">
        <f>[1]ALL!K335</f>
        <v>1.5767500000000001</v>
      </c>
      <c r="M289" s="11">
        <f>[1]ALL!L335</f>
        <v>0</v>
      </c>
      <c r="N289" s="11">
        <f>[1]ALL!M335</f>
        <v>0</v>
      </c>
      <c r="O289" s="11">
        <f>[1]ALL!N335</f>
        <v>0</v>
      </c>
      <c r="P289" s="11">
        <f>[1]ALL!O335</f>
        <v>0</v>
      </c>
      <c r="Q289" s="11">
        <f>[1]ALL!P335</f>
        <v>0</v>
      </c>
      <c r="R289" s="11">
        <f>[1]ALL!Q335</f>
        <v>0</v>
      </c>
      <c r="S289" s="11">
        <f>[1]ALL!R285</f>
        <v>0</v>
      </c>
      <c r="T289" s="9"/>
      <c r="U289" s="9"/>
      <c r="V289" s="10"/>
    </row>
    <row r="290" spans="1:22">
      <c r="A290" s="2">
        <v>58</v>
      </c>
      <c r="B290" s="1" t="str">
        <f>[1]ALL!A59</f>
        <v>360</v>
      </c>
      <c r="C290" s="2" t="str">
        <f>[1]ALL!B59</f>
        <v>Enderphase - ★</v>
      </c>
      <c r="D290" s="2" t="str">
        <f>[1]ALL!C59</f>
        <v>Evan's Garage</v>
      </c>
      <c r="E290" s="2" t="str">
        <f>[1]ALL!D59</f>
        <v>Rowlett, Texas, United States</v>
      </c>
      <c r="F290" s="8">
        <f>[1]ALL!E59</f>
        <v>397</v>
      </c>
      <c r="G290" s="8">
        <f>[1]ALL!F59</f>
        <v>100</v>
      </c>
      <c r="H290" s="8">
        <f>[1]ALL!G59</f>
        <v>203.97499999999999</v>
      </c>
      <c r="I290" s="11">
        <f>[1]ALL!H59</f>
        <v>144.75200000000001</v>
      </c>
      <c r="J290" s="11">
        <f>[1]ALL!I59</f>
        <v>203.97499999999999</v>
      </c>
      <c r="K290" s="11">
        <f>[1]ALL!J59</f>
        <v>162.16999999999999</v>
      </c>
      <c r="L290" s="11">
        <f>[1]ALL!K59</f>
        <v>120.804</v>
      </c>
      <c r="M290" s="11">
        <f>[1]ALL!L59</f>
        <v>119.206</v>
      </c>
      <c r="N290" s="11">
        <f>[1]ALL!M59</f>
        <v>0</v>
      </c>
      <c r="O290" s="11">
        <f>[1]ALL!N59</f>
        <v>0</v>
      </c>
      <c r="P290" s="11">
        <f>[1]ALL!O59</f>
        <v>0</v>
      </c>
      <c r="Q290" s="11">
        <f>[1]ALL!P59</f>
        <v>0</v>
      </c>
      <c r="R290" s="11">
        <f>[1]ALL!Q59</f>
        <v>0</v>
      </c>
      <c r="S290" s="11">
        <f>[1]ALL!R286</f>
        <v>0</v>
      </c>
      <c r="T290" s="9"/>
      <c r="U290" s="9"/>
      <c r="V290" s="10"/>
    </row>
    <row r="291" spans="1:22">
      <c r="A291" s="2">
        <v>485</v>
      </c>
      <c r="B291" s="1" t="str">
        <f>[1]ALL!A486</f>
        <v>96965</v>
      </c>
      <c r="C291" s="2" t="str">
        <f>[1]ALL!B486</f>
        <v>ftcExchangeStudents</v>
      </c>
      <c r="D291" s="2" t="str">
        <f>[1]ALL!C486</f>
        <v>Westwood Robotics Alliance</v>
      </c>
      <c r="E291" s="2" t="str">
        <f>[1]ALL!D486</f>
        <v>Morgantown, West Virginia, United States</v>
      </c>
      <c r="F291" s="8">
        <f>[1]ALL!E486</f>
        <v>161</v>
      </c>
      <c r="G291" s="8">
        <f>[1]ALL!F486</f>
        <v>98</v>
      </c>
      <c r="H291" s="8">
        <f>[1]ALL!G486</f>
        <v>134.429</v>
      </c>
      <c r="I291" s="11">
        <f>[1]ALL!H486</f>
        <v>134.429</v>
      </c>
      <c r="J291" s="11">
        <f>[1]ALL!I486</f>
        <v>128.02500000000001</v>
      </c>
      <c r="K291" s="11">
        <f>[1]ALL!J486</f>
        <v>58.464500000000001</v>
      </c>
      <c r="L291" s="11">
        <f>[1]ALL!K486</f>
        <v>40.572899999999997</v>
      </c>
      <c r="M291" s="11">
        <f>[1]ALL!L486</f>
        <v>0</v>
      </c>
      <c r="N291" s="11">
        <f>[1]ALL!M486</f>
        <v>0</v>
      </c>
      <c r="O291" s="11">
        <f>[1]ALL!N486</f>
        <v>0</v>
      </c>
      <c r="P291" s="11">
        <f>[1]ALL!O486</f>
        <v>0</v>
      </c>
      <c r="Q291" s="11">
        <f>[1]ALL!P486</f>
        <v>0</v>
      </c>
      <c r="R291" s="11">
        <f>[1]ALL!Q486</f>
        <v>0</v>
      </c>
      <c r="S291" s="11">
        <f>[1]ALL!R287</f>
        <v>0</v>
      </c>
      <c r="T291" s="9"/>
      <c r="U291" s="9"/>
      <c r="V291" s="10"/>
    </row>
    <row r="292" spans="1:22">
      <c r="A292" s="2">
        <v>316</v>
      </c>
      <c r="B292" s="1" t="str">
        <f>[1]ALL!A317</f>
        <v>6023S</v>
      </c>
      <c r="C292" s="2" t="str">
        <f>[1]ALL!B317</f>
        <v>StoweBots</v>
      </c>
      <c r="D292" s="2" t="str">
        <f>[1]ALL!C317</f>
        <v>Stowe School</v>
      </c>
      <c r="E292" s="2" t="str">
        <f>[1]ALL!D317</f>
        <v>Buckingham, , United Kingdom</v>
      </c>
      <c r="F292" s="8">
        <f>[1]ALL!E317</f>
        <v>203</v>
      </c>
      <c r="G292" s="8">
        <f>[1]ALL!F317</f>
        <v>97</v>
      </c>
      <c r="H292" s="8">
        <f>[1]ALL!G317</f>
        <v>113.30800000000001</v>
      </c>
      <c r="I292" s="11">
        <f>[1]ALL!H317</f>
        <v>113.30800000000001</v>
      </c>
      <c r="J292" s="11">
        <f>[1]ALL!I317</f>
        <v>60.097299999999997</v>
      </c>
      <c r="K292" s="11">
        <f>[1]ALL!J317</f>
        <v>48.5032</v>
      </c>
      <c r="L292" s="11">
        <f>[1]ALL!K317</f>
        <v>42.984000000000002</v>
      </c>
      <c r="M292" s="11">
        <f>[1]ALL!L317</f>
        <v>0</v>
      </c>
      <c r="N292" s="11">
        <f>[1]ALL!M317</f>
        <v>0</v>
      </c>
      <c r="O292" s="11">
        <f>[1]ALL!N317</f>
        <v>0</v>
      </c>
      <c r="P292" s="11">
        <f>[1]ALL!O317</f>
        <v>0</v>
      </c>
      <c r="Q292" s="11">
        <f>[1]ALL!P317</f>
        <v>0</v>
      </c>
      <c r="R292" s="11">
        <f>[1]ALL!Q317</f>
        <v>0</v>
      </c>
      <c r="S292" s="11">
        <f>[1]ALL!R288</f>
        <v>0</v>
      </c>
      <c r="T292" s="9"/>
      <c r="U292" s="9"/>
      <c r="V292" s="10"/>
    </row>
    <row r="293" spans="1:22">
      <c r="A293" s="2">
        <v>361</v>
      </c>
      <c r="B293" s="1" t="str">
        <f>[1]ALL!A362</f>
        <v>7121</v>
      </c>
      <c r="C293" s="2" t="str">
        <f>[1]ALL!B362</f>
        <v>Maverick Robotics</v>
      </c>
      <c r="D293" s="2" t="str">
        <f>[1]ALL!C362</f>
        <v>Archbishop Edward A. McCarthy High School</v>
      </c>
      <c r="E293" s="2" t="str">
        <f>[1]ALL!D362</f>
        <v>Southwest Ranches, Florida, United States</v>
      </c>
      <c r="F293" s="8">
        <f>[1]ALL!E362</f>
        <v>123</v>
      </c>
      <c r="G293" s="8">
        <f>[1]ALL!F362</f>
        <v>97</v>
      </c>
      <c r="H293" s="8">
        <f>[1]ALL!G362</f>
        <v>78.770899999999997</v>
      </c>
      <c r="I293" s="11">
        <f>[1]ALL!H362</f>
        <v>42.030099999999997</v>
      </c>
      <c r="J293" s="11">
        <f>[1]ALL!I362</f>
        <v>49.448799999999999</v>
      </c>
      <c r="K293" s="11">
        <f>[1]ALL!J362</f>
        <v>78.770899999999997</v>
      </c>
      <c r="L293" s="11">
        <f>[1]ALL!K362</f>
        <v>16.523499999999999</v>
      </c>
      <c r="M293" s="11">
        <f>[1]ALL!L362</f>
        <v>35.896500000000003</v>
      </c>
      <c r="N293" s="11">
        <f>[1]ALL!M362</f>
        <v>5.4888199999999996</v>
      </c>
      <c r="O293" s="11">
        <f>[1]ALL!N362</f>
        <v>0</v>
      </c>
      <c r="P293" s="11">
        <f>[1]ALL!O362</f>
        <v>0</v>
      </c>
      <c r="Q293" s="11">
        <f>[1]ALL!P362</f>
        <v>0</v>
      </c>
      <c r="R293" s="11">
        <f>[1]ALL!Q362</f>
        <v>0</v>
      </c>
      <c r="S293" s="11">
        <f>[1]ALL!R289</f>
        <v>0</v>
      </c>
      <c r="T293" s="9"/>
      <c r="U293" s="9"/>
      <c r="V293" s="10"/>
    </row>
    <row r="294" spans="1:22">
      <c r="A294" s="2">
        <v>496</v>
      </c>
      <c r="B294" s="1" t="str">
        <f>[1]ALL!A497</f>
        <v>99682A</v>
      </c>
      <c r="C294" s="2" t="str">
        <f>[1]ALL!B497</f>
        <v>craig's list</v>
      </c>
      <c r="D294" s="2" t="str">
        <f>[1]ALL!C497</f>
        <v>Robots in Motion</v>
      </c>
      <c r="E294" s="2" t="str">
        <f>[1]ALL!D497</f>
        <v>Hanson, Kentucky, United States</v>
      </c>
      <c r="F294" s="8">
        <f>[1]ALL!E497</f>
        <v>173</v>
      </c>
      <c r="G294" s="8">
        <f>[1]ALL!F497</f>
        <v>96</v>
      </c>
      <c r="H294" s="8">
        <f>[1]ALL!G497</f>
        <v>141.33799999999999</v>
      </c>
      <c r="I294" s="11">
        <f>[1]ALL!H497</f>
        <v>117.006</v>
      </c>
      <c r="J294" s="11">
        <f>[1]ALL!I497</f>
        <v>96.880200000000002</v>
      </c>
      <c r="K294" s="11">
        <f>[1]ALL!J497</f>
        <v>139.72399999999999</v>
      </c>
      <c r="L294" s="11">
        <f>[1]ALL!K497</f>
        <v>141.33799999999999</v>
      </c>
      <c r="M294" s="11">
        <f>[1]ALL!L497</f>
        <v>104.96299999999999</v>
      </c>
      <c r="N294" s="11">
        <f>[1]ALL!M497</f>
        <v>113.486</v>
      </c>
      <c r="O294" s="11">
        <f>[1]ALL!N497</f>
        <v>28.904199999999999</v>
      </c>
      <c r="P294" s="11">
        <f>[1]ALL!O497</f>
        <v>0</v>
      </c>
      <c r="Q294" s="11">
        <f>[1]ALL!P497</f>
        <v>0</v>
      </c>
      <c r="R294" s="11">
        <f>[1]ALL!Q497</f>
        <v>0</v>
      </c>
      <c r="S294" s="11">
        <f>[1]ALL!R290</f>
        <v>0</v>
      </c>
      <c r="T294" s="9"/>
      <c r="U294" s="9"/>
      <c r="V294" s="10"/>
    </row>
    <row r="295" spans="1:22">
      <c r="A295" s="2">
        <v>348</v>
      </c>
      <c r="B295" s="1" t="str">
        <f>[1]ALL!A349</f>
        <v>6815Z</v>
      </c>
      <c r="C295" s="2" t="str">
        <f>[1]ALL!B349</f>
        <v>Do you even lift bro?</v>
      </c>
      <c r="D295" s="2" t="str">
        <f>[1]ALL!C349</f>
        <v>Lincoln County High School</v>
      </c>
      <c r="E295" s="2" t="str">
        <f>[1]ALL!D349</f>
        <v>Hamlin, West Virginia, United States</v>
      </c>
      <c r="F295" s="8">
        <f>[1]ALL!E349</f>
        <v>208</v>
      </c>
      <c r="G295" s="8">
        <f>[1]ALL!F349</f>
        <v>93</v>
      </c>
      <c r="H295" s="8">
        <f>[1]ALL!G349</f>
        <v>118.259</v>
      </c>
      <c r="I295" s="11">
        <f>[1]ALL!H349</f>
        <v>118.259</v>
      </c>
      <c r="J295" s="11">
        <f>[1]ALL!I349</f>
        <v>91.063999999999993</v>
      </c>
      <c r="K295" s="11">
        <f>[1]ALL!J349</f>
        <v>58.146900000000002</v>
      </c>
      <c r="L295" s="11">
        <f>[1]ALL!K349</f>
        <v>0</v>
      </c>
      <c r="M295" s="11">
        <f>[1]ALL!L349</f>
        <v>0</v>
      </c>
      <c r="N295" s="11">
        <f>[1]ALL!M349</f>
        <v>0</v>
      </c>
      <c r="O295" s="11">
        <f>[1]ALL!N349</f>
        <v>0</v>
      </c>
      <c r="P295" s="11">
        <f>[1]ALL!O349</f>
        <v>0</v>
      </c>
      <c r="Q295" s="11">
        <f>[1]ALL!P349</f>
        <v>0</v>
      </c>
      <c r="R295" s="11">
        <f>[1]ALL!Q349</f>
        <v>0</v>
      </c>
      <c r="S295" s="11">
        <f>[1]ALL!R291</f>
        <v>0</v>
      </c>
      <c r="T295" s="9"/>
      <c r="U295" s="9"/>
      <c r="V295" s="10"/>
    </row>
    <row r="296" spans="1:22">
      <c r="A296" s="2">
        <v>304</v>
      </c>
      <c r="B296" s="1" t="str">
        <f>[1]ALL!A305</f>
        <v>5776T</v>
      </c>
      <c r="C296" s="2" t="str">
        <f>[1]ALL!B305</f>
        <v>DVHS Robotics</v>
      </c>
      <c r="D296" s="2" t="str">
        <f>[1]ALL!C305</f>
        <v>Dougherty Valley High School</v>
      </c>
      <c r="E296" s="2" t="str">
        <f>[1]ALL!D305</f>
        <v>San Ramon, California, United States</v>
      </c>
      <c r="F296" s="8">
        <f>[1]ALL!E305</f>
        <v>345</v>
      </c>
      <c r="G296" s="8">
        <f>[1]ALL!F305</f>
        <v>92</v>
      </c>
      <c r="H296" s="8">
        <f>[1]ALL!G305</f>
        <v>153.666</v>
      </c>
      <c r="I296" s="11">
        <f>[1]ALL!H305</f>
        <v>122.464</v>
      </c>
      <c r="J296" s="11">
        <f>[1]ALL!I305</f>
        <v>95.422499999999999</v>
      </c>
      <c r="K296" s="11">
        <f>[1]ALL!J305</f>
        <v>135.05600000000001</v>
      </c>
      <c r="L296" s="11">
        <f>[1]ALL!K305</f>
        <v>90.540499999999994</v>
      </c>
      <c r="M296" s="11">
        <f>[1]ALL!L305</f>
        <v>153.666</v>
      </c>
      <c r="N296" s="11">
        <f>[1]ALL!M305</f>
        <v>107.789</v>
      </c>
      <c r="O296" s="11">
        <f>[1]ALL!N305</f>
        <v>0</v>
      </c>
      <c r="P296" s="11">
        <f>[1]ALL!O305</f>
        <v>0</v>
      </c>
      <c r="Q296" s="11">
        <f>[1]ALL!P305</f>
        <v>0</v>
      </c>
      <c r="R296" s="11">
        <f>[1]ALL!Q305</f>
        <v>0</v>
      </c>
      <c r="S296" s="11">
        <f>[1]ALL!R292</f>
        <v>0</v>
      </c>
      <c r="T296" s="9"/>
      <c r="U296" s="9"/>
      <c r="V296" s="10"/>
    </row>
    <row r="297" spans="1:22">
      <c r="A297" s="2">
        <v>39</v>
      </c>
      <c r="B297" s="1" t="str">
        <f>[1]ALL!A40</f>
        <v>224</v>
      </c>
      <c r="C297" s="2" t="str">
        <f>[1]ALL!B40</f>
        <v>Crew 224 Sharks</v>
      </c>
      <c r="D297" s="2" t="str">
        <f>[1]ALL!C40</f>
        <v>Crew 224</v>
      </c>
      <c r="E297" s="2" t="str">
        <f>[1]ALL!D40</f>
        <v>Malibu, California, United States</v>
      </c>
      <c r="F297" s="8">
        <f>[1]ALL!E40</f>
        <v>270</v>
      </c>
      <c r="G297" s="8">
        <f>[1]ALL!F40</f>
        <v>91</v>
      </c>
      <c r="H297" s="8">
        <f>[1]ALL!G40</f>
        <v>127.974</v>
      </c>
      <c r="I297" s="11">
        <f>[1]ALL!H40</f>
        <v>127.974</v>
      </c>
      <c r="J297" s="11">
        <f>[1]ALL!I40</f>
        <v>64.587199999999996</v>
      </c>
      <c r="K297" s="11">
        <f>[1]ALL!J40</f>
        <v>82.492999999999995</v>
      </c>
      <c r="L297" s="11">
        <f>[1]ALL!K40</f>
        <v>20.435199999999998</v>
      </c>
      <c r="M297" s="11">
        <f>[1]ALL!L40</f>
        <v>0</v>
      </c>
      <c r="N297" s="11">
        <f>[1]ALL!M40</f>
        <v>0</v>
      </c>
      <c r="O297" s="11">
        <f>[1]ALL!N40</f>
        <v>0</v>
      </c>
      <c r="P297" s="11">
        <f>[1]ALL!O40</f>
        <v>0</v>
      </c>
      <c r="Q297" s="11">
        <f>[1]ALL!P40</f>
        <v>0</v>
      </c>
      <c r="R297" s="11">
        <f>[1]ALL!Q40</f>
        <v>0</v>
      </c>
      <c r="S297" s="11">
        <f>[1]ALL!R293</f>
        <v>0</v>
      </c>
      <c r="T297" s="9"/>
      <c r="U297" s="9"/>
      <c r="V297" s="10"/>
    </row>
    <row r="298" spans="1:22">
      <c r="A298" s="2">
        <v>149</v>
      </c>
      <c r="B298" s="1" t="str">
        <f>[1]ALL!A150</f>
        <v>1727F</v>
      </c>
      <c r="C298" s="2" t="str">
        <f>[1]ALL!B150</f>
        <v>REX</v>
      </c>
      <c r="D298" s="2" t="str">
        <f>[1]ALL!C150</f>
        <v>Dulaney High School</v>
      </c>
      <c r="E298" s="2" t="str">
        <f>[1]ALL!D150</f>
        <v>Timonium, Maryland, United States</v>
      </c>
      <c r="F298" s="8">
        <f>[1]ALL!E150</f>
        <v>143</v>
      </c>
      <c r="G298" s="8">
        <f>[1]ALL!F150</f>
        <v>91</v>
      </c>
      <c r="H298" s="8">
        <f>[1]ALL!G150</f>
        <v>58.509599999999999</v>
      </c>
      <c r="I298" s="11">
        <f>[1]ALL!H150</f>
        <v>55.409500000000001</v>
      </c>
      <c r="J298" s="11">
        <f>[1]ALL!I150</f>
        <v>30.772200000000002</v>
      </c>
      <c r="K298" s="11">
        <f>[1]ALL!J150</f>
        <v>58.509599999999999</v>
      </c>
      <c r="L298" s="11">
        <f>[1]ALL!K150</f>
        <v>10.2341</v>
      </c>
      <c r="M298" s="11">
        <f>[1]ALL!L150</f>
        <v>23.3721</v>
      </c>
      <c r="N298" s="11">
        <f>[1]ALL!M150</f>
        <v>0</v>
      </c>
      <c r="O298" s="11">
        <f>[1]ALL!N150</f>
        <v>0</v>
      </c>
      <c r="P298" s="11">
        <f>[1]ALL!O150</f>
        <v>0</v>
      </c>
      <c r="Q298" s="11">
        <f>[1]ALL!P150</f>
        <v>0</v>
      </c>
      <c r="R298" s="11">
        <f>[1]ALL!Q150</f>
        <v>0</v>
      </c>
      <c r="S298" s="11">
        <f>[1]ALL!R294</f>
        <v>0</v>
      </c>
      <c r="T298" s="9"/>
      <c r="U298" s="9"/>
      <c r="V298" s="10"/>
    </row>
    <row r="299" spans="1:22">
      <c r="A299" s="2">
        <v>432</v>
      </c>
      <c r="B299" s="1" t="str">
        <f>[1]ALL!A433</f>
        <v>8757</v>
      </c>
      <c r="C299" s="2" t="str">
        <f>[1]ALL!B433</f>
        <v>House of Science</v>
      </c>
      <c r="D299" s="2" t="str">
        <f>[1]ALL!C433</f>
        <v>House of Science TAURANGA</v>
      </c>
      <c r="E299" s="2" t="str">
        <f>[1]ALL!D433</f>
        <v>Tauranga, Not Applicable or Not Listed, New Zealand</v>
      </c>
      <c r="F299" s="8">
        <f>[1]ALL!E433</f>
        <v>104</v>
      </c>
      <c r="G299" s="8">
        <f>[1]ALL!F433</f>
        <v>90</v>
      </c>
      <c r="H299" s="8">
        <f>[1]ALL!G433</f>
        <v>89.425799999999995</v>
      </c>
      <c r="I299" s="11">
        <f>[1]ALL!H433</f>
        <v>89.425799999999995</v>
      </c>
      <c r="J299" s="11">
        <f>[1]ALL!I433</f>
        <v>74.573800000000006</v>
      </c>
      <c r="K299" s="11">
        <f>[1]ALL!J433</f>
        <v>28.487400000000001</v>
      </c>
      <c r="L299" s="11">
        <f>[1]ALL!K433</f>
        <v>0</v>
      </c>
      <c r="M299" s="11">
        <f>[1]ALL!L433</f>
        <v>0</v>
      </c>
      <c r="N299" s="11">
        <f>[1]ALL!M433</f>
        <v>0</v>
      </c>
      <c r="O299" s="11">
        <f>[1]ALL!N433</f>
        <v>0</v>
      </c>
      <c r="P299" s="11">
        <f>[1]ALL!O433</f>
        <v>0</v>
      </c>
      <c r="Q299" s="11">
        <f>[1]ALL!P433</f>
        <v>0</v>
      </c>
      <c r="R299" s="11">
        <f>[1]ALL!Q433</f>
        <v>0</v>
      </c>
      <c r="S299" s="11">
        <f>[1]ALL!R295</f>
        <v>0</v>
      </c>
      <c r="T299" s="9"/>
      <c r="U299" s="9"/>
      <c r="V299" s="10"/>
    </row>
    <row r="300" spans="1:22">
      <c r="A300" s="2">
        <v>123</v>
      </c>
      <c r="B300" s="1" t="str">
        <f>[1]ALL!A124</f>
        <v>1344</v>
      </c>
      <c r="C300" s="2" t="str">
        <f>[1]ALL!B124</f>
        <v>James Ford Rhodes</v>
      </c>
      <c r="D300" s="2" t="str">
        <f>[1]ALL!C124</f>
        <v>James Ford Rhodes</v>
      </c>
      <c r="E300" s="2" t="str">
        <f>[1]ALL!D124</f>
        <v>Cleveland, Ohio, United States</v>
      </c>
      <c r="F300" s="8">
        <f>[1]ALL!E124</f>
        <v>216</v>
      </c>
      <c r="G300" s="8">
        <f>[1]ALL!F124</f>
        <v>89</v>
      </c>
      <c r="H300" s="8">
        <f>[1]ALL!G124</f>
        <v>119.217</v>
      </c>
      <c r="I300" s="11">
        <f>[1]ALL!H124</f>
        <v>85.357799999999997</v>
      </c>
      <c r="J300" s="11">
        <f>[1]ALL!I124</f>
        <v>119.217</v>
      </c>
      <c r="K300" s="11">
        <f>[1]ALL!J124</f>
        <v>78.787300000000002</v>
      </c>
      <c r="L300" s="11">
        <f>[1]ALL!K124</f>
        <v>70.790800000000004</v>
      </c>
      <c r="M300" s="11">
        <f>[1]ALL!L124</f>
        <v>53.155900000000003</v>
      </c>
      <c r="N300" s="11">
        <f>[1]ALL!M124</f>
        <v>12.987299999999999</v>
      </c>
      <c r="O300" s="11">
        <f>[1]ALL!N124</f>
        <v>0</v>
      </c>
      <c r="P300" s="11">
        <f>[1]ALL!O124</f>
        <v>0</v>
      </c>
      <c r="Q300" s="11">
        <f>[1]ALL!P124</f>
        <v>0</v>
      </c>
      <c r="R300" s="11">
        <f>[1]ALL!Q124</f>
        <v>0</v>
      </c>
      <c r="S300" s="11">
        <f>[1]ALL!R296</f>
        <v>0</v>
      </c>
      <c r="T300" s="9"/>
      <c r="U300" s="9"/>
      <c r="V300" s="10"/>
    </row>
    <row r="301" spans="1:22">
      <c r="A301" s="2">
        <v>113</v>
      </c>
      <c r="B301" s="1" t="str">
        <f>[1]ALL!A114</f>
        <v>1138</v>
      </c>
      <c r="C301" s="2" t="str">
        <f>[1]ALL!B114</f>
        <v>Eagle Engineering</v>
      </c>
      <c r="D301" s="2" t="str">
        <f>[1]ALL!C114</f>
        <v>Chaminade College Preparatory</v>
      </c>
      <c r="E301" s="2" t="str">
        <f>[1]ALL!D114</f>
        <v>West Hills, California, United States</v>
      </c>
      <c r="F301" s="8">
        <f>[1]ALL!E114</f>
        <v>140</v>
      </c>
      <c r="G301" s="8">
        <f>[1]ALL!F114</f>
        <v>88</v>
      </c>
      <c r="H301" s="8">
        <f>[1]ALL!G114</f>
        <v>78.505300000000005</v>
      </c>
      <c r="I301" s="11">
        <f>[1]ALL!H114</f>
        <v>58.832500000000003</v>
      </c>
      <c r="J301" s="11">
        <f>[1]ALL!I114</f>
        <v>55.856200000000001</v>
      </c>
      <c r="K301" s="11">
        <f>[1]ALL!J114</f>
        <v>61.929699999999997</v>
      </c>
      <c r="L301" s="11">
        <f>[1]ALL!K114</f>
        <v>78.505300000000005</v>
      </c>
      <c r="M301" s="11">
        <f>[1]ALL!L114</f>
        <v>27.729500000000002</v>
      </c>
      <c r="N301" s="11">
        <f>[1]ALL!M114</f>
        <v>26.423100000000002</v>
      </c>
      <c r="O301" s="11">
        <f>[1]ALL!N114</f>
        <v>0</v>
      </c>
      <c r="P301" s="11">
        <f>[1]ALL!O114</f>
        <v>0</v>
      </c>
      <c r="Q301" s="11">
        <f>[1]ALL!P114</f>
        <v>0</v>
      </c>
      <c r="R301" s="11">
        <f>[1]ALL!Q114</f>
        <v>0</v>
      </c>
      <c r="S301" s="11">
        <f>[1]ALL!R297</f>
        <v>0</v>
      </c>
      <c r="T301" s="9"/>
      <c r="U301" s="9"/>
      <c r="V301" s="10"/>
    </row>
    <row r="302" spans="1:22">
      <c r="A302" s="2">
        <v>442</v>
      </c>
      <c r="B302" s="1" t="str">
        <f>[1]ALL!A443</f>
        <v>8931A</v>
      </c>
      <c r="C302" s="2" t="str">
        <f>[1]ALL!B443</f>
        <v>V-Bots The 5 Guys</v>
      </c>
      <c r="D302" s="2" t="str">
        <f>[1]ALL!C443</f>
        <v>Lake Stevens High</v>
      </c>
      <c r="E302" s="2" t="str">
        <f>[1]ALL!D443</f>
        <v>Lake Stevens, Washington, United States</v>
      </c>
      <c r="F302" s="8">
        <f>[1]ALL!E443</f>
        <v>30</v>
      </c>
      <c r="G302" s="8">
        <f>[1]ALL!F443</f>
        <v>88</v>
      </c>
      <c r="H302" s="8">
        <f>[1]ALL!G443</f>
        <v>66.414500000000004</v>
      </c>
      <c r="I302" s="11">
        <f>[1]ALL!H443</f>
        <v>66.414500000000004</v>
      </c>
      <c r="J302" s="11">
        <f>[1]ALL!I443</f>
        <v>36.633499999999998</v>
      </c>
      <c r="K302" s="11">
        <f>[1]ALL!J443</f>
        <v>18.855</v>
      </c>
      <c r="L302" s="11">
        <f>[1]ALL!K443</f>
        <v>19.968499999999999</v>
      </c>
      <c r="M302" s="11">
        <f>[1]ALL!L443</f>
        <v>26.578600000000002</v>
      </c>
      <c r="N302" s="11">
        <f>[1]ALL!M443</f>
        <v>0</v>
      </c>
      <c r="O302" s="11">
        <f>[1]ALL!N443</f>
        <v>0</v>
      </c>
      <c r="P302" s="11">
        <f>[1]ALL!O443</f>
        <v>0</v>
      </c>
      <c r="Q302" s="11">
        <f>[1]ALL!P443</f>
        <v>0</v>
      </c>
      <c r="R302" s="11">
        <f>[1]ALL!Q443</f>
        <v>0</v>
      </c>
      <c r="S302" s="11">
        <f>[1]ALL!R298</f>
        <v>0</v>
      </c>
      <c r="T302" s="9"/>
      <c r="U302" s="9"/>
      <c r="V302" s="10"/>
    </row>
    <row r="303" spans="1:22">
      <c r="A303" s="2">
        <v>171</v>
      </c>
      <c r="B303" s="1" t="str">
        <f>[1]ALL!A172</f>
        <v>2223A</v>
      </c>
      <c r="C303" s="2" t="str">
        <f>[1]ALL!B172</f>
        <v>U.H.S. - ADV HS A</v>
      </c>
      <c r="D303" s="2" t="str">
        <f>[1]ALL!C172</f>
        <v>U.H.S.</v>
      </c>
      <c r="E303" s="2" t="str">
        <f>[1]ALL!D172</f>
        <v>San Juan, Not Applicable or Not Listed, Puerto Rico</v>
      </c>
      <c r="F303" s="8">
        <f>[1]ALL!E172</f>
        <v>144</v>
      </c>
      <c r="G303" s="8">
        <f>[1]ALL!F172</f>
        <v>86</v>
      </c>
      <c r="H303" s="8">
        <f>[1]ALL!G172</f>
        <v>111.355</v>
      </c>
      <c r="I303" s="11">
        <f>[1]ALL!H172</f>
        <v>72.239599999999996</v>
      </c>
      <c r="J303" s="11">
        <f>[1]ALL!I172</f>
        <v>111.355</v>
      </c>
      <c r="K303" s="11">
        <f>[1]ALL!J172</f>
        <v>83.601699999999994</v>
      </c>
      <c r="L303" s="11">
        <f>[1]ALL!K172</f>
        <v>0</v>
      </c>
      <c r="M303" s="11">
        <f>[1]ALL!L172</f>
        <v>0</v>
      </c>
      <c r="N303" s="11">
        <f>[1]ALL!M172</f>
        <v>0</v>
      </c>
      <c r="O303" s="11">
        <f>[1]ALL!N172</f>
        <v>0</v>
      </c>
      <c r="P303" s="11">
        <f>[1]ALL!O172</f>
        <v>0</v>
      </c>
      <c r="Q303" s="11">
        <f>[1]ALL!P172</f>
        <v>0</v>
      </c>
      <c r="R303" s="11">
        <f>[1]ALL!Q172</f>
        <v>0</v>
      </c>
      <c r="S303" s="11">
        <f>[1]ALL!R299</f>
        <v>0</v>
      </c>
      <c r="T303" s="9"/>
      <c r="U303" s="9"/>
      <c r="V303" s="10"/>
    </row>
    <row r="304" spans="1:22">
      <c r="A304" s="2">
        <v>283</v>
      </c>
      <c r="B304" s="1" t="str">
        <f>[1]ALL!A284</f>
        <v>5408A</v>
      </c>
      <c r="C304" s="2" t="str">
        <f>[1]ALL!B284</f>
        <v>Sachse Texas Torque</v>
      </c>
      <c r="D304" s="2" t="str">
        <f>[1]ALL!C284</f>
        <v>Sachse High School</v>
      </c>
      <c r="E304" s="2" t="str">
        <f>[1]ALL!D284</f>
        <v>Sachse, Texas, United States</v>
      </c>
      <c r="F304" s="8">
        <f>[1]ALL!E284</f>
        <v>135</v>
      </c>
      <c r="G304" s="8">
        <f>[1]ALL!F284</f>
        <v>86</v>
      </c>
      <c r="H304" s="8">
        <f>[1]ALL!G284</f>
        <v>91.288700000000006</v>
      </c>
      <c r="I304" s="11">
        <f>[1]ALL!H284</f>
        <v>71.246600000000001</v>
      </c>
      <c r="J304" s="11">
        <f>[1]ALL!I284</f>
        <v>91.288700000000006</v>
      </c>
      <c r="K304" s="11">
        <f>[1]ALL!J284</f>
        <v>65.708699999999993</v>
      </c>
      <c r="L304" s="11">
        <f>[1]ALL!K284</f>
        <v>81.421000000000006</v>
      </c>
      <c r="M304" s="11">
        <f>[1]ALL!L284</f>
        <v>39.316699999999997</v>
      </c>
      <c r="N304" s="11">
        <f>[1]ALL!M284</f>
        <v>17.835599999999999</v>
      </c>
      <c r="O304" s="11">
        <f>[1]ALL!N284</f>
        <v>0</v>
      </c>
      <c r="P304" s="11">
        <f>[1]ALL!O284</f>
        <v>0</v>
      </c>
      <c r="Q304" s="11">
        <f>[1]ALL!P284</f>
        <v>0</v>
      </c>
      <c r="R304" s="11">
        <f>[1]ALL!Q284</f>
        <v>0</v>
      </c>
      <c r="S304" s="11">
        <f>[1]ALL!R300</f>
        <v>0</v>
      </c>
      <c r="T304" s="9"/>
      <c r="U304" s="9"/>
      <c r="V304" s="10"/>
    </row>
    <row r="305" spans="1:22">
      <c r="A305" s="2">
        <v>462</v>
      </c>
      <c r="B305" s="1" t="str">
        <f>[1]ALL!A463</f>
        <v>9457A</v>
      </c>
      <c r="C305" s="2" t="str">
        <f>[1]ALL!B463</f>
        <v>MEHS Robotics</v>
      </c>
      <c r="D305" s="2" t="str">
        <f>[1]ALL!C463</f>
        <v>Mankato East High School</v>
      </c>
      <c r="E305" s="2" t="str">
        <f>[1]ALL!D463</f>
        <v>Mankato, Minnesota, United States</v>
      </c>
      <c r="F305" s="8">
        <f>[1]ALL!E463</f>
        <v>93</v>
      </c>
      <c r="G305" s="8">
        <f>[1]ALL!F463</f>
        <v>86</v>
      </c>
      <c r="H305" s="8">
        <f>[1]ALL!G463</f>
        <v>107.681</v>
      </c>
      <c r="I305" s="11">
        <f>[1]ALL!H463</f>
        <v>98.941999999999993</v>
      </c>
      <c r="J305" s="11">
        <f>[1]ALL!I463</f>
        <v>107.681</v>
      </c>
      <c r="K305" s="11">
        <f>[1]ALL!J463</f>
        <v>65.904600000000002</v>
      </c>
      <c r="L305" s="11">
        <f>[1]ALL!K463</f>
        <v>26.8203</v>
      </c>
      <c r="M305" s="11">
        <f>[1]ALL!L463</f>
        <v>0</v>
      </c>
      <c r="N305" s="11">
        <f>[1]ALL!M463</f>
        <v>0</v>
      </c>
      <c r="O305" s="11">
        <f>[1]ALL!N463</f>
        <v>0</v>
      </c>
      <c r="P305" s="11">
        <f>[1]ALL!O463</f>
        <v>0</v>
      </c>
      <c r="Q305" s="11">
        <f>[1]ALL!P463</f>
        <v>0</v>
      </c>
      <c r="R305" s="11">
        <f>[1]ALL!Q463</f>
        <v>0</v>
      </c>
      <c r="S305" s="11">
        <f>[1]ALL!R301</f>
        <v>0</v>
      </c>
      <c r="T305" s="9"/>
      <c r="U305" s="9"/>
      <c r="V305" s="10"/>
    </row>
    <row r="306" spans="1:22">
      <c r="A306" s="2">
        <v>476</v>
      </c>
      <c r="B306" s="1" t="str">
        <f>[1]ALL!A477</f>
        <v>9908W</v>
      </c>
      <c r="C306" s="2" t="str">
        <f>[1]ALL!B477</f>
        <v>Windham Whippet Robotics</v>
      </c>
      <c r="D306" s="2" t="str">
        <f>[1]ALL!C477</f>
        <v>Windham High School</v>
      </c>
      <c r="E306" s="2" t="str">
        <f>[1]ALL!D477</f>
        <v>Willimantic, Connecticut, United States</v>
      </c>
      <c r="F306" s="8">
        <f>[1]ALL!E477</f>
        <v>76</v>
      </c>
      <c r="G306" s="8">
        <f>[1]ALL!F477</f>
        <v>86</v>
      </c>
      <c r="H306" s="8">
        <f>[1]ALL!G477</f>
        <v>89.516999999999996</v>
      </c>
      <c r="I306" s="11">
        <f>[1]ALL!H477</f>
        <v>71.617699999999999</v>
      </c>
      <c r="J306" s="11">
        <f>[1]ALL!I477</f>
        <v>89.516999999999996</v>
      </c>
      <c r="K306" s="11">
        <f>[1]ALL!J477</f>
        <v>68.813599999999994</v>
      </c>
      <c r="L306" s="11">
        <f>[1]ALL!K477</f>
        <v>61.268700000000003</v>
      </c>
      <c r="M306" s="11">
        <f>[1]ALL!L477</f>
        <v>17.6904</v>
      </c>
      <c r="N306" s="11">
        <f>[1]ALL!M477</f>
        <v>0</v>
      </c>
      <c r="O306" s="11">
        <f>[1]ALL!N477</f>
        <v>0</v>
      </c>
      <c r="P306" s="11">
        <f>[1]ALL!O477</f>
        <v>0</v>
      </c>
      <c r="Q306" s="11">
        <f>[1]ALL!P477</f>
        <v>0</v>
      </c>
      <c r="R306" s="11">
        <f>[1]ALL!Q477</f>
        <v>0</v>
      </c>
      <c r="S306" s="11">
        <f>[1]ALL!R302</f>
        <v>0</v>
      </c>
      <c r="T306" s="9"/>
      <c r="U306" s="9"/>
      <c r="V306" s="10"/>
    </row>
    <row r="307" spans="1:22">
      <c r="A307" s="2">
        <v>176</v>
      </c>
      <c r="B307" s="1" t="str">
        <f>[1]ALL!A177</f>
        <v>2398D</v>
      </c>
      <c r="C307" s="2" t="str">
        <f>[1]ALL!B177</f>
        <v>AI's - Delta</v>
      </c>
      <c r="D307" s="2" t="str">
        <f>[1]ALL!C177</f>
        <v>Sequoyah Schools</v>
      </c>
      <c r="E307" s="2" t="str">
        <f>[1]ALL!D177</f>
        <v>Tahlequah, Oklahoma, United States</v>
      </c>
      <c r="F307" s="8">
        <f>[1]ALL!E177</f>
        <v>80</v>
      </c>
      <c r="G307" s="8">
        <f>[1]ALL!F177</f>
        <v>85</v>
      </c>
      <c r="H307" s="8">
        <f>[1]ALL!G177</f>
        <v>102.578</v>
      </c>
      <c r="I307" s="11">
        <f>[1]ALL!H177</f>
        <v>58.474299999999999</v>
      </c>
      <c r="J307" s="11">
        <f>[1]ALL!I177</f>
        <v>60.206000000000003</v>
      </c>
      <c r="K307" s="11">
        <f>[1]ALL!J177</f>
        <v>102.578</v>
      </c>
      <c r="L307" s="11">
        <f>[1]ALL!K177</f>
        <v>32.4193</v>
      </c>
      <c r="M307" s="11">
        <f>[1]ALL!L177</f>
        <v>0</v>
      </c>
      <c r="N307" s="11">
        <f>[1]ALL!M177</f>
        <v>0</v>
      </c>
      <c r="O307" s="11">
        <f>[1]ALL!N177</f>
        <v>0</v>
      </c>
      <c r="P307" s="11">
        <f>[1]ALL!O177</f>
        <v>0</v>
      </c>
      <c r="Q307" s="11">
        <f>[1]ALL!P177</f>
        <v>0</v>
      </c>
      <c r="R307" s="11">
        <f>[1]ALL!Q177</f>
        <v>0</v>
      </c>
      <c r="S307" s="11">
        <f>[1]ALL!R303</f>
        <v>0</v>
      </c>
      <c r="T307" s="9"/>
      <c r="U307" s="9"/>
      <c r="V307" s="10"/>
    </row>
    <row r="308" spans="1:22">
      <c r="A308" s="2">
        <v>82</v>
      </c>
      <c r="B308" s="1" t="str">
        <f>[1]ALL!A83</f>
        <v>750W</v>
      </c>
      <c r="C308" s="2" t="str">
        <f>[1]ALL!B83</f>
        <v>Wolves</v>
      </c>
      <c r="D308" s="2" t="str">
        <f>[1]ALL!C83</f>
        <v>South Brunswick High School</v>
      </c>
      <c r="E308" s="2" t="str">
        <f>[1]ALL!D83</f>
        <v>Monmouth Junction, New Jersey, United States</v>
      </c>
      <c r="F308" s="8">
        <f>[1]ALL!E83</f>
        <v>90</v>
      </c>
      <c r="G308" s="8">
        <f>[1]ALL!F83</f>
        <v>84</v>
      </c>
      <c r="H308" s="8">
        <f>[1]ALL!G83</f>
        <v>62.814700000000002</v>
      </c>
      <c r="I308" s="11">
        <f>[1]ALL!H83</f>
        <v>62.814700000000002</v>
      </c>
      <c r="J308" s="11">
        <f>[1]ALL!I83</f>
        <v>21.888999999999999</v>
      </c>
      <c r="K308" s="11">
        <f>[1]ALL!J83</f>
        <v>35.762599999999999</v>
      </c>
      <c r="L308" s="11">
        <f>[1]ALL!K83</f>
        <v>35.156300000000002</v>
      </c>
      <c r="M308" s="11">
        <f>[1]ALL!L83</f>
        <v>4.2846000000000002</v>
      </c>
      <c r="N308" s="11">
        <f>[1]ALL!M83</f>
        <v>0</v>
      </c>
      <c r="O308" s="11">
        <f>[1]ALL!N83</f>
        <v>0</v>
      </c>
      <c r="P308" s="11">
        <f>[1]ALL!O83</f>
        <v>0</v>
      </c>
      <c r="Q308" s="11">
        <f>[1]ALL!P83</f>
        <v>0</v>
      </c>
      <c r="R308" s="11">
        <f>[1]ALL!Q83</f>
        <v>0</v>
      </c>
      <c r="S308" s="11">
        <f>[1]ALL!R304</f>
        <v>0</v>
      </c>
      <c r="T308" s="9"/>
      <c r="U308" s="9"/>
      <c r="V308" s="10"/>
    </row>
    <row r="309" spans="1:22">
      <c r="A309" s="2">
        <v>219</v>
      </c>
      <c r="B309" s="1" t="str">
        <f>[1]ALL!A220</f>
        <v>3818A</v>
      </c>
      <c r="C309" s="2" t="str">
        <f>[1]ALL!B220</f>
        <v>ISManila</v>
      </c>
      <c r="D309" s="2" t="str">
        <f>[1]ALL!C220</f>
        <v>International School Manila</v>
      </c>
      <c r="E309" s="2" t="str">
        <f>[1]ALL!D220</f>
        <v>Manila, Not Applicable or Not Listed, Philippines</v>
      </c>
      <c r="F309" s="8">
        <f>[1]ALL!E220</f>
        <v>79</v>
      </c>
      <c r="G309" s="8">
        <f>[1]ALL!F220</f>
        <v>84</v>
      </c>
      <c r="H309" s="8">
        <f>[1]ALL!G220</f>
        <v>46.437199999999997</v>
      </c>
      <c r="I309" s="11">
        <f>[1]ALL!H220</f>
        <v>46.437199999999997</v>
      </c>
      <c r="J309" s="11">
        <f>[1]ALL!I220</f>
        <v>0</v>
      </c>
      <c r="K309" s="11">
        <f>[1]ALL!J220</f>
        <v>0</v>
      </c>
      <c r="L309" s="11">
        <f>[1]ALL!K220</f>
        <v>0</v>
      </c>
      <c r="M309" s="11">
        <f>[1]ALL!L220</f>
        <v>0</v>
      </c>
      <c r="N309" s="11">
        <f>[1]ALL!M220</f>
        <v>0</v>
      </c>
      <c r="O309" s="11">
        <f>[1]ALL!N220</f>
        <v>0</v>
      </c>
      <c r="P309" s="11">
        <f>[1]ALL!O220</f>
        <v>0</v>
      </c>
      <c r="Q309" s="11">
        <f>[1]ALL!P220</f>
        <v>0</v>
      </c>
      <c r="R309" s="11">
        <f>[1]ALL!Q220</f>
        <v>0</v>
      </c>
      <c r="S309" s="11">
        <f>[1]ALL!R305</f>
        <v>0</v>
      </c>
      <c r="T309" s="9"/>
      <c r="U309" s="9"/>
      <c r="V309" s="10"/>
    </row>
    <row r="310" spans="1:22">
      <c r="A310" s="2">
        <v>451</v>
      </c>
      <c r="B310" s="1" t="str">
        <f>[1]ALL!A452</f>
        <v>9142A</v>
      </c>
      <c r="C310" s="2" t="str">
        <f>[1]ALL!B452</f>
        <v>Claremore Public Schools</v>
      </c>
      <c r="D310" s="2" t="str">
        <f>[1]ALL!C452</f>
        <v>Claremore Public Schools</v>
      </c>
      <c r="E310" s="2" t="str">
        <f>[1]ALL!D452</f>
        <v>Claremore, Oklahoma, United States</v>
      </c>
      <c r="F310" s="8">
        <f>[1]ALL!E452</f>
        <v>200</v>
      </c>
      <c r="G310" s="8">
        <f>[1]ALL!F452</f>
        <v>83</v>
      </c>
      <c r="H310" s="8">
        <f>[1]ALL!G452</f>
        <v>140.988</v>
      </c>
      <c r="I310" s="11">
        <f>[1]ALL!H452</f>
        <v>90.652699999999996</v>
      </c>
      <c r="J310" s="11">
        <f>[1]ALL!I452</f>
        <v>140.988</v>
      </c>
      <c r="K310" s="11">
        <f>[1]ALL!J452</f>
        <v>134.58199999999999</v>
      </c>
      <c r="L310" s="11">
        <f>[1]ALL!K452</f>
        <v>93.232399999999998</v>
      </c>
      <c r="M310" s="11">
        <f>[1]ALL!L452</f>
        <v>81.768699999999995</v>
      </c>
      <c r="N310" s="11">
        <f>[1]ALL!M452</f>
        <v>0</v>
      </c>
      <c r="O310" s="11">
        <f>[1]ALL!N452</f>
        <v>0</v>
      </c>
      <c r="P310" s="11">
        <f>[1]ALL!O452</f>
        <v>0</v>
      </c>
      <c r="Q310" s="11">
        <f>[1]ALL!P452</f>
        <v>0</v>
      </c>
      <c r="R310" s="11">
        <f>[1]ALL!Q452</f>
        <v>0</v>
      </c>
      <c r="S310" s="11">
        <f>[1]ALL!R306</f>
        <v>0</v>
      </c>
      <c r="T310" s="9"/>
      <c r="U310" s="9"/>
      <c r="V310" s="10"/>
    </row>
    <row r="311" spans="1:22">
      <c r="A311" s="2">
        <v>470</v>
      </c>
      <c r="B311" s="1" t="str">
        <f>[1]ALL!A471</f>
        <v>9708</v>
      </c>
      <c r="C311" s="2" t="str">
        <f>[1]ALL!B471</f>
        <v>Six Sigma Robotics</v>
      </c>
      <c r="D311" s="2" t="str">
        <f>[1]ALL!C471</f>
        <v>Middlesex County Academy</v>
      </c>
      <c r="E311" s="2" t="str">
        <f>[1]ALL!D471</f>
        <v>Edison, New Jersey, United States</v>
      </c>
      <c r="F311" s="8">
        <f>[1]ALL!E471</f>
        <v>125</v>
      </c>
      <c r="G311" s="8">
        <f>[1]ALL!F471</f>
        <v>83</v>
      </c>
      <c r="H311" s="8">
        <f>[1]ALL!G471</f>
        <v>79.156199999999998</v>
      </c>
      <c r="I311" s="11">
        <f>[1]ALL!H471</f>
        <v>79.156199999999998</v>
      </c>
      <c r="J311" s="11">
        <f>[1]ALL!I471</f>
        <v>60.394399999999997</v>
      </c>
      <c r="K311" s="11">
        <f>[1]ALL!J471</f>
        <v>52.395299999999999</v>
      </c>
      <c r="L311" s="11">
        <f>[1]ALL!K471</f>
        <v>55.260100000000001</v>
      </c>
      <c r="M311" s="11">
        <f>[1]ALL!L471</f>
        <v>16.066600000000001</v>
      </c>
      <c r="N311" s="11">
        <f>[1]ALL!M471</f>
        <v>0</v>
      </c>
      <c r="O311" s="11">
        <f>[1]ALL!N471</f>
        <v>0</v>
      </c>
      <c r="P311" s="11">
        <f>[1]ALL!O471</f>
        <v>0</v>
      </c>
      <c r="Q311" s="11">
        <f>[1]ALL!P471</f>
        <v>0</v>
      </c>
      <c r="R311" s="11">
        <f>[1]ALL!Q471</f>
        <v>0</v>
      </c>
      <c r="S311" s="11">
        <f>[1]ALL!R307</f>
        <v>0</v>
      </c>
      <c r="T311" s="9"/>
      <c r="U311" s="9"/>
      <c r="V311" s="10"/>
    </row>
    <row r="312" spans="1:22">
      <c r="A312" s="2">
        <v>260</v>
      </c>
      <c r="B312" s="1" t="str">
        <f>[1]ALL!A261</f>
        <v>4828F</v>
      </c>
      <c r="C312" s="2" t="str">
        <f>[1]ALL!B261</f>
        <v>BrewTech Robotics - F</v>
      </c>
      <c r="D312" s="2" t="str">
        <f>[1]ALL!C261</f>
        <v>Brewbaker Technology Magnet High School</v>
      </c>
      <c r="E312" s="2" t="str">
        <f>[1]ALL!D261</f>
        <v>Montgomery, Alabama, United States</v>
      </c>
      <c r="F312" s="8">
        <f>[1]ALL!E261</f>
        <v>96</v>
      </c>
      <c r="G312" s="8">
        <f>[1]ALL!F261</f>
        <v>83</v>
      </c>
      <c r="H312" s="8">
        <f>[1]ALL!G261</f>
        <v>71.496600000000001</v>
      </c>
      <c r="I312" s="11">
        <f>[1]ALL!H261</f>
        <v>71.496600000000001</v>
      </c>
      <c r="J312" s="11">
        <f>[1]ALL!I261</f>
        <v>63.491399999999999</v>
      </c>
      <c r="K312" s="11">
        <f>[1]ALL!J261</f>
        <v>48.560699999999997</v>
      </c>
      <c r="L312" s="11">
        <f>[1]ALL!K261</f>
        <v>33.567599999999999</v>
      </c>
      <c r="M312" s="11">
        <f>[1]ALL!L261</f>
        <v>0</v>
      </c>
      <c r="N312" s="11">
        <f>[1]ALL!M261</f>
        <v>0</v>
      </c>
      <c r="O312" s="11">
        <f>[1]ALL!N261</f>
        <v>0</v>
      </c>
      <c r="P312" s="11">
        <f>[1]ALL!O261</f>
        <v>0</v>
      </c>
      <c r="Q312" s="11">
        <f>[1]ALL!P261</f>
        <v>0</v>
      </c>
      <c r="R312" s="11">
        <f>[1]ALL!Q261</f>
        <v>0</v>
      </c>
      <c r="S312" s="11">
        <f>[1]ALL!R308</f>
        <v>0</v>
      </c>
      <c r="T312" s="9"/>
      <c r="U312" s="9"/>
      <c r="V312" s="10"/>
    </row>
    <row r="313" spans="1:22">
      <c r="A313" s="2">
        <v>261</v>
      </c>
      <c r="B313" s="1" t="str">
        <f>[1]ALL!A262</f>
        <v>4828S</v>
      </c>
      <c r="C313" s="2" t="str">
        <f>[1]ALL!B262</f>
        <v>BrewTech Robotics - S</v>
      </c>
      <c r="D313" s="2" t="str">
        <f>[1]ALL!C262</f>
        <v>Brewbaker Technology Magnet High School</v>
      </c>
      <c r="E313" s="2" t="str">
        <f>[1]ALL!D262</f>
        <v>Montgomery, Alabama, United States</v>
      </c>
      <c r="F313" s="8">
        <f>[1]ALL!E262</f>
        <v>127</v>
      </c>
      <c r="G313" s="8">
        <f>[1]ALL!F262</f>
        <v>82</v>
      </c>
      <c r="H313" s="8">
        <f>[1]ALL!G262</f>
        <v>85.906199999999998</v>
      </c>
      <c r="I313" s="11">
        <f>[1]ALL!H262</f>
        <v>85.906199999999998</v>
      </c>
      <c r="J313" s="11">
        <f>[1]ALL!I262</f>
        <v>29.715699999999998</v>
      </c>
      <c r="K313" s="11">
        <f>[1]ALL!J262</f>
        <v>36.690199999999997</v>
      </c>
      <c r="L313" s="11">
        <f>[1]ALL!K262</f>
        <v>32.0274</v>
      </c>
      <c r="M313" s="11">
        <f>[1]ALL!L262</f>
        <v>0</v>
      </c>
      <c r="N313" s="11">
        <f>[1]ALL!M262</f>
        <v>0</v>
      </c>
      <c r="O313" s="11">
        <f>[1]ALL!N262</f>
        <v>0</v>
      </c>
      <c r="P313" s="11">
        <f>[1]ALL!O262</f>
        <v>0</v>
      </c>
      <c r="Q313" s="11">
        <f>[1]ALL!P262</f>
        <v>0</v>
      </c>
      <c r="R313" s="11">
        <f>[1]ALL!Q262</f>
        <v>0</v>
      </c>
      <c r="S313" s="11">
        <f>[1]ALL!R309</f>
        <v>0</v>
      </c>
      <c r="T313" s="9"/>
      <c r="U313" s="9"/>
      <c r="V313" s="10"/>
    </row>
    <row r="314" spans="1:22">
      <c r="A314" s="2">
        <v>247</v>
      </c>
      <c r="B314" s="1" t="str">
        <f>[1]ALL!A248</f>
        <v>4478F</v>
      </c>
      <c r="C314" s="2" t="str">
        <f>[1]ALL!B248</f>
        <v>Vex Hunters</v>
      </c>
      <c r="D314" s="2" t="str">
        <f>[1]ALL!C248</f>
        <v>Masuk High School Robotics Team</v>
      </c>
      <c r="E314" s="2" t="str">
        <f>[1]ALL!D248</f>
        <v>Monroe, Connecticut, United States</v>
      </c>
      <c r="F314" s="8">
        <f>[1]ALL!E248</f>
        <v>103</v>
      </c>
      <c r="G314" s="8">
        <f>[1]ALL!F248</f>
        <v>81</v>
      </c>
      <c r="H314" s="8">
        <f>[1]ALL!G248</f>
        <v>102.669</v>
      </c>
      <c r="I314" s="11">
        <f>[1]ALL!H248</f>
        <v>92.849500000000006</v>
      </c>
      <c r="J314" s="11">
        <f>[1]ALL!I248</f>
        <v>89.517099999999999</v>
      </c>
      <c r="K314" s="11">
        <f>[1]ALL!J248</f>
        <v>54.122500000000002</v>
      </c>
      <c r="L314" s="11">
        <f>[1]ALL!K248</f>
        <v>102.669</v>
      </c>
      <c r="M314" s="11">
        <f>[1]ALL!L248</f>
        <v>33.683900000000001</v>
      </c>
      <c r="N314" s="11">
        <f>[1]ALL!M248</f>
        <v>1.4581999999999999</v>
      </c>
      <c r="O314" s="11">
        <f>[1]ALL!N248</f>
        <v>13.5002</v>
      </c>
      <c r="P314" s="11">
        <f>[1]ALL!O248</f>
        <v>0</v>
      </c>
      <c r="Q314" s="11">
        <f>[1]ALL!P248</f>
        <v>0</v>
      </c>
      <c r="R314" s="11">
        <f>[1]ALL!Q248</f>
        <v>0</v>
      </c>
      <c r="S314" s="11">
        <f>[1]ALL!R310</f>
        <v>0</v>
      </c>
      <c r="T314" s="9"/>
      <c r="U314" s="9"/>
      <c r="V314" s="10"/>
    </row>
    <row r="315" spans="1:22">
      <c r="A315" s="2">
        <v>221</v>
      </c>
      <c r="B315" s="1" t="str">
        <f>[1]ALL!A222</f>
        <v>3921C</v>
      </c>
      <c r="C315" s="2" t="str">
        <f>[1]ALL!B222</f>
        <v>RoboPhoenix</v>
      </c>
      <c r="D315" s="2" t="str">
        <f>[1]ALL!C222</f>
        <v>Carroll County College And Career Academy</v>
      </c>
      <c r="E315" s="2" t="str">
        <f>[1]ALL!D222</f>
        <v>Carrollton, Georgia, United States</v>
      </c>
      <c r="F315" s="8">
        <f>[1]ALL!E222</f>
        <v>92</v>
      </c>
      <c r="G315" s="8">
        <f>[1]ALL!F222</f>
        <v>81</v>
      </c>
      <c r="H315" s="8">
        <f>[1]ALL!G222</f>
        <v>91.962800000000001</v>
      </c>
      <c r="I315" s="11">
        <f>[1]ALL!H222</f>
        <v>91.962800000000001</v>
      </c>
      <c r="J315" s="11">
        <f>[1]ALL!I222</f>
        <v>78.346400000000003</v>
      </c>
      <c r="K315" s="11">
        <f>[1]ALL!J222</f>
        <v>51.277700000000003</v>
      </c>
      <c r="L315" s="11">
        <f>[1]ALL!K222</f>
        <v>71.2774</v>
      </c>
      <c r="M315" s="11">
        <f>[1]ALL!L222</f>
        <v>71.292500000000004</v>
      </c>
      <c r="N315" s="11">
        <f>[1]ALL!M222</f>
        <v>57.8155</v>
      </c>
      <c r="O315" s="11">
        <f>[1]ALL!N222</f>
        <v>29.249099999999999</v>
      </c>
      <c r="P315" s="11">
        <f>[1]ALL!O222</f>
        <v>20.755099999999999</v>
      </c>
      <c r="Q315" s="11">
        <f>[1]ALL!P222</f>
        <v>38.106099999999998</v>
      </c>
      <c r="R315" s="11">
        <f>[1]ALL!Q222</f>
        <v>0</v>
      </c>
      <c r="S315" s="11">
        <f>[1]ALL!R311</f>
        <v>0</v>
      </c>
      <c r="T315" s="9"/>
      <c r="U315" s="9"/>
      <c r="V315" s="10"/>
    </row>
    <row r="316" spans="1:22">
      <c r="A316" s="2">
        <v>41</v>
      </c>
      <c r="B316" s="1" t="str">
        <f>[1]ALL!A42</f>
        <v>231X</v>
      </c>
      <c r="C316" s="2" t="str">
        <f>[1]ALL!B42</f>
        <v>PASADENA ISD ROBOTICS</v>
      </c>
      <c r="D316" s="2" t="str">
        <f>[1]ALL!C42</f>
        <v>PASADENA ISD ROBOTICS</v>
      </c>
      <c r="E316" s="2" t="str">
        <f>[1]ALL!D42</f>
        <v>HOUSTON, Texas, United States</v>
      </c>
      <c r="F316" s="8">
        <f>[1]ALL!E42</f>
        <v>65</v>
      </c>
      <c r="G316" s="8">
        <f>[1]ALL!F42</f>
        <v>81</v>
      </c>
      <c r="H316" s="8">
        <f>[1]ALL!G42</f>
        <v>45.8598</v>
      </c>
      <c r="I316" s="11">
        <f>[1]ALL!H42</f>
        <v>39.342100000000002</v>
      </c>
      <c r="J316" s="11">
        <f>[1]ALL!I42</f>
        <v>37.2333</v>
      </c>
      <c r="K316" s="11">
        <f>[1]ALL!J42</f>
        <v>39.482999999999997</v>
      </c>
      <c r="L316" s="11">
        <f>[1]ALL!K42</f>
        <v>29.7288</v>
      </c>
      <c r="M316" s="11">
        <f>[1]ALL!L42</f>
        <v>45.8598</v>
      </c>
      <c r="N316" s="11">
        <f>[1]ALL!M42</f>
        <v>0</v>
      </c>
      <c r="O316" s="11">
        <f>[1]ALL!N42</f>
        <v>0</v>
      </c>
      <c r="P316" s="11">
        <f>[1]ALL!O42</f>
        <v>0</v>
      </c>
      <c r="Q316" s="11">
        <f>[1]ALL!P42</f>
        <v>0</v>
      </c>
      <c r="R316" s="11">
        <f>[1]ALL!Q42</f>
        <v>0</v>
      </c>
      <c r="S316" s="11">
        <f>[1]ALL!R312</f>
        <v>0</v>
      </c>
      <c r="T316" s="9"/>
      <c r="U316" s="9"/>
      <c r="V316" s="10"/>
    </row>
    <row r="317" spans="1:22">
      <c r="A317" s="2">
        <v>152</v>
      </c>
      <c r="B317" s="1" t="str">
        <f>[1]ALL!A153</f>
        <v>1841A</v>
      </c>
      <c r="C317" s="2" t="str">
        <f>[1]ALL!B153</f>
        <v>Buff 'n Blue</v>
      </c>
      <c r="D317" s="2" t="str">
        <f>[1]ALL!C153</f>
        <v>Punahou School</v>
      </c>
      <c r="E317" s="2" t="str">
        <f>[1]ALL!D153</f>
        <v>Honolulu, Hawaii, United States</v>
      </c>
      <c r="F317" s="8">
        <f>[1]ALL!E153</f>
        <v>67</v>
      </c>
      <c r="G317" s="8">
        <f>[1]ALL!F153</f>
        <v>80</v>
      </c>
      <c r="H317" s="8">
        <f>[1]ALL!G153</f>
        <v>83.081199999999995</v>
      </c>
      <c r="I317" s="11">
        <f>[1]ALL!H153</f>
        <v>51.180999999999997</v>
      </c>
      <c r="J317" s="11">
        <f>[1]ALL!I153</f>
        <v>83.081199999999995</v>
      </c>
      <c r="K317" s="11">
        <f>[1]ALL!J153</f>
        <v>42.198700000000002</v>
      </c>
      <c r="L317" s="11">
        <f>[1]ALL!K153</f>
        <v>0</v>
      </c>
      <c r="M317" s="11">
        <f>[1]ALL!L153</f>
        <v>0</v>
      </c>
      <c r="N317" s="11">
        <f>[1]ALL!M153</f>
        <v>0</v>
      </c>
      <c r="O317" s="11">
        <f>[1]ALL!N153</f>
        <v>0</v>
      </c>
      <c r="P317" s="11">
        <f>[1]ALL!O153</f>
        <v>0</v>
      </c>
      <c r="Q317" s="11">
        <f>[1]ALL!P153</f>
        <v>0</v>
      </c>
      <c r="R317" s="11">
        <f>[1]ALL!Q153</f>
        <v>0</v>
      </c>
      <c r="S317" s="11">
        <f>[1]ALL!R313</f>
        <v>0</v>
      </c>
      <c r="T317" s="9"/>
      <c r="U317" s="9"/>
      <c r="V317" s="10"/>
    </row>
    <row r="318" spans="1:22">
      <c r="A318" s="2">
        <v>492</v>
      </c>
      <c r="B318" s="1" t="str">
        <f>[1]ALL!A493</f>
        <v>99484</v>
      </c>
      <c r="C318" s="2" t="str">
        <f>[1]ALL!B493</f>
        <v>Knights</v>
      </c>
      <c r="D318" s="2" t="str">
        <f>[1]ALL!C493</f>
        <v>Christian Academy in Japan</v>
      </c>
      <c r="E318" s="2" t="str">
        <f>[1]ALL!D493</f>
        <v>Higashi Kurume, Tokyo, Japan</v>
      </c>
      <c r="F318" s="8">
        <f>[1]ALL!E493</f>
        <v>45</v>
      </c>
      <c r="G318" s="8">
        <f>[1]ALL!F493</f>
        <v>80</v>
      </c>
      <c r="H318" s="8">
        <f>[1]ALL!G493</f>
        <v>68.050200000000004</v>
      </c>
      <c r="I318" s="11">
        <f>[1]ALL!H493</f>
        <v>68.050200000000004</v>
      </c>
      <c r="J318" s="11">
        <f>[1]ALL!I493</f>
        <v>0</v>
      </c>
      <c r="K318" s="11">
        <f>[1]ALL!J493</f>
        <v>0</v>
      </c>
      <c r="L318" s="11">
        <f>[1]ALL!K493</f>
        <v>0</v>
      </c>
      <c r="M318" s="11">
        <f>[1]ALL!L493</f>
        <v>0</v>
      </c>
      <c r="N318" s="11">
        <f>[1]ALL!M493</f>
        <v>0</v>
      </c>
      <c r="O318" s="11">
        <f>[1]ALL!N493</f>
        <v>0</v>
      </c>
      <c r="P318" s="11">
        <f>[1]ALL!O493</f>
        <v>0</v>
      </c>
      <c r="Q318" s="11">
        <f>[1]ALL!P493</f>
        <v>0</v>
      </c>
      <c r="R318" s="11">
        <f>[1]ALL!Q493</f>
        <v>0</v>
      </c>
      <c r="S318" s="11">
        <f>[1]ALL!R314</f>
        <v>0</v>
      </c>
      <c r="T318" s="9"/>
      <c r="U318" s="9"/>
      <c r="V318" s="10"/>
    </row>
    <row r="319" spans="1:22">
      <c r="A319" s="2">
        <v>220</v>
      </c>
      <c r="B319" s="1" t="str">
        <f>[1]ALL!A221</f>
        <v>3921B</v>
      </c>
      <c r="C319" s="2" t="str">
        <f>[1]ALL!B221</f>
        <v>Martin II</v>
      </c>
      <c r="D319" s="2" t="str">
        <f>[1]ALL!C221</f>
        <v>Carroll County College And Career Academy</v>
      </c>
      <c r="E319" s="2" t="str">
        <f>[1]ALL!D221</f>
        <v>Carrollton, Georgia, United States</v>
      </c>
      <c r="F319" s="8">
        <f>[1]ALL!E221</f>
        <v>179</v>
      </c>
      <c r="G319" s="8">
        <f>[1]ALL!F221</f>
        <v>78</v>
      </c>
      <c r="H319" s="8">
        <f>[1]ALL!G221</f>
        <v>119.768</v>
      </c>
      <c r="I319" s="11">
        <f>[1]ALL!H221</f>
        <v>119.768</v>
      </c>
      <c r="J319" s="11">
        <f>[1]ALL!I221</f>
        <v>70.805499999999995</v>
      </c>
      <c r="K319" s="11">
        <f>[1]ALL!J221</f>
        <v>84.155799999999999</v>
      </c>
      <c r="L319" s="11">
        <f>[1]ALL!K221</f>
        <v>84.516499999999994</v>
      </c>
      <c r="M319" s="11">
        <f>[1]ALL!L221</f>
        <v>69.578000000000003</v>
      </c>
      <c r="N319" s="11">
        <f>[1]ALL!M221</f>
        <v>75.413399999999996</v>
      </c>
      <c r="O319" s="11">
        <f>[1]ALL!N221</f>
        <v>34.061199999999999</v>
      </c>
      <c r="P319" s="11">
        <f>[1]ALL!O221</f>
        <v>23.380299999999998</v>
      </c>
      <c r="Q319" s="11">
        <f>[1]ALL!P221</f>
        <v>24.623000000000001</v>
      </c>
      <c r="R319" s="11">
        <f>[1]ALL!Q221</f>
        <v>0</v>
      </c>
      <c r="S319" s="11">
        <f>[1]ALL!R315</f>
        <v>1.9636</v>
      </c>
      <c r="T319" s="9"/>
      <c r="U319" s="9"/>
      <c r="V319" s="10"/>
    </row>
    <row r="320" spans="1:22">
      <c r="A320" s="2">
        <v>325</v>
      </c>
      <c r="B320" s="1" t="str">
        <f>[1]ALL!A326</f>
        <v>6135D</v>
      </c>
      <c r="C320" s="2" t="str">
        <f>[1]ALL!B326</f>
        <v>CHHS Bruins D</v>
      </c>
      <c r="D320" s="2" t="str">
        <f>[1]ALL!C326</f>
        <v>Central Hardin High School PLTW</v>
      </c>
      <c r="E320" s="2" t="str">
        <f>[1]ALL!D326</f>
        <v>Cecilia, Kentucky, United States</v>
      </c>
      <c r="F320" s="8">
        <f>[1]ALL!E326</f>
        <v>127</v>
      </c>
      <c r="G320" s="8">
        <f>[1]ALL!F326</f>
        <v>78</v>
      </c>
      <c r="H320" s="8">
        <f>[1]ALL!G326</f>
        <v>81.403899999999993</v>
      </c>
      <c r="I320" s="11">
        <f>[1]ALL!H326</f>
        <v>60.366300000000003</v>
      </c>
      <c r="J320" s="11">
        <f>[1]ALL!I326</f>
        <v>63.011299999999999</v>
      </c>
      <c r="K320" s="11">
        <f>[1]ALL!J326</f>
        <v>32.430599999999998</v>
      </c>
      <c r="L320" s="11">
        <f>[1]ALL!K326</f>
        <v>40.133800000000001</v>
      </c>
      <c r="M320" s="11">
        <f>[1]ALL!L326</f>
        <v>44.636800000000001</v>
      </c>
      <c r="N320" s="11">
        <f>[1]ALL!M326</f>
        <v>80.373699999999999</v>
      </c>
      <c r="O320" s="11">
        <f>[1]ALL!N326</f>
        <v>81.403899999999993</v>
      </c>
      <c r="P320" s="11">
        <f>[1]ALL!O326</f>
        <v>0</v>
      </c>
      <c r="Q320" s="11">
        <f>[1]ALL!P326</f>
        <v>0</v>
      </c>
      <c r="R320" s="11">
        <f>[1]ALL!Q326</f>
        <v>0</v>
      </c>
      <c r="S320" s="11">
        <f>[1]ALL!R316</f>
        <v>17.246700000000001</v>
      </c>
      <c r="T320" s="9"/>
      <c r="U320" s="9"/>
      <c r="V320" s="10"/>
    </row>
    <row r="321" spans="1:22">
      <c r="A321" s="2">
        <v>232</v>
      </c>
      <c r="B321" s="1" t="str">
        <f>[1]ALL!A233</f>
        <v>4146V</v>
      </c>
      <c r="C321" s="2" t="str">
        <f>[1]ALL!B233</f>
        <v>Sabercat Robotics</v>
      </c>
      <c r="D321" s="2" t="str">
        <f>[1]ALL!C233</f>
        <v>Scottsdale Unified Schools-- Saguaro High School</v>
      </c>
      <c r="E321" s="2" t="str">
        <f>[1]ALL!D233</f>
        <v>Scottsdale, Arizona, United States</v>
      </c>
      <c r="F321" s="8">
        <f>[1]ALL!E233</f>
        <v>130</v>
      </c>
      <c r="G321" s="8">
        <f>[1]ALL!F233</f>
        <v>77</v>
      </c>
      <c r="H321" s="8">
        <f>[1]ALL!G233</f>
        <v>118.139</v>
      </c>
      <c r="I321" s="11">
        <f>[1]ALL!H233</f>
        <v>118.139</v>
      </c>
      <c r="J321" s="11">
        <f>[1]ALL!I233</f>
        <v>88.537400000000005</v>
      </c>
      <c r="K321" s="11">
        <f>[1]ALL!J233</f>
        <v>75.010599999999997</v>
      </c>
      <c r="L321" s="11">
        <f>[1]ALL!K233</f>
        <v>70.727900000000005</v>
      </c>
      <c r="M321" s="11">
        <f>[1]ALL!L233</f>
        <v>0</v>
      </c>
      <c r="N321" s="11">
        <f>[1]ALL!M233</f>
        <v>0</v>
      </c>
      <c r="O321" s="11">
        <f>[1]ALL!N233</f>
        <v>0</v>
      </c>
      <c r="P321" s="11">
        <f>[1]ALL!O233</f>
        <v>0</v>
      </c>
      <c r="Q321" s="11">
        <f>[1]ALL!P233</f>
        <v>0</v>
      </c>
      <c r="R321" s="11">
        <f>[1]ALL!Q233</f>
        <v>0</v>
      </c>
      <c r="S321" s="11">
        <f>[1]ALL!R317</f>
        <v>0</v>
      </c>
      <c r="T321" s="9"/>
      <c r="U321" s="9"/>
      <c r="V321" s="10"/>
    </row>
    <row r="322" spans="1:22">
      <c r="A322" s="2">
        <v>69</v>
      </c>
      <c r="B322" s="1" t="str">
        <f>[1]ALL!A70</f>
        <v>569C</v>
      </c>
      <c r="C322" s="2" t="str">
        <f>[1]ALL!B70</f>
        <v>NightHawk Robotics Club</v>
      </c>
      <c r="D322" s="2" t="str">
        <f>[1]ALL!C70</f>
        <v>Murrieta Valley High School</v>
      </c>
      <c r="E322" s="2" t="str">
        <f>[1]ALL!D70</f>
        <v>Murrieta, California, United States</v>
      </c>
      <c r="F322" s="8">
        <f>[1]ALL!E70</f>
        <v>69</v>
      </c>
      <c r="G322" s="8">
        <f>[1]ALL!F70</f>
        <v>77</v>
      </c>
      <c r="H322" s="8">
        <f>[1]ALL!G70</f>
        <v>68.920500000000004</v>
      </c>
      <c r="I322" s="11">
        <f>[1]ALL!H70</f>
        <v>58.436900000000001</v>
      </c>
      <c r="J322" s="11">
        <f>[1]ALL!I70</f>
        <v>48.630299999999998</v>
      </c>
      <c r="K322" s="11">
        <f>[1]ALL!J70</f>
        <v>38.502200000000002</v>
      </c>
      <c r="L322" s="11">
        <f>[1]ALL!K70</f>
        <v>68.920500000000004</v>
      </c>
      <c r="M322" s="11">
        <f>[1]ALL!L70</f>
        <v>45.476799999999997</v>
      </c>
      <c r="N322" s="11">
        <f>[1]ALL!M70</f>
        <v>0</v>
      </c>
      <c r="O322" s="11">
        <f>[1]ALL!N70</f>
        <v>0</v>
      </c>
      <c r="P322" s="11">
        <f>[1]ALL!O70</f>
        <v>0</v>
      </c>
      <c r="Q322" s="11">
        <f>[1]ALL!P70</f>
        <v>0</v>
      </c>
      <c r="R322" s="11">
        <f>[1]ALL!Q70</f>
        <v>0</v>
      </c>
      <c r="S322" s="11">
        <f>[1]ALL!R318</f>
        <v>0</v>
      </c>
      <c r="T322" s="9"/>
      <c r="U322" s="9"/>
      <c r="V322" s="10"/>
    </row>
    <row r="323" spans="1:22">
      <c r="A323" s="2">
        <v>134</v>
      </c>
      <c r="B323" s="1" t="str">
        <f>[1]ALL!A135</f>
        <v>1460B</v>
      </c>
      <c r="C323" s="2" t="str">
        <f>[1]ALL!B135</f>
        <v>Helix</v>
      </c>
      <c r="D323" s="2" t="str">
        <f>[1]ALL!C135</f>
        <v>Sandy Robotics Club</v>
      </c>
      <c r="E323" s="2" t="str">
        <f>[1]ALL!D135</f>
        <v>Sandy, Oregon, United States</v>
      </c>
      <c r="F323" s="8">
        <f>[1]ALL!E135</f>
        <v>182</v>
      </c>
      <c r="G323" s="8">
        <f>[1]ALL!F135</f>
        <v>71</v>
      </c>
      <c r="H323" s="8">
        <f>[1]ALL!G135</f>
        <v>111.279</v>
      </c>
      <c r="I323" s="11">
        <f>[1]ALL!H135</f>
        <v>81.947999999999993</v>
      </c>
      <c r="J323" s="11">
        <f>[1]ALL!I135</f>
        <v>93.352000000000004</v>
      </c>
      <c r="K323" s="11">
        <f>[1]ALL!J135</f>
        <v>93.457499999999996</v>
      </c>
      <c r="L323" s="11">
        <f>[1]ALL!K135</f>
        <v>88.900999999999996</v>
      </c>
      <c r="M323" s="11">
        <f>[1]ALL!L135</f>
        <v>111.279</v>
      </c>
      <c r="N323" s="11">
        <f>[1]ALL!M135</f>
        <v>92.245000000000005</v>
      </c>
      <c r="O323" s="11">
        <f>[1]ALL!N135</f>
        <v>0</v>
      </c>
      <c r="P323" s="11">
        <f>[1]ALL!O135</f>
        <v>0</v>
      </c>
      <c r="Q323" s="11">
        <f>[1]ALL!P135</f>
        <v>0</v>
      </c>
      <c r="R323" s="11">
        <f>[1]ALL!Q135</f>
        <v>0</v>
      </c>
      <c r="S323" s="11">
        <f>[1]ALL!R319</f>
        <v>0</v>
      </c>
      <c r="T323" s="9"/>
      <c r="U323" s="9"/>
      <c r="V323" s="10"/>
    </row>
    <row r="324" spans="1:22">
      <c r="A324" s="2">
        <v>472</v>
      </c>
      <c r="B324" s="1" t="str">
        <f>[1]ALL!A473</f>
        <v>9727B</v>
      </c>
      <c r="C324" s="2" t="str">
        <f>[1]ALL!B473</f>
        <v>CBTIS 110_B</v>
      </c>
      <c r="D324" s="2" t="str">
        <f>[1]ALL!C473</f>
        <v>CBTIS 110</v>
      </c>
      <c r="E324" s="2" t="str">
        <f>[1]ALL!D473</f>
        <v>Durango, Durango, Mexico</v>
      </c>
      <c r="F324" s="8">
        <f>[1]ALL!E473</f>
        <v>12</v>
      </c>
      <c r="G324" s="8">
        <f>[1]ALL!F473</f>
        <v>71</v>
      </c>
      <c r="H324" s="8">
        <f>[1]ALL!G473</f>
        <v>106.756</v>
      </c>
      <c r="I324" s="11">
        <f>[1]ALL!H473</f>
        <v>106.756</v>
      </c>
      <c r="J324" s="11">
        <f>[1]ALL!I473</f>
        <v>75.142799999999994</v>
      </c>
      <c r="K324" s="11">
        <f>[1]ALL!J473</f>
        <v>64.145799999999994</v>
      </c>
      <c r="L324" s="11">
        <f>[1]ALL!K473</f>
        <v>56.624400000000001</v>
      </c>
      <c r="M324" s="11">
        <f>[1]ALL!L473</f>
        <v>95.110600000000005</v>
      </c>
      <c r="N324" s="11">
        <f>[1]ALL!M473</f>
        <v>90.411000000000001</v>
      </c>
      <c r="O324" s="11">
        <f>[1]ALL!N473</f>
        <v>0</v>
      </c>
      <c r="P324" s="11">
        <f>[1]ALL!O473</f>
        <v>0</v>
      </c>
      <c r="Q324" s="11">
        <f>[1]ALL!P473</f>
        <v>0</v>
      </c>
      <c r="R324" s="11">
        <f>[1]ALL!Q473</f>
        <v>0</v>
      </c>
      <c r="S324" s="11">
        <f>[1]ALL!R320</f>
        <v>0</v>
      </c>
      <c r="T324" s="9"/>
      <c r="U324" s="9"/>
      <c r="V324" s="10"/>
    </row>
    <row r="325" spans="1:22">
      <c r="A325" s="2">
        <v>115</v>
      </c>
      <c r="B325" s="1" t="str">
        <f>[1]ALL!A116</f>
        <v>1138G</v>
      </c>
      <c r="C325" s="2" t="str">
        <f>[1]ALL!B116</f>
        <v>Eagle Engineering</v>
      </c>
      <c r="D325" s="2" t="str">
        <f>[1]ALL!C116</f>
        <v>Chaminade College Preparatory</v>
      </c>
      <c r="E325" s="2" t="str">
        <f>[1]ALL!D116</f>
        <v>West Hills, California, United States</v>
      </c>
      <c r="F325" s="8">
        <f>[1]ALL!E116</f>
        <v>96</v>
      </c>
      <c r="G325" s="8">
        <f>[1]ALL!F116</f>
        <v>70</v>
      </c>
      <c r="H325" s="8">
        <f>[1]ALL!G116</f>
        <v>56.688899999999997</v>
      </c>
      <c r="I325" s="11">
        <f>[1]ALL!H116</f>
        <v>42.701900000000002</v>
      </c>
      <c r="J325" s="11">
        <f>[1]ALL!I116</f>
        <v>46.104999999999997</v>
      </c>
      <c r="K325" s="11">
        <f>[1]ALL!J116</f>
        <v>54.456600000000002</v>
      </c>
      <c r="L325" s="11">
        <f>[1]ALL!K116</f>
        <v>56.688899999999997</v>
      </c>
      <c r="M325" s="11">
        <f>[1]ALL!L116</f>
        <v>19.660799999999998</v>
      </c>
      <c r="N325" s="11">
        <f>[1]ALL!M116</f>
        <v>11.702</v>
      </c>
      <c r="O325" s="11">
        <f>[1]ALL!N116</f>
        <v>0</v>
      </c>
      <c r="P325" s="11">
        <f>[1]ALL!O116</f>
        <v>0</v>
      </c>
      <c r="Q325" s="11">
        <f>[1]ALL!P116</f>
        <v>0</v>
      </c>
      <c r="R325" s="11">
        <f>[1]ALL!Q116</f>
        <v>0</v>
      </c>
      <c r="S325" s="11">
        <f>[1]ALL!R321</f>
        <v>0</v>
      </c>
      <c r="T325" s="9"/>
      <c r="U325" s="9"/>
      <c r="V325" s="10"/>
    </row>
    <row r="326" spans="1:22">
      <c r="A326" s="2">
        <v>446</v>
      </c>
      <c r="B326" s="1" t="str">
        <f>[1]ALL!A447</f>
        <v>9031C</v>
      </c>
      <c r="C326" s="2" t="str">
        <f>[1]ALL!B447</f>
        <v>Robotigers</v>
      </c>
      <c r="D326" s="2" t="str">
        <f>[1]ALL!C447</f>
        <v>Holy Cross School</v>
      </c>
      <c r="E326" s="2" t="str">
        <f>[1]ALL!D447</f>
        <v>New Orleans, Louisiana, United States</v>
      </c>
      <c r="F326" s="8">
        <f>[1]ALL!E447</f>
        <v>71</v>
      </c>
      <c r="G326" s="8">
        <f>[1]ALL!F447</f>
        <v>70</v>
      </c>
      <c r="H326" s="8">
        <f>[1]ALL!G447</f>
        <v>99.681700000000006</v>
      </c>
      <c r="I326" s="11">
        <f>[1]ALL!H447</f>
        <v>90.902699999999996</v>
      </c>
      <c r="J326" s="11">
        <f>[1]ALL!I447</f>
        <v>74.163200000000003</v>
      </c>
      <c r="K326" s="11">
        <f>[1]ALL!J447</f>
        <v>99.681700000000006</v>
      </c>
      <c r="L326" s="11">
        <f>[1]ALL!K447</f>
        <v>67.584500000000006</v>
      </c>
      <c r="M326" s="11">
        <f>[1]ALL!L447</f>
        <v>53.454300000000003</v>
      </c>
      <c r="N326" s="11">
        <f>[1]ALL!M447</f>
        <v>0</v>
      </c>
      <c r="O326" s="11">
        <f>[1]ALL!N447</f>
        <v>0</v>
      </c>
      <c r="P326" s="11">
        <f>[1]ALL!O447</f>
        <v>0</v>
      </c>
      <c r="Q326" s="11">
        <f>[1]ALL!P447</f>
        <v>0</v>
      </c>
      <c r="R326" s="11">
        <f>[1]ALL!Q447</f>
        <v>0</v>
      </c>
      <c r="S326" s="11">
        <f>[1]ALL!R322</f>
        <v>0</v>
      </c>
      <c r="T326" s="9"/>
      <c r="U326" s="9"/>
      <c r="V326" s="10"/>
    </row>
    <row r="327" spans="1:22">
      <c r="A327" s="2">
        <v>360</v>
      </c>
      <c r="B327" s="1" t="str">
        <f>[1]ALL!A361</f>
        <v>7110E</v>
      </c>
      <c r="C327" s="2" t="str">
        <f>[1]ALL!B361</f>
        <v>Fired Up!</v>
      </c>
      <c r="D327" s="2" t="str">
        <f>[1]ALL!C361</f>
        <v>Carroll Senior High School</v>
      </c>
      <c r="E327" s="2" t="str">
        <f>[1]ALL!D361</f>
        <v>Southlake, Texas, United States</v>
      </c>
      <c r="F327" s="8">
        <f>[1]ALL!E361</f>
        <v>0</v>
      </c>
      <c r="G327" s="8">
        <f>[1]ALL!F361</f>
        <v>70</v>
      </c>
      <c r="H327" s="8">
        <f>[1]ALL!G361</f>
        <v>74.135099999999994</v>
      </c>
      <c r="I327" s="11">
        <f>[1]ALL!H361</f>
        <v>74.135099999999994</v>
      </c>
      <c r="J327" s="11">
        <f>[1]ALL!I361</f>
        <v>27.159800000000001</v>
      </c>
      <c r="K327" s="11">
        <f>[1]ALL!J361</f>
        <v>70.953299999999999</v>
      </c>
      <c r="L327" s="11">
        <f>[1]ALL!K361</f>
        <v>13.7067</v>
      </c>
      <c r="M327" s="11">
        <f>[1]ALL!L361</f>
        <v>3.4537800000000001</v>
      </c>
      <c r="N327" s="11">
        <f>[1]ALL!M361</f>
        <v>0</v>
      </c>
      <c r="O327" s="11">
        <f>[1]ALL!N361</f>
        <v>0</v>
      </c>
      <c r="P327" s="11">
        <f>[1]ALL!O361</f>
        <v>0</v>
      </c>
      <c r="Q327" s="11">
        <f>[1]ALL!P361</f>
        <v>0</v>
      </c>
      <c r="R327" s="11">
        <f>[1]ALL!Q361</f>
        <v>0</v>
      </c>
      <c r="S327" s="11">
        <f>[1]ALL!R323</f>
        <v>0</v>
      </c>
      <c r="T327" s="9"/>
      <c r="U327" s="9"/>
      <c r="V327" s="10"/>
    </row>
    <row r="328" spans="1:22">
      <c r="A328" s="2">
        <v>225</v>
      </c>
      <c r="B328" s="1" t="str">
        <f>[1]ALL!A226</f>
        <v>4000</v>
      </c>
      <c r="C328" s="2" t="str">
        <f>[1]ALL!B226</f>
        <v>Omni Eagles</v>
      </c>
      <c r="D328" s="2" t="str">
        <f>[1]ALL!C226</f>
        <v>Heritage Academy</v>
      </c>
      <c r="E328" s="2" t="str">
        <f>[1]ALL!D226</f>
        <v>Quinlan, Texas, United States</v>
      </c>
      <c r="F328" s="8">
        <f>[1]ALL!E226</f>
        <v>236</v>
      </c>
      <c r="G328" s="8">
        <f>[1]ALL!F226</f>
        <v>69</v>
      </c>
      <c r="H328" s="8">
        <f>[1]ALL!G226</f>
        <v>130.08699999999999</v>
      </c>
      <c r="I328" s="11">
        <f>[1]ALL!H226</f>
        <v>95.747799999999998</v>
      </c>
      <c r="J328" s="11">
        <f>[1]ALL!I226</f>
        <v>76.957300000000004</v>
      </c>
      <c r="K328" s="11">
        <f>[1]ALL!J226</f>
        <v>80.509500000000003</v>
      </c>
      <c r="L328" s="11">
        <f>[1]ALL!K226</f>
        <v>130.08699999999999</v>
      </c>
      <c r="M328" s="11">
        <f>[1]ALL!L226</f>
        <v>115.092</v>
      </c>
      <c r="N328" s="11">
        <f>[1]ALL!M226</f>
        <v>84.1477</v>
      </c>
      <c r="O328" s="11">
        <f>[1]ALL!N226</f>
        <v>92.0381</v>
      </c>
      <c r="P328" s="11">
        <f>[1]ALL!O226</f>
        <v>0</v>
      </c>
      <c r="Q328" s="11">
        <f>[1]ALL!P226</f>
        <v>0</v>
      </c>
      <c r="R328" s="11">
        <f>[1]ALL!Q226</f>
        <v>0</v>
      </c>
      <c r="S328" s="11">
        <f>[1]ALL!R324</f>
        <v>0</v>
      </c>
      <c r="T328" s="9"/>
      <c r="U328" s="9"/>
      <c r="V328" s="10"/>
    </row>
    <row r="329" spans="1:22">
      <c r="A329" s="2">
        <v>67</v>
      </c>
      <c r="B329" s="1" t="str">
        <f>[1]ALL!A68</f>
        <v>563</v>
      </c>
      <c r="C329" s="2" t="str">
        <f>[1]ALL!B68</f>
        <v>Titan Robotics</v>
      </c>
      <c r="D329" s="2" t="str">
        <f>[1]ALL!C68</f>
        <v>Nipomo High School</v>
      </c>
      <c r="E329" s="2" t="str">
        <f>[1]ALL!D68</f>
        <v>Nipomo, California, United States</v>
      </c>
      <c r="F329" s="8">
        <f>[1]ALL!E68</f>
        <v>126</v>
      </c>
      <c r="G329" s="8">
        <f>[1]ALL!F68</f>
        <v>65</v>
      </c>
      <c r="H329" s="8">
        <f>[1]ALL!G68</f>
        <v>116.889</v>
      </c>
      <c r="I329" s="11">
        <f>[1]ALL!H68</f>
        <v>97.425600000000003</v>
      </c>
      <c r="J329" s="11">
        <f>[1]ALL!I68</f>
        <v>84.377399999999994</v>
      </c>
      <c r="K329" s="11">
        <f>[1]ALL!J68</f>
        <v>98.027699999999996</v>
      </c>
      <c r="L329" s="11">
        <f>[1]ALL!K68</f>
        <v>116.889</v>
      </c>
      <c r="M329" s="11">
        <f>[1]ALL!L68</f>
        <v>94.840900000000005</v>
      </c>
      <c r="N329" s="11">
        <f>[1]ALL!M68</f>
        <v>109.651</v>
      </c>
      <c r="O329" s="11">
        <f>[1]ALL!N68</f>
        <v>0</v>
      </c>
      <c r="P329" s="11">
        <f>[1]ALL!O68</f>
        <v>0</v>
      </c>
      <c r="Q329" s="11">
        <f>[1]ALL!P68</f>
        <v>0</v>
      </c>
      <c r="R329" s="11">
        <f>[1]ALL!Q68</f>
        <v>0</v>
      </c>
      <c r="S329" s="11">
        <f>[1]ALL!R325</f>
        <v>0</v>
      </c>
      <c r="T329" s="9"/>
      <c r="U329" s="9"/>
      <c r="V329" s="10"/>
    </row>
    <row r="330" spans="1:22">
      <c r="A330" s="2">
        <v>464</v>
      </c>
      <c r="B330" s="1" t="str">
        <f>[1]ALL!A465</f>
        <v>9458D</v>
      </c>
      <c r="C330" s="2" t="str">
        <f>[1]ALL!B465</f>
        <v>Robo Chiefs</v>
      </c>
      <c r="D330" s="2" t="str">
        <f>[1]ALL!C465</f>
        <v>Massapequa School District</v>
      </c>
      <c r="E330" s="2" t="str">
        <f>[1]ALL!D465</f>
        <v>Massapequa, New York, United States</v>
      </c>
      <c r="F330" s="8">
        <f>[1]ALL!E465</f>
        <v>115</v>
      </c>
      <c r="G330" s="8">
        <f>[1]ALL!F465</f>
        <v>63</v>
      </c>
      <c r="H330" s="8">
        <f>[1]ALL!G465</f>
        <v>80.578100000000006</v>
      </c>
      <c r="I330" s="11">
        <f>[1]ALL!H465</f>
        <v>49.837200000000003</v>
      </c>
      <c r="J330" s="11">
        <f>[1]ALL!I465</f>
        <v>55.277000000000001</v>
      </c>
      <c r="K330" s="11">
        <f>[1]ALL!J465</f>
        <v>64.661600000000007</v>
      </c>
      <c r="L330" s="11">
        <f>[1]ALL!K465</f>
        <v>80.578100000000006</v>
      </c>
      <c r="M330" s="11">
        <f>[1]ALL!L465</f>
        <v>54.572699999999998</v>
      </c>
      <c r="N330" s="11">
        <f>[1]ALL!M465</f>
        <v>38.407299999999999</v>
      </c>
      <c r="O330" s="11">
        <f>[1]ALL!N465</f>
        <v>0</v>
      </c>
      <c r="P330" s="11">
        <f>[1]ALL!O465</f>
        <v>0</v>
      </c>
      <c r="Q330" s="11">
        <f>[1]ALL!P465</f>
        <v>0</v>
      </c>
      <c r="R330" s="11">
        <f>[1]ALL!Q465</f>
        <v>0</v>
      </c>
      <c r="S330" s="11">
        <f>[1]ALL!R326</f>
        <v>0</v>
      </c>
      <c r="T330" s="9"/>
      <c r="U330" s="9"/>
      <c r="V330" s="10"/>
    </row>
    <row r="331" spans="1:22">
      <c r="A331" s="2">
        <v>431</v>
      </c>
      <c r="B331" s="1" t="str">
        <f>[1]ALL!A432</f>
        <v>8746</v>
      </c>
      <c r="C331" s="2" t="str">
        <f>[1]ALL!B432</f>
        <v>Black Knights</v>
      </c>
      <c r="D331" s="2" t="str">
        <f>[1]ALL!C432</f>
        <v>Rome Free Academy</v>
      </c>
      <c r="E331" s="2" t="str">
        <f>[1]ALL!D432</f>
        <v>Rome, New York, United States</v>
      </c>
      <c r="F331" s="8">
        <f>[1]ALL!E432</f>
        <v>62</v>
      </c>
      <c r="G331" s="8">
        <f>[1]ALL!F432</f>
        <v>62</v>
      </c>
      <c r="H331" s="8">
        <f>[1]ALL!G432</f>
        <v>64.596800000000002</v>
      </c>
      <c r="I331" s="11">
        <f>[1]ALL!H432</f>
        <v>64.596800000000002</v>
      </c>
      <c r="J331" s="11">
        <f>[1]ALL!I432</f>
        <v>46.479100000000003</v>
      </c>
      <c r="K331" s="11">
        <f>[1]ALL!J432</f>
        <v>61.801699999999997</v>
      </c>
      <c r="L331" s="11">
        <f>[1]ALL!K432</f>
        <v>0</v>
      </c>
      <c r="M331" s="11">
        <f>[1]ALL!L432</f>
        <v>19.822600000000001</v>
      </c>
      <c r="N331" s="11">
        <f>[1]ALL!M432</f>
        <v>3.81467</v>
      </c>
      <c r="O331" s="11">
        <f>[1]ALL!N432</f>
        <v>25.575500000000002</v>
      </c>
      <c r="P331" s="11">
        <f>[1]ALL!O432</f>
        <v>0</v>
      </c>
      <c r="Q331" s="11">
        <f>[1]ALL!P432</f>
        <v>0</v>
      </c>
      <c r="R331" s="11">
        <f>[1]ALL!Q432</f>
        <v>0</v>
      </c>
      <c r="S331" s="11">
        <f>[1]ALL!R327</f>
        <v>0</v>
      </c>
      <c r="T331" s="9"/>
      <c r="U331" s="9"/>
      <c r="V331" s="10"/>
    </row>
    <row r="332" spans="1:22">
      <c r="A332" s="2">
        <v>118</v>
      </c>
      <c r="B332" s="1" t="str">
        <f>[1]ALL!A119</f>
        <v>1233C</v>
      </c>
      <c r="C332" s="2" t="str">
        <f>[1]ALL!B119</f>
        <v>UnderDogs</v>
      </c>
      <c r="D332" s="2" t="str">
        <f>[1]ALL!C119</f>
        <v>Crown Point High School</v>
      </c>
      <c r="E332" s="2" t="str">
        <f>[1]ALL!D119</f>
        <v>Crown Point, Indiana, United States</v>
      </c>
      <c r="F332" s="8">
        <f>[1]ALL!E119</f>
        <v>109</v>
      </c>
      <c r="G332" s="8">
        <f>[1]ALL!F119</f>
        <v>61</v>
      </c>
      <c r="H332" s="8">
        <f>[1]ALL!G119</f>
        <v>95.705500000000001</v>
      </c>
      <c r="I332" s="11">
        <f>[1]ALL!H119</f>
        <v>86.209500000000006</v>
      </c>
      <c r="J332" s="11">
        <f>[1]ALL!I119</f>
        <v>95.705500000000001</v>
      </c>
      <c r="K332" s="11">
        <f>[1]ALL!J119</f>
        <v>65.963999999999999</v>
      </c>
      <c r="L332" s="11">
        <f>[1]ALL!K119</f>
        <v>18.799900000000001</v>
      </c>
      <c r="M332" s="11">
        <f>[1]ALL!L119</f>
        <v>72.849400000000003</v>
      </c>
      <c r="N332" s="11">
        <f>[1]ALL!M119</f>
        <v>61.650500000000001</v>
      </c>
      <c r="O332" s="11">
        <f>[1]ALL!N119</f>
        <v>15.347899999999999</v>
      </c>
      <c r="P332" s="11">
        <f>[1]ALL!O119</f>
        <v>39.049399999999999</v>
      </c>
      <c r="Q332" s="11">
        <f>[1]ALL!P119</f>
        <v>13.045500000000001</v>
      </c>
      <c r="R332" s="11">
        <f>[1]ALL!Q119</f>
        <v>-3.6117400000000002</v>
      </c>
      <c r="S332" s="11">
        <f>[1]ALL!R328</f>
        <v>0</v>
      </c>
      <c r="T332" s="9"/>
      <c r="U332" s="9"/>
      <c r="V332" s="10"/>
    </row>
    <row r="333" spans="1:22">
      <c r="A333" s="2">
        <v>357</v>
      </c>
      <c r="B333" s="1" t="str">
        <f>[1]ALL!A358</f>
        <v>7010A</v>
      </c>
      <c r="C333" s="2" t="str">
        <f>[1]ALL!B358</f>
        <v>Conalep Chiapas A</v>
      </c>
      <c r="D333" s="2" t="str">
        <f>[1]ALL!C358</f>
        <v>Colegio Nacional de Educación Profesional Técnica (Conalep Chiapas)</v>
      </c>
      <c r="E333" s="2" t="str">
        <f>[1]ALL!D358</f>
        <v>Tuxtal Gutierrez , Chiapas, Chiapas, Mexico</v>
      </c>
      <c r="F333" s="8">
        <f>[1]ALL!E358</f>
        <v>93</v>
      </c>
      <c r="G333" s="8">
        <f>[1]ALL!F358</f>
        <v>61</v>
      </c>
      <c r="H333" s="8">
        <f>[1]ALL!G358</f>
        <v>105.673</v>
      </c>
      <c r="I333" s="11">
        <f>[1]ALL!H358</f>
        <v>87.343599999999995</v>
      </c>
      <c r="J333" s="11">
        <f>[1]ALL!I358</f>
        <v>105.673</v>
      </c>
      <c r="K333" s="11">
        <f>[1]ALL!J358</f>
        <v>68.730900000000005</v>
      </c>
      <c r="L333" s="11">
        <f>[1]ALL!K358</f>
        <v>89.027699999999996</v>
      </c>
      <c r="M333" s="11">
        <f>[1]ALL!L358</f>
        <v>0</v>
      </c>
      <c r="N333" s="11">
        <f>[1]ALL!M358</f>
        <v>0</v>
      </c>
      <c r="O333" s="11">
        <f>[1]ALL!N358</f>
        <v>0</v>
      </c>
      <c r="P333" s="11">
        <f>[1]ALL!O358</f>
        <v>0</v>
      </c>
      <c r="Q333" s="11">
        <f>[1]ALL!P358</f>
        <v>0</v>
      </c>
      <c r="R333" s="11">
        <f>[1]ALL!Q358</f>
        <v>0</v>
      </c>
      <c r="S333" s="11">
        <f>[1]ALL!R329</f>
        <v>0</v>
      </c>
      <c r="T333" s="9"/>
      <c r="U333" s="9"/>
      <c r="V333" s="10"/>
    </row>
    <row r="334" spans="1:22">
      <c r="A334" s="2">
        <v>103</v>
      </c>
      <c r="B334" s="1" t="str">
        <f>[1]ALL!A104</f>
        <v>1064P</v>
      </c>
      <c r="C334" s="2" t="str">
        <f>[1]ALL!B104</f>
        <v>OPS - Almost HD</v>
      </c>
      <c r="D334" s="2" t="str">
        <f>[1]ALL!C104</f>
        <v>Omaha North Magnet High School</v>
      </c>
      <c r="E334" s="2" t="str">
        <f>[1]ALL!D104</f>
        <v>Omaha, Nebraska, United States</v>
      </c>
      <c r="F334" s="8">
        <f>[1]ALL!E104</f>
        <v>190</v>
      </c>
      <c r="G334" s="8">
        <f>[1]ALL!F104</f>
        <v>60</v>
      </c>
      <c r="H334" s="8">
        <f>[1]ALL!G104</f>
        <v>106.61</v>
      </c>
      <c r="I334" s="11">
        <f>[1]ALL!H104</f>
        <v>80.028700000000001</v>
      </c>
      <c r="J334" s="11">
        <f>[1]ALL!I104</f>
        <v>100.932</v>
      </c>
      <c r="K334" s="11">
        <f>[1]ALL!J104</f>
        <v>106.61</v>
      </c>
      <c r="L334" s="11">
        <f>[1]ALL!K104</f>
        <v>72.363600000000005</v>
      </c>
      <c r="M334" s="11">
        <f>[1]ALL!L104</f>
        <v>35.6676</v>
      </c>
      <c r="N334" s="11">
        <f>[1]ALL!M104</f>
        <v>64.250500000000002</v>
      </c>
      <c r="O334" s="11">
        <f>[1]ALL!N104</f>
        <v>0</v>
      </c>
      <c r="P334" s="11">
        <f>[1]ALL!O104</f>
        <v>0</v>
      </c>
      <c r="Q334" s="11">
        <f>[1]ALL!P104</f>
        <v>0</v>
      </c>
      <c r="R334" s="11">
        <f>[1]ALL!Q104</f>
        <v>0</v>
      </c>
      <c r="S334" s="11">
        <f>[1]ALL!R330</f>
        <v>0</v>
      </c>
      <c r="T334" s="9"/>
      <c r="U334" s="9"/>
      <c r="V334" s="10"/>
    </row>
    <row r="335" spans="1:22">
      <c r="A335" s="2">
        <v>214</v>
      </c>
      <c r="B335" s="1" t="str">
        <f>[1]ALL!A215</f>
        <v>3536M</v>
      </c>
      <c r="C335" s="2" t="str">
        <f>[1]ALL!B215</f>
        <v>Raider Robotics</v>
      </c>
      <c r="D335" s="2" t="str">
        <f>[1]ALL!C215</f>
        <v>North Forsyth High School</v>
      </c>
      <c r="E335" s="2" t="str">
        <f>[1]ALL!D215</f>
        <v>Cumming, Georgia, United States</v>
      </c>
      <c r="F335" s="8">
        <f>[1]ALL!E215</f>
        <v>118</v>
      </c>
      <c r="G335" s="8">
        <f>[1]ALL!F215</f>
        <v>59</v>
      </c>
      <c r="H335" s="8">
        <f>[1]ALL!G215</f>
        <v>76.988200000000006</v>
      </c>
      <c r="I335" s="11">
        <f>[1]ALL!H215</f>
        <v>60.525399999999998</v>
      </c>
      <c r="J335" s="11">
        <f>[1]ALL!I215</f>
        <v>55.127400000000002</v>
      </c>
      <c r="K335" s="11">
        <f>[1]ALL!J215</f>
        <v>16.590199999999999</v>
      </c>
      <c r="L335" s="11">
        <f>[1]ALL!K215</f>
        <v>49.069600000000001</v>
      </c>
      <c r="M335" s="11">
        <f>[1]ALL!L215</f>
        <v>76.988200000000006</v>
      </c>
      <c r="N335" s="11">
        <f>[1]ALL!M215</f>
        <v>74.298599999999993</v>
      </c>
      <c r="O335" s="11">
        <f>[1]ALL!N215</f>
        <v>58.884799999999998</v>
      </c>
      <c r="P335" s="11">
        <f>[1]ALL!O215</f>
        <v>44.544800000000002</v>
      </c>
      <c r="Q335" s="11">
        <f>[1]ALL!P215</f>
        <v>0</v>
      </c>
      <c r="R335" s="11">
        <f>[1]ALL!Q215</f>
        <v>0</v>
      </c>
      <c r="S335" s="11">
        <f>[1]ALL!R331</f>
        <v>0</v>
      </c>
      <c r="T335" s="9"/>
      <c r="U335" s="9"/>
      <c r="V335" s="10"/>
    </row>
    <row r="336" spans="1:22">
      <c r="A336" s="2">
        <v>463</v>
      </c>
      <c r="B336" s="1" t="str">
        <f>[1]ALL!A464</f>
        <v>9458</v>
      </c>
      <c r="C336" s="2" t="str">
        <f>[1]ALL!B464</f>
        <v>Robo Chiefs</v>
      </c>
      <c r="D336" s="2" t="str">
        <f>[1]ALL!C464</f>
        <v>Massapequa School District</v>
      </c>
      <c r="E336" s="2" t="str">
        <f>[1]ALL!D464</f>
        <v>Massapequa, New York, United States</v>
      </c>
      <c r="F336" s="8">
        <f>[1]ALL!E464</f>
        <v>72</v>
      </c>
      <c r="G336" s="8">
        <f>[1]ALL!F464</f>
        <v>59</v>
      </c>
      <c r="H336" s="8">
        <f>[1]ALL!G464</f>
        <v>80.007099999999994</v>
      </c>
      <c r="I336" s="11">
        <f>[1]ALL!H464</f>
        <v>70.394599999999997</v>
      </c>
      <c r="J336" s="11">
        <f>[1]ALL!I464</f>
        <v>18.3508</v>
      </c>
      <c r="K336" s="11">
        <f>[1]ALL!J464</f>
        <v>35.317599999999999</v>
      </c>
      <c r="L336" s="11">
        <f>[1]ALL!K464</f>
        <v>38.368499999999997</v>
      </c>
      <c r="M336" s="11">
        <f>[1]ALL!L464</f>
        <v>47.3581</v>
      </c>
      <c r="N336" s="11">
        <f>[1]ALL!M464</f>
        <v>80.007099999999994</v>
      </c>
      <c r="O336" s="11">
        <f>[1]ALL!N464</f>
        <v>48.747900000000001</v>
      </c>
      <c r="P336" s="11">
        <f>[1]ALL!O464</f>
        <v>0</v>
      </c>
      <c r="Q336" s="11">
        <f>[1]ALL!P464</f>
        <v>0</v>
      </c>
      <c r="R336" s="11">
        <f>[1]ALL!Q464</f>
        <v>0</v>
      </c>
      <c r="S336" s="11">
        <f>[1]ALL!R332</f>
        <v>0</v>
      </c>
      <c r="T336" s="9"/>
      <c r="U336" s="9"/>
      <c r="V336" s="10"/>
    </row>
    <row r="337" spans="1:22">
      <c r="A337" s="2">
        <v>109</v>
      </c>
      <c r="B337" s="1" t="str">
        <f>[1]ALL!A110</f>
        <v>1104X</v>
      </c>
      <c r="C337" s="2" t="str">
        <f>[1]ALL!B110</f>
        <v>Discobots Xeon - 🍁 #ImThomas</v>
      </c>
      <c r="D337" s="2" t="str">
        <f>[1]ALL!C110</f>
        <v>Brampton Robotics Education</v>
      </c>
      <c r="E337" s="2" t="str">
        <f>[1]ALL!D110</f>
        <v>Brampton, Ontario, Canada</v>
      </c>
      <c r="F337" s="8">
        <f>[1]ALL!E110</f>
        <v>394</v>
      </c>
      <c r="G337" s="8">
        <f>[1]ALL!F110</f>
        <v>58</v>
      </c>
      <c r="H337" s="8">
        <f>[1]ALL!G110</f>
        <v>166.09700000000001</v>
      </c>
      <c r="I337" s="11">
        <f>[1]ALL!H110</f>
        <v>128.649</v>
      </c>
      <c r="J337" s="11">
        <f>[1]ALL!I110</f>
        <v>64.183899999999994</v>
      </c>
      <c r="K337" s="11">
        <f>[1]ALL!J110</f>
        <v>166.09700000000001</v>
      </c>
      <c r="L337" s="11">
        <f>[1]ALL!K110</f>
        <v>42.141399999999997</v>
      </c>
      <c r="M337" s="11">
        <f>[1]ALL!L110</f>
        <v>56.100700000000003</v>
      </c>
      <c r="N337" s="11">
        <f>[1]ALL!M110</f>
        <v>113.13800000000001</v>
      </c>
      <c r="O337" s="11">
        <f>[1]ALL!N110</f>
        <v>108.831</v>
      </c>
      <c r="P337" s="11">
        <f>[1]ALL!O110</f>
        <v>0</v>
      </c>
      <c r="Q337" s="11">
        <f>[1]ALL!P110</f>
        <v>0</v>
      </c>
      <c r="R337" s="11">
        <f>[1]ALL!Q110</f>
        <v>0</v>
      </c>
      <c r="S337" s="11">
        <f>[1]ALL!R333</f>
        <v>0</v>
      </c>
      <c r="T337" s="9"/>
      <c r="U337" s="9"/>
      <c r="V337" s="10"/>
    </row>
    <row r="338" spans="1:22">
      <c r="A338" s="2">
        <v>187</v>
      </c>
      <c r="B338" s="1" t="str">
        <f>[1]ALL!A188</f>
        <v>2605A</v>
      </c>
      <c r="C338" s="2" t="str">
        <f>[1]ALL!B188</f>
        <v>Sehome Sea Monsters A</v>
      </c>
      <c r="D338" s="2" t="str">
        <f>[1]ALL!C188</f>
        <v>Sehome High School</v>
      </c>
      <c r="E338" s="2" t="str">
        <f>[1]ALL!D188</f>
        <v>Bellingham, Washington, United States</v>
      </c>
      <c r="F338" s="8">
        <f>[1]ALL!E188</f>
        <v>242</v>
      </c>
      <c r="G338" s="8">
        <f>[1]ALL!F188</f>
        <v>57</v>
      </c>
      <c r="H338" s="8">
        <f>[1]ALL!G188</f>
        <v>164.81299999999999</v>
      </c>
      <c r="I338" s="11">
        <f>[1]ALL!H188</f>
        <v>164.81299999999999</v>
      </c>
      <c r="J338" s="11">
        <f>[1]ALL!I188</f>
        <v>125.831</v>
      </c>
      <c r="K338" s="11">
        <f>[1]ALL!J188</f>
        <v>91.517200000000003</v>
      </c>
      <c r="L338" s="11">
        <f>[1]ALL!K188</f>
        <v>33.1875</v>
      </c>
      <c r="M338" s="11">
        <f>[1]ALL!L188</f>
        <v>0</v>
      </c>
      <c r="N338" s="11">
        <f>[1]ALL!M188</f>
        <v>0</v>
      </c>
      <c r="O338" s="11">
        <f>[1]ALL!N188</f>
        <v>0</v>
      </c>
      <c r="P338" s="11">
        <f>[1]ALL!O188</f>
        <v>0</v>
      </c>
      <c r="Q338" s="11">
        <f>[1]ALL!P188</f>
        <v>0</v>
      </c>
      <c r="R338" s="11">
        <f>[1]ALL!Q188</f>
        <v>0</v>
      </c>
      <c r="S338" s="11">
        <f>[1]ALL!R334</f>
        <v>0</v>
      </c>
      <c r="T338" s="9"/>
      <c r="U338" s="9"/>
      <c r="V338" s="10"/>
    </row>
    <row r="339" spans="1:22">
      <c r="A339" s="2">
        <v>122</v>
      </c>
      <c r="B339" s="1" t="str">
        <f>[1]ALL!A123</f>
        <v>1320D</v>
      </c>
      <c r="C339" s="2" t="str">
        <f>[1]ALL!B123</f>
        <v>Tucker High Robotigers</v>
      </c>
      <c r="D339" s="2" t="str">
        <f>[1]ALL!C123</f>
        <v>Tucker High School - DeKalb County School Sytem</v>
      </c>
      <c r="E339" s="2" t="str">
        <f>[1]ALL!D123</f>
        <v>Tucker, Georgia, United States</v>
      </c>
      <c r="F339" s="8">
        <f>[1]ALL!E123</f>
        <v>234</v>
      </c>
      <c r="G339" s="8">
        <f>[1]ALL!F123</f>
        <v>57</v>
      </c>
      <c r="H339" s="8">
        <f>[1]ALL!G123</f>
        <v>47.071399999999997</v>
      </c>
      <c r="I339" s="11">
        <f>[1]ALL!H123</f>
        <v>45.526299999999999</v>
      </c>
      <c r="J339" s="11">
        <f>[1]ALL!I123</f>
        <v>47.071399999999997</v>
      </c>
      <c r="K339" s="11">
        <f>[1]ALL!J123</f>
        <v>15.896100000000001</v>
      </c>
      <c r="L339" s="11">
        <f>[1]ALL!K123</f>
        <v>16.486899999999999</v>
      </c>
      <c r="M339" s="11">
        <f>[1]ALL!L123</f>
        <v>13.768700000000001</v>
      </c>
      <c r="N339" s="11">
        <f>[1]ALL!M123</f>
        <v>0</v>
      </c>
      <c r="O339" s="11">
        <f>[1]ALL!N123</f>
        <v>0</v>
      </c>
      <c r="P339" s="11">
        <f>[1]ALL!O123</f>
        <v>0</v>
      </c>
      <c r="Q339" s="11">
        <f>[1]ALL!P123</f>
        <v>0</v>
      </c>
      <c r="R339" s="11">
        <f>[1]ALL!Q123</f>
        <v>0</v>
      </c>
      <c r="S339" s="11">
        <f>[1]ALL!R335</f>
        <v>0</v>
      </c>
      <c r="T339" s="9"/>
      <c r="U339" s="9"/>
      <c r="V339" s="10"/>
    </row>
    <row r="340" spans="1:22">
      <c r="A340" s="2">
        <v>249</v>
      </c>
      <c r="B340" s="1" t="str">
        <f>[1]ALL!A250</f>
        <v>4610Z</v>
      </c>
      <c r="C340" s="2" t="str">
        <f>[1]ALL!B250</f>
        <v>And Then There's Jake</v>
      </c>
      <c r="D340" s="2" t="str">
        <f>[1]ALL!C250</f>
        <v>Robot Revolution</v>
      </c>
      <c r="E340" s="2" t="str">
        <f>[1]ALL!D250</f>
        <v>Summit, New Jersey, United States</v>
      </c>
      <c r="F340" s="8">
        <f>[1]ALL!E250</f>
        <v>120</v>
      </c>
      <c r="G340" s="8">
        <f>[1]ALL!F250</f>
        <v>55</v>
      </c>
      <c r="H340" s="8">
        <f>[1]ALL!G250</f>
        <v>92.872399999999999</v>
      </c>
      <c r="I340" s="11">
        <f>[1]ALL!H250</f>
        <v>87.723600000000005</v>
      </c>
      <c r="J340" s="11">
        <f>[1]ALL!I250</f>
        <v>85.652100000000004</v>
      </c>
      <c r="K340" s="11">
        <f>[1]ALL!J250</f>
        <v>92.872399999999999</v>
      </c>
      <c r="L340" s="11">
        <f>[1]ALL!K250</f>
        <v>86.744900000000001</v>
      </c>
      <c r="M340" s="11">
        <f>[1]ALL!L250</f>
        <v>86.554000000000002</v>
      </c>
      <c r="N340" s="11">
        <f>[1]ALL!M250</f>
        <v>60.108899999999998</v>
      </c>
      <c r="O340" s="11">
        <f>[1]ALL!N250</f>
        <v>0</v>
      </c>
      <c r="P340" s="11">
        <f>[1]ALL!O250</f>
        <v>0</v>
      </c>
      <c r="Q340" s="11">
        <f>[1]ALL!P250</f>
        <v>0</v>
      </c>
      <c r="R340" s="11">
        <f>[1]ALL!Q250</f>
        <v>0</v>
      </c>
      <c r="S340" s="11">
        <f>[1]ALL!R336</f>
        <v>0</v>
      </c>
      <c r="T340" s="9"/>
      <c r="U340" s="9"/>
      <c r="V340" s="10"/>
    </row>
    <row r="341" spans="1:22">
      <c r="A341" s="2">
        <v>157</v>
      </c>
      <c r="B341" s="1" t="str">
        <f>[1]ALL!A158</f>
        <v>1983A</v>
      </c>
      <c r="C341" s="2" t="str">
        <f>[1]ALL!B158</f>
        <v>Alpha Skunks</v>
      </c>
      <c r="D341" s="2" t="str">
        <f>[1]ALL!C158</f>
        <v>Raisbeck Aviation High School</v>
      </c>
      <c r="E341" s="2" t="str">
        <f>[1]ALL!D158</f>
        <v>Seattle, Washington, United States</v>
      </c>
      <c r="F341" s="8">
        <f>[1]ALL!E158</f>
        <v>47</v>
      </c>
      <c r="G341" s="8">
        <f>[1]ALL!F158</f>
        <v>52</v>
      </c>
      <c r="H341" s="8">
        <f>[1]ALL!G158</f>
        <v>71.231800000000007</v>
      </c>
      <c r="I341" s="11">
        <f>[1]ALL!H158</f>
        <v>71.231800000000007</v>
      </c>
      <c r="J341" s="11">
        <f>[1]ALL!I158</f>
        <v>38.522500000000001</v>
      </c>
      <c r="K341" s="11">
        <f>[1]ALL!J158</f>
        <v>26.110800000000001</v>
      </c>
      <c r="L341" s="11">
        <f>[1]ALL!K158</f>
        <v>43.106299999999997</v>
      </c>
      <c r="M341" s="11">
        <f>[1]ALL!L158</f>
        <v>19.6313</v>
      </c>
      <c r="N341" s="11">
        <f>[1]ALL!M158</f>
        <v>10.756500000000001</v>
      </c>
      <c r="O341" s="11">
        <f>[1]ALL!N158</f>
        <v>0</v>
      </c>
      <c r="P341" s="11">
        <f>[1]ALL!O158</f>
        <v>0</v>
      </c>
      <c r="Q341" s="11">
        <f>[1]ALL!P158</f>
        <v>0</v>
      </c>
      <c r="R341" s="11">
        <f>[1]ALL!Q158</f>
        <v>0</v>
      </c>
      <c r="S341" s="11">
        <f>[1]ALL!R337</f>
        <v>0</v>
      </c>
      <c r="T341" s="9"/>
      <c r="U341" s="9"/>
      <c r="V341" s="10"/>
    </row>
    <row r="342" spans="1:22">
      <c r="A342" s="2">
        <v>25</v>
      </c>
      <c r="B342" s="1" t="str">
        <f>[1]ALL!A26</f>
        <v>127A</v>
      </c>
      <c r="C342" s="2" t="str">
        <f>[1]ALL!B26</f>
        <v>Lemon Bots</v>
      </c>
      <c r="D342" s="2" t="str">
        <f>[1]ALL!C26</f>
        <v>Campo Verde High School</v>
      </c>
      <c r="E342" s="2" t="str">
        <f>[1]ALL!D26</f>
        <v>Gilbert, Arizona, United States</v>
      </c>
      <c r="F342" s="8">
        <f>[1]ALL!E26</f>
        <v>119</v>
      </c>
      <c r="G342" s="8">
        <f>[1]ALL!F26</f>
        <v>51</v>
      </c>
      <c r="H342" s="8">
        <f>[1]ALL!G26</f>
        <v>106.636</v>
      </c>
      <c r="I342" s="11">
        <f>[1]ALL!H26</f>
        <v>71.779300000000006</v>
      </c>
      <c r="J342" s="11">
        <f>[1]ALL!I26</f>
        <v>106.636</v>
      </c>
      <c r="K342" s="11">
        <f>[1]ALL!J26</f>
        <v>78.460300000000004</v>
      </c>
      <c r="L342" s="11">
        <f>[1]ALL!K26</f>
        <v>64.173299999999998</v>
      </c>
      <c r="M342" s="11">
        <f>[1]ALL!L26</f>
        <v>23.109500000000001</v>
      </c>
      <c r="N342" s="11">
        <f>[1]ALL!M26</f>
        <v>37.954099999999997</v>
      </c>
      <c r="O342" s="11">
        <f>[1]ALL!N26</f>
        <v>42.518300000000004</v>
      </c>
      <c r="P342" s="11">
        <f>[1]ALL!O26</f>
        <v>9.0685300000000009</v>
      </c>
      <c r="Q342" s="11">
        <f>[1]ALL!P26</f>
        <v>0</v>
      </c>
      <c r="R342" s="11">
        <f>[1]ALL!Q26</f>
        <v>0</v>
      </c>
      <c r="S342" s="11">
        <f>[1]ALL!R338</f>
        <v>0</v>
      </c>
      <c r="T342" s="9"/>
      <c r="U342" s="9"/>
      <c r="V342" s="10"/>
    </row>
    <row r="343" spans="1:22">
      <c r="A343" s="2">
        <v>276</v>
      </c>
      <c r="B343" s="1" t="str">
        <f>[1]ALL!A277</f>
        <v>5221B</v>
      </c>
      <c r="C343" s="2" t="str">
        <f>[1]ALL!B277</f>
        <v>Cougar Robotics</v>
      </c>
      <c r="D343" s="2" t="str">
        <f>[1]ALL!C277</f>
        <v>Corcoran High School ~ SCSD</v>
      </c>
      <c r="E343" s="2" t="str">
        <f>[1]ALL!D277</f>
        <v>Syracuse, New York, United States</v>
      </c>
      <c r="F343" s="8">
        <f>[1]ALL!E277</f>
        <v>86</v>
      </c>
      <c r="G343" s="8">
        <f>[1]ALL!F277</f>
        <v>49</v>
      </c>
      <c r="H343" s="8">
        <f>[1]ALL!G277</f>
        <v>64.179500000000004</v>
      </c>
      <c r="I343" s="11">
        <f>[1]ALL!H277</f>
        <v>64.179500000000004</v>
      </c>
      <c r="J343" s="11">
        <f>[1]ALL!I277</f>
        <v>24.742100000000001</v>
      </c>
      <c r="K343" s="11">
        <f>[1]ALL!J277</f>
        <v>0</v>
      </c>
      <c r="L343" s="11">
        <f>[1]ALL!K277</f>
        <v>31.479800000000001</v>
      </c>
      <c r="M343" s="11">
        <f>[1]ALL!L277</f>
        <v>26.404900000000001</v>
      </c>
      <c r="N343" s="11">
        <f>[1]ALL!M277</f>
        <v>9.5930499999999999</v>
      </c>
      <c r="O343" s="11">
        <f>[1]ALL!N277</f>
        <v>0</v>
      </c>
      <c r="P343" s="11">
        <f>[1]ALL!O277</f>
        <v>0</v>
      </c>
      <c r="Q343" s="11">
        <f>[1]ALL!P277</f>
        <v>0</v>
      </c>
      <c r="R343" s="11">
        <f>[1]ALL!Q277</f>
        <v>0</v>
      </c>
      <c r="S343" s="11">
        <f>[1]ALL!R339</f>
        <v>0</v>
      </c>
      <c r="T343" s="9"/>
      <c r="U343" s="9"/>
      <c r="V343" s="10"/>
    </row>
    <row r="344" spans="1:22">
      <c r="A344" s="2">
        <v>89</v>
      </c>
      <c r="B344" s="1" t="str">
        <f>[1]ALL!A90</f>
        <v>917M</v>
      </c>
      <c r="C344" s="2" t="str">
        <f>[1]ALL!B90</f>
        <v>Quantum Morty</v>
      </c>
      <c r="D344" s="2" t="str">
        <f>[1]ALL!C90</f>
        <v>QUANTUM ROBOTICS</v>
      </c>
      <c r="E344" s="2" t="str">
        <f>[1]ALL!D90</f>
        <v>Kirkland, Washington, United States</v>
      </c>
      <c r="F344" s="8">
        <f>[1]ALL!E90</f>
        <v>251</v>
      </c>
      <c r="G344" s="8">
        <f>[1]ALL!F90</f>
        <v>44</v>
      </c>
      <c r="H344" s="8">
        <f>[1]ALL!G90</f>
        <v>113.51900000000001</v>
      </c>
      <c r="I344" s="11">
        <f>[1]ALL!H90</f>
        <v>56.280500000000004</v>
      </c>
      <c r="J344" s="11">
        <f>[1]ALL!I90</f>
        <v>113.51900000000001</v>
      </c>
      <c r="K344" s="11">
        <f>[1]ALL!J90</f>
        <v>47.6629</v>
      </c>
      <c r="L344" s="11">
        <f>[1]ALL!K90</f>
        <v>35.795499999999997</v>
      </c>
      <c r="M344" s="11">
        <f>[1]ALL!L90</f>
        <v>29.661000000000001</v>
      </c>
      <c r="N344" s="11">
        <f>[1]ALL!M90</f>
        <v>0</v>
      </c>
      <c r="O344" s="11">
        <f>[1]ALL!N90</f>
        <v>0</v>
      </c>
      <c r="P344" s="11">
        <f>[1]ALL!O90</f>
        <v>0</v>
      </c>
      <c r="Q344" s="11">
        <f>[1]ALL!P90</f>
        <v>0</v>
      </c>
      <c r="R344" s="11">
        <f>[1]ALL!Q90</f>
        <v>0</v>
      </c>
      <c r="S344" s="11">
        <f>[1]ALL!R340</f>
        <v>0</v>
      </c>
      <c r="T344" s="9"/>
      <c r="U344" s="9"/>
      <c r="V344" s="10"/>
    </row>
    <row r="345" spans="1:22">
      <c r="A345" s="2">
        <v>253</v>
      </c>
      <c r="B345" s="1" t="str">
        <f>[1]ALL!A254</f>
        <v>4800</v>
      </c>
      <c r="C345" s="2" t="str">
        <f>[1]ALL!B254</f>
        <v>Brobot</v>
      </c>
      <c r="D345" s="2" t="str">
        <f>[1]ALL!C254</f>
        <v>St. Francis High School</v>
      </c>
      <c r="E345" s="2" t="str">
        <f>[1]ALL!D254</f>
        <v>La Canada, California, United States</v>
      </c>
      <c r="F345" s="8">
        <f>[1]ALL!E254</f>
        <v>199</v>
      </c>
      <c r="G345" s="8">
        <f>[1]ALL!F254</f>
        <v>44</v>
      </c>
      <c r="H345" s="8">
        <f>[1]ALL!G254</f>
        <v>58.962299999999999</v>
      </c>
      <c r="I345" s="11">
        <f>[1]ALL!H254</f>
        <v>58.962299999999999</v>
      </c>
      <c r="J345" s="11">
        <f>[1]ALL!I254</f>
        <v>17.427600000000002</v>
      </c>
      <c r="K345" s="11">
        <f>[1]ALL!J254</f>
        <v>21.586200000000002</v>
      </c>
      <c r="L345" s="11">
        <f>[1]ALL!K254</f>
        <v>-3.1076000000000001</v>
      </c>
      <c r="M345" s="11">
        <f>[1]ALL!L254</f>
        <v>0</v>
      </c>
      <c r="N345" s="11">
        <f>[1]ALL!M254</f>
        <v>0</v>
      </c>
      <c r="O345" s="11">
        <f>[1]ALL!N254</f>
        <v>0</v>
      </c>
      <c r="P345" s="11">
        <f>[1]ALL!O254</f>
        <v>0</v>
      </c>
      <c r="Q345" s="11">
        <f>[1]ALL!P254</f>
        <v>0</v>
      </c>
      <c r="R345" s="11">
        <f>[1]ALL!Q254</f>
        <v>0</v>
      </c>
      <c r="S345" s="11">
        <f>[1]ALL!R341</f>
        <v>0</v>
      </c>
      <c r="T345" s="9"/>
      <c r="U345" s="9"/>
      <c r="V345" s="10"/>
    </row>
    <row r="346" spans="1:22">
      <c r="A346" s="2">
        <v>274</v>
      </c>
      <c r="B346" s="1" t="str">
        <f>[1]ALL!A275</f>
        <v>5150J</v>
      </c>
      <c r="C346" s="2" t="str">
        <f>[1]ALL!B275</f>
        <v>Mad Hatters</v>
      </c>
      <c r="D346" s="2" t="str">
        <f>[1]ALL!C275</f>
        <v>Danbury High School</v>
      </c>
      <c r="E346" s="2" t="str">
        <f>[1]ALL!D275</f>
        <v>Danbury, Connecticut, United States</v>
      </c>
      <c r="F346" s="8">
        <f>[1]ALL!E275</f>
        <v>99</v>
      </c>
      <c r="G346" s="8">
        <f>[1]ALL!F275</f>
        <v>41</v>
      </c>
      <c r="H346" s="8">
        <f>[1]ALL!G275</f>
        <v>86.920900000000003</v>
      </c>
      <c r="I346" s="11">
        <f>[1]ALL!H275</f>
        <v>73.035300000000007</v>
      </c>
      <c r="J346" s="11">
        <f>[1]ALL!I275</f>
        <v>57.543399999999998</v>
      </c>
      <c r="K346" s="11">
        <f>[1]ALL!J275</f>
        <v>86.920900000000003</v>
      </c>
      <c r="L346" s="11">
        <f>[1]ALL!K275</f>
        <v>0</v>
      </c>
      <c r="M346" s="11">
        <f>[1]ALL!L275</f>
        <v>0</v>
      </c>
      <c r="N346" s="11">
        <f>[1]ALL!M275</f>
        <v>0</v>
      </c>
      <c r="O346" s="11">
        <f>[1]ALL!N275</f>
        <v>0</v>
      </c>
      <c r="P346" s="11">
        <f>[1]ALL!O275</f>
        <v>0</v>
      </c>
      <c r="Q346" s="11">
        <f>[1]ALL!P275</f>
        <v>0</v>
      </c>
      <c r="R346" s="11">
        <f>[1]ALL!Q275</f>
        <v>0</v>
      </c>
      <c r="S346" s="11">
        <f>[1]ALL!R342</f>
        <v>0</v>
      </c>
      <c r="T346" s="9"/>
      <c r="U346" s="9"/>
      <c r="V346" s="10"/>
    </row>
    <row r="347" spans="1:22">
      <c r="A347" s="2">
        <v>295</v>
      </c>
      <c r="B347" s="1" t="str">
        <f>[1]ALL!A296</f>
        <v>5606A</v>
      </c>
      <c r="C347" s="2" t="str">
        <f>[1]ALL!B296</f>
        <v>SKARO FAHS</v>
      </c>
      <c r="D347" s="2" t="str">
        <f>[1]ALL!C296</f>
        <v>Feilding High School</v>
      </c>
      <c r="E347" s="2" t="str">
        <f>[1]ALL!D296</f>
        <v>Feilding, Not Applicable or Not Listed, New Zealand</v>
      </c>
      <c r="F347" s="8">
        <f>[1]ALL!E296</f>
        <v>77</v>
      </c>
      <c r="G347" s="8">
        <f>[1]ALL!F296</f>
        <v>39</v>
      </c>
      <c r="H347" s="8">
        <f>[1]ALL!G296</f>
        <v>27.256399999999999</v>
      </c>
      <c r="I347" s="11">
        <f>[1]ALL!H296</f>
        <v>27.256399999999999</v>
      </c>
      <c r="J347" s="11">
        <f>[1]ALL!I296</f>
        <v>0</v>
      </c>
      <c r="K347" s="11">
        <f>[1]ALL!J296</f>
        <v>0</v>
      </c>
      <c r="L347" s="11">
        <f>[1]ALL!K296</f>
        <v>0</v>
      </c>
      <c r="M347" s="11">
        <f>[1]ALL!L296</f>
        <v>0</v>
      </c>
      <c r="N347" s="11">
        <f>[1]ALL!M296</f>
        <v>0</v>
      </c>
      <c r="O347" s="11">
        <f>[1]ALL!N296</f>
        <v>0</v>
      </c>
      <c r="P347" s="11">
        <f>[1]ALL!O296</f>
        <v>0</v>
      </c>
      <c r="Q347" s="11">
        <f>[1]ALL!P296</f>
        <v>0</v>
      </c>
      <c r="R347" s="11">
        <f>[1]ALL!Q296</f>
        <v>0</v>
      </c>
      <c r="S347" s="11">
        <f>[1]ALL!R343</f>
        <v>0</v>
      </c>
      <c r="T347" s="9"/>
      <c r="U347" s="9"/>
      <c r="V347" s="10"/>
    </row>
    <row r="348" spans="1:22">
      <c r="A348" s="2">
        <v>200</v>
      </c>
      <c r="B348" s="1" t="str">
        <f>[1]ALL!A201</f>
        <v>3046</v>
      </c>
      <c r="C348" s="2" t="str">
        <f>[1]ALL!B201</f>
        <v>TheRoboAzTechs</v>
      </c>
      <c r="D348" s="2" t="str">
        <f>[1]ALL!C201</f>
        <v>El Dorado High School</v>
      </c>
      <c r="E348" s="2" t="str">
        <f>[1]ALL!D201</f>
        <v>El Paso, Texas, United States</v>
      </c>
      <c r="F348" s="8">
        <f>[1]ALL!E201</f>
        <v>56</v>
      </c>
      <c r="G348" s="8">
        <f>[1]ALL!F201</f>
        <v>39</v>
      </c>
      <c r="H348" s="8">
        <f>[1]ALL!G201</f>
        <v>51.838000000000001</v>
      </c>
      <c r="I348" s="11">
        <f>[1]ALL!H201</f>
        <v>51.838000000000001</v>
      </c>
      <c r="J348" s="11">
        <f>[1]ALL!I201</f>
        <v>40.587200000000003</v>
      </c>
      <c r="K348" s="11">
        <f>[1]ALL!J201</f>
        <v>41.2226</v>
      </c>
      <c r="L348" s="11">
        <f>[1]ALL!K201</f>
        <v>0</v>
      </c>
      <c r="M348" s="11">
        <f>[1]ALL!L201</f>
        <v>0</v>
      </c>
      <c r="N348" s="11">
        <f>[1]ALL!M201</f>
        <v>0</v>
      </c>
      <c r="O348" s="11">
        <f>[1]ALL!N201</f>
        <v>0</v>
      </c>
      <c r="P348" s="11">
        <f>[1]ALL!O201</f>
        <v>0</v>
      </c>
      <c r="Q348" s="11">
        <f>[1]ALL!P201</f>
        <v>0</v>
      </c>
      <c r="R348" s="11">
        <f>[1]ALL!Q201</f>
        <v>0</v>
      </c>
      <c r="S348" s="11">
        <f>[1]ALL!R344</f>
        <v>0</v>
      </c>
      <c r="T348" s="9"/>
      <c r="U348" s="9"/>
      <c r="V348" s="10"/>
    </row>
    <row r="349" spans="1:22">
      <c r="A349" s="2">
        <v>88</v>
      </c>
      <c r="B349" s="1" t="str">
        <f>[1]ALL!A89</f>
        <v>901Y</v>
      </c>
      <c r="C349" s="2" t="str">
        <f>[1]ALL!B89</f>
        <v>Ninjabotics</v>
      </c>
      <c r="D349" s="2" t="str">
        <f>[1]ALL!C89</f>
        <v>The American School in Japan</v>
      </c>
      <c r="E349" s="2" t="str">
        <f>[1]ALL!D89</f>
        <v>Tokyo, N/A, Japan</v>
      </c>
      <c r="F349" s="8">
        <f>[1]ALL!E89</f>
        <v>0</v>
      </c>
      <c r="G349" s="8">
        <f>[1]ALL!F89</f>
        <v>37</v>
      </c>
      <c r="H349" s="8">
        <f>[1]ALL!G89</f>
        <v>34.162199999999999</v>
      </c>
      <c r="I349" s="11">
        <f>[1]ALL!H89</f>
        <v>34.162199999999999</v>
      </c>
      <c r="J349" s="11">
        <f>[1]ALL!I89</f>
        <v>0</v>
      </c>
      <c r="K349" s="11">
        <f>[1]ALL!J89</f>
        <v>0</v>
      </c>
      <c r="L349" s="11">
        <f>[1]ALL!K89</f>
        <v>0</v>
      </c>
      <c r="M349" s="11">
        <f>[1]ALL!L89</f>
        <v>0</v>
      </c>
      <c r="N349" s="11">
        <f>[1]ALL!M89</f>
        <v>0</v>
      </c>
      <c r="O349" s="11">
        <f>[1]ALL!N89</f>
        <v>0</v>
      </c>
      <c r="P349" s="11">
        <f>[1]ALL!O89</f>
        <v>0</v>
      </c>
      <c r="Q349" s="11">
        <f>[1]ALL!P89</f>
        <v>0</v>
      </c>
      <c r="R349" s="11">
        <f>[1]ALL!Q89</f>
        <v>0</v>
      </c>
      <c r="S349" s="11">
        <f>[1]ALL!R345</f>
        <v>0</v>
      </c>
      <c r="T349" s="9"/>
      <c r="U349" s="9"/>
      <c r="V349" s="10"/>
    </row>
    <row r="350" spans="1:22">
      <c r="A350" s="2">
        <v>188</v>
      </c>
      <c r="B350" s="1" t="str">
        <f>[1]ALL!A189</f>
        <v>2616F</v>
      </c>
      <c r="C350" s="2" t="str">
        <f>[1]ALL!B189</f>
        <v>Frightning Lightning</v>
      </c>
      <c r="D350" s="2" t="str">
        <f>[1]ALL!C189</f>
        <v>Cherry Hill High School East</v>
      </c>
      <c r="E350" s="2" t="str">
        <f>[1]ALL!D189</f>
        <v>Cherry Hill, New Jersey, United States</v>
      </c>
      <c r="F350" s="8">
        <f>[1]ALL!E189</f>
        <v>58</v>
      </c>
      <c r="G350" s="8">
        <f>[1]ALL!F189</f>
        <v>35</v>
      </c>
      <c r="H350" s="8">
        <f>[1]ALL!G189</f>
        <v>74.244600000000005</v>
      </c>
      <c r="I350" s="11">
        <f>[1]ALL!H189</f>
        <v>49.890799999999999</v>
      </c>
      <c r="J350" s="11">
        <f>[1]ALL!I189</f>
        <v>52.1126</v>
      </c>
      <c r="K350" s="11">
        <f>[1]ALL!J189</f>
        <v>65.079700000000003</v>
      </c>
      <c r="L350" s="11">
        <f>[1]ALL!K189</f>
        <v>74.244600000000005</v>
      </c>
      <c r="M350" s="11">
        <f>[1]ALL!L189</f>
        <v>38.698900000000002</v>
      </c>
      <c r="N350" s="11">
        <f>[1]ALL!M189</f>
        <v>73.369299999999996</v>
      </c>
      <c r="O350" s="11">
        <f>[1]ALL!N189</f>
        <v>59.762599999999999</v>
      </c>
      <c r="P350" s="11">
        <f>[1]ALL!O189</f>
        <v>0</v>
      </c>
      <c r="Q350" s="11">
        <f>[1]ALL!P189</f>
        <v>0</v>
      </c>
      <c r="R350" s="11">
        <f>[1]ALL!Q189</f>
        <v>0</v>
      </c>
      <c r="S350" s="11">
        <f>[1]ALL!R346</f>
        <v>0</v>
      </c>
      <c r="T350" s="9"/>
      <c r="U350" s="9"/>
      <c r="V350" s="10"/>
    </row>
    <row r="351" spans="1:22">
      <c r="A351" s="2">
        <v>332</v>
      </c>
      <c r="B351" s="1" t="str">
        <f>[1]ALL!A333</f>
        <v>6297E</v>
      </c>
      <c r="C351" s="2" t="str">
        <f>[1]ALL!B333</f>
        <v>FCS Paladins</v>
      </c>
      <c r="D351" s="2" t="str">
        <f>[1]ALL!C333</f>
        <v>Fellowship Christian High School</v>
      </c>
      <c r="E351" s="2" t="str">
        <f>[1]ALL!D333</f>
        <v>Roswell, Georgia, United States</v>
      </c>
      <c r="F351" s="8">
        <f>[1]ALL!E333</f>
        <v>121</v>
      </c>
      <c r="G351" s="8">
        <f>[1]ALL!F333</f>
        <v>32</v>
      </c>
      <c r="H351" s="8">
        <f>[1]ALL!G333</f>
        <v>88.700999999999993</v>
      </c>
      <c r="I351" s="11">
        <f>[1]ALL!H333</f>
        <v>88.700999999999993</v>
      </c>
      <c r="J351" s="11">
        <f>[1]ALL!I333</f>
        <v>43.420999999999999</v>
      </c>
      <c r="K351" s="11">
        <f>[1]ALL!J333</f>
        <v>48.035400000000003</v>
      </c>
      <c r="L351" s="11">
        <f>[1]ALL!K333</f>
        <v>55.786499999999997</v>
      </c>
      <c r="M351" s="11">
        <f>[1]ALL!L333</f>
        <v>75.762200000000007</v>
      </c>
      <c r="N351" s="11">
        <f>[1]ALL!M333</f>
        <v>62.820099999999996</v>
      </c>
      <c r="O351" s="11">
        <f>[1]ALL!N333</f>
        <v>15.883900000000001</v>
      </c>
      <c r="P351" s="11">
        <f>[1]ALL!O333</f>
        <v>0</v>
      </c>
      <c r="Q351" s="11">
        <f>[1]ALL!P333</f>
        <v>0</v>
      </c>
      <c r="R351" s="11">
        <f>[1]ALL!Q333</f>
        <v>0</v>
      </c>
      <c r="S351" s="11">
        <f>[1]ALL!R347</f>
        <v>0</v>
      </c>
      <c r="T351" s="9"/>
      <c r="U351" s="9"/>
      <c r="V351" s="10"/>
    </row>
    <row r="352" spans="1:22">
      <c r="A352" s="2">
        <v>20</v>
      </c>
      <c r="B352" s="1" t="str">
        <f>[1]ALL!A21</f>
        <v>66A</v>
      </c>
      <c r="C352" s="2" t="str">
        <f>[1]ALL!B21</f>
        <v>Real Steel</v>
      </c>
      <c r="D352" s="2" t="str">
        <f>[1]ALL!C21</f>
        <v xml:space="preserve"> Har-Ber Robotics</v>
      </c>
      <c r="E352" s="2" t="str">
        <f>[1]ALL!D21</f>
        <v>Springdale, Arkansas, United States</v>
      </c>
      <c r="F352" s="8">
        <f>[1]ALL!E21</f>
        <v>99</v>
      </c>
      <c r="G352" s="8">
        <f>[1]ALL!F21</f>
        <v>29</v>
      </c>
      <c r="H352" s="8">
        <f>[1]ALL!G21</f>
        <v>107.28</v>
      </c>
      <c r="I352" s="11">
        <f>[1]ALL!H21</f>
        <v>79.225300000000004</v>
      </c>
      <c r="J352" s="11">
        <f>[1]ALL!I21</f>
        <v>107.28</v>
      </c>
      <c r="K352" s="11">
        <f>[1]ALL!J21</f>
        <v>62.546100000000003</v>
      </c>
      <c r="L352" s="11">
        <f>[1]ALL!K21</f>
        <v>0</v>
      </c>
      <c r="M352" s="11">
        <f>[1]ALL!L21</f>
        <v>0</v>
      </c>
      <c r="N352" s="11">
        <f>[1]ALL!M21</f>
        <v>0</v>
      </c>
      <c r="O352" s="11">
        <f>[1]ALL!N21</f>
        <v>0</v>
      </c>
      <c r="P352" s="11">
        <f>[1]ALL!O21</f>
        <v>0</v>
      </c>
      <c r="Q352" s="11">
        <f>[1]ALL!P21</f>
        <v>0</v>
      </c>
      <c r="R352" s="11">
        <f>[1]ALL!Q21</f>
        <v>0</v>
      </c>
      <c r="S352" s="11">
        <f>[1]ALL!R348</f>
        <v>0</v>
      </c>
      <c r="T352" s="9"/>
      <c r="U352" s="9"/>
      <c r="V352" s="10"/>
    </row>
    <row r="353" spans="1:22">
      <c r="A353" s="2">
        <v>423</v>
      </c>
      <c r="B353" s="1" t="str">
        <f>[1]ALL!A424</f>
        <v>8615F</v>
      </c>
      <c r="C353" s="2" t="str">
        <f>[1]ALL!B424</f>
        <v>The Vexecutors</v>
      </c>
      <c r="D353" s="2" t="str">
        <f>[1]ALL!C424</f>
        <v>New Hope High School</v>
      </c>
      <c r="E353" s="2" t="str">
        <f>[1]ALL!D424</f>
        <v>Columbus, Mississippi, United States</v>
      </c>
      <c r="F353" s="8">
        <f>[1]ALL!E424</f>
        <v>86</v>
      </c>
      <c r="G353" s="8">
        <f>[1]ALL!F424</f>
        <v>28</v>
      </c>
      <c r="H353" s="8">
        <f>[1]ALL!G424</f>
        <v>99.660799999999995</v>
      </c>
      <c r="I353" s="11">
        <f>[1]ALL!H424</f>
        <v>99.660799999999995</v>
      </c>
      <c r="J353" s="11">
        <f>[1]ALL!I424</f>
        <v>46.040199999999999</v>
      </c>
      <c r="K353" s="11">
        <f>[1]ALL!J424</f>
        <v>73.659199999999998</v>
      </c>
      <c r="L353" s="11">
        <f>[1]ALL!K424</f>
        <v>31.5259</v>
      </c>
      <c r="M353" s="11">
        <f>[1]ALL!L424</f>
        <v>39.412999999999997</v>
      </c>
      <c r="N353" s="11">
        <f>[1]ALL!M424</f>
        <v>36.4666</v>
      </c>
      <c r="O353" s="11">
        <f>[1]ALL!N424</f>
        <v>0</v>
      </c>
      <c r="P353" s="11">
        <f>[1]ALL!O424</f>
        <v>0</v>
      </c>
      <c r="Q353" s="11">
        <f>[1]ALL!P424</f>
        <v>0</v>
      </c>
      <c r="R353" s="11">
        <f>[1]ALL!Q424</f>
        <v>0</v>
      </c>
      <c r="S353" s="11">
        <f>[1]ALL!R349</f>
        <v>0</v>
      </c>
      <c r="T353" s="9"/>
      <c r="U353" s="9"/>
      <c r="V353" s="10"/>
    </row>
    <row r="354" spans="1:22">
      <c r="A354" s="2">
        <v>331</v>
      </c>
      <c r="B354" s="1" t="str">
        <f>[1]ALL!A332</f>
        <v>6272B</v>
      </c>
      <c r="C354" s="2" t="str">
        <f>[1]ALL!B332</f>
        <v>STF 2</v>
      </c>
      <c r="D354" s="2" t="str">
        <f>[1]ALL!C332</f>
        <v>SEKOLAH TUN FATIMAH</v>
      </c>
      <c r="E354" s="2" t="str">
        <f>[1]ALL!D332</f>
        <v>Johor Bahru, N/A, Malaysia</v>
      </c>
      <c r="F354" s="8">
        <f>[1]ALL!E332</f>
        <v>34</v>
      </c>
      <c r="G354" s="8">
        <f>[1]ALL!F332</f>
        <v>25</v>
      </c>
      <c r="H354" s="8">
        <f>[1]ALL!G332</f>
        <v>56.941200000000002</v>
      </c>
      <c r="I354" s="11">
        <f>[1]ALL!H332</f>
        <v>56.941200000000002</v>
      </c>
      <c r="J354" s="11">
        <f>[1]ALL!I332</f>
        <v>0</v>
      </c>
      <c r="K354" s="11">
        <f>[1]ALL!J332</f>
        <v>0</v>
      </c>
      <c r="L354" s="11">
        <f>[1]ALL!K332</f>
        <v>0</v>
      </c>
      <c r="M354" s="11">
        <f>[1]ALL!L332</f>
        <v>0</v>
      </c>
      <c r="N354" s="11">
        <f>[1]ALL!M332</f>
        <v>0</v>
      </c>
      <c r="O354" s="11">
        <f>[1]ALL!N332</f>
        <v>0</v>
      </c>
      <c r="P354" s="11">
        <f>[1]ALL!O332</f>
        <v>0</v>
      </c>
      <c r="Q354" s="11">
        <f>[1]ALL!P332</f>
        <v>0</v>
      </c>
      <c r="R354" s="11">
        <f>[1]ALL!Q332</f>
        <v>0</v>
      </c>
      <c r="S354" s="11">
        <f>[1]ALL!R350</f>
        <v>0</v>
      </c>
      <c r="T354" s="9"/>
      <c r="U354" s="9"/>
      <c r="V354" s="10"/>
    </row>
    <row r="355" spans="1:22">
      <c r="A355" s="2">
        <v>153</v>
      </c>
      <c r="B355" s="1" t="str">
        <f>[1]ALL!A154</f>
        <v>1879B</v>
      </c>
      <c r="C355" s="2" t="str">
        <f>[1]ALL!B154</f>
        <v>Sultana Autoshop 1</v>
      </c>
      <c r="D355" s="2" t="str">
        <f>[1]ALL!C154</f>
        <v>Sultana High School</v>
      </c>
      <c r="E355" s="2" t="str">
        <f>[1]ALL!D154</f>
        <v>Hesperia, California, United States</v>
      </c>
      <c r="F355" s="8">
        <f>[1]ALL!E154</f>
        <v>282</v>
      </c>
      <c r="G355" s="8">
        <f>[1]ALL!F154</f>
        <v>20</v>
      </c>
      <c r="H355" s="8">
        <f>[1]ALL!G154</f>
        <v>59.354599999999998</v>
      </c>
      <c r="I355" s="11">
        <f>[1]ALL!H154</f>
        <v>49.929699999999997</v>
      </c>
      <c r="J355" s="11">
        <f>[1]ALL!I154</f>
        <v>59.354599999999998</v>
      </c>
      <c r="K355" s="11">
        <f>[1]ALL!J154</f>
        <v>19.422599999999999</v>
      </c>
      <c r="L355" s="11">
        <f>[1]ALL!K154</f>
        <v>0</v>
      </c>
      <c r="M355" s="11">
        <f>[1]ALL!L154</f>
        <v>0</v>
      </c>
      <c r="N355" s="11">
        <f>[1]ALL!M154</f>
        <v>0</v>
      </c>
      <c r="O355" s="11">
        <f>[1]ALL!N154</f>
        <v>0</v>
      </c>
      <c r="P355" s="11">
        <f>[1]ALL!O154</f>
        <v>0</v>
      </c>
      <c r="Q355" s="11">
        <f>[1]ALL!P154</f>
        <v>0</v>
      </c>
      <c r="R355" s="11">
        <f>[1]ALL!Q154</f>
        <v>0</v>
      </c>
      <c r="S355" s="11">
        <f>[1]ALL!R351</f>
        <v>0</v>
      </c>
      <c r="T355" s="9"/>
      <c r="U355" s="9"/>
      <c r="V355" s="10"/>
    </row>
    <row r="356" spans="1:22">
      <c r="A356" s="2">
        <v>77</v>
      </c>
      <c r="B356" s="1" t="str">
        <f>[1]ALL!A78</f>
        <v>675C</v>
      </c>
      <c r="C356" s="2" t="str">
        <f>[1]ALL!B78</f>
        <v>RoboDragons C</v>
      </c>
      <c r="D356" s="2" t="str">
        <f>[1]ALL!C78</f>
        <v>Gwinnett School of Mathem, Science, and Technology</v>
      </c>
      <c r="E356" s="2" t="str">
        <f>[1]ALL!D78</f>
        <v>Lawrenceville, Georgia, United States</v>
      </c>
      <c r="F356" s="8">
        <f>[1]ALL!E78</f>
        <v>78</v>
      </c>
      <c r="G356" s="8">
        <f>[1]ALL!F78</f>
        <v>20</v>
      </c>
      <c r="H356" s="8">
        <f>[1]ALL!G78</f>
        <v>112.68600000000001</v>
      </c>
      <c r="I356" s="11">
        <f>[1]ALL!H78</f>
        <v>109.571</v>
      </c>
      <c r="J356" s="11">
        <f>[1]ALL!I78</f>
        <v>98.698300000000003</v>
      </c>
      <c r="K356" s="11">
        <f>[1]ALL!J78</f>
        <v>75.9392</v>
      </c>
      <c r="L356" s="11">
        <f>[1]ALL!K78</f>
        <v>87.627600000000001</v>
      </c>
      <c r="M356" s="11">
        <f>[1]ALL!L78</f>
        <v>112.68600000000001</v>
      </c>
      <c r="N356" s="11">
        <f>[1]ALL!M78</f>
        <v>95.554900000000004</v>
      </c>
      <c r="O356" s="11">
        <f>[1]ALL!N78</f>
        <v>68.699200000000005</v>
      </c>
      <c r="P356" s="11">
        <f>[1]ALL!O78</f>
        <v>0</v>
      </c>
      <c r="Q356" s="11">
        <f>[1]ALL!P78</f>
        <v>0</v>
      </c>
      <c r="R356" s="11">
        <f>[1]ALL!Q78</f>
        <v>0</v>
      </c>
      <c r="S356" s="11">
        <f>[1]ALL!R352</f>
        <v>0</v>
      </c>
      <c r="T356" s="9"/>
      <c r="U356" s="9"/>
      <c r="V356" s="10"/>
    </row>
    <row r="357" spans="1:22">
      <c r="A357" s="2">
        <v>68</v>
      </c>
      <c r="B357" s="1" t="str">
        <f>[1]ALL!A69</f>
        <v>569B</v>
      </c>
      <c r="C357" s="2" t="str">
        <f>[1]ALL!B69</f>
        <v>NightHawk Robotics Club</v>
      </c>
      <c r="D357" s="2" t="str">
        <f>[1]ALL!C69</f>
        <v>Murrieta Valley High School</v>
      </c>
      <c r="E357" s="2" t="str">
        <f>[1]ALL!D69</f>
        <v>Murrieta, California, United States</v>
      </c>
      <c r="F357" s="8">
        <f>[1]ALL!E69</f>
        <v>71</v>
      </c>
      <c r="G357" s="8">
        <f>[1]ALL!F69</f>
        <v>20</v>
      </c>
      <c r="H357" s="8">
        <f>[1]ALL!G69</f>
        <v>84.920299999999997</v>
      </c>
      <c r="I357" s="11">
        <f>[1]ALL!H69</f>
        <v>52.005800000000001</v>
      </c>
      <c r="J357" s="11">
        <f>[1]ALL!I69</f>
        <v>84.920299999999997</v>
      </c>
      <c r="K357" s="11">
        <f>[1]ALL!J69</f>
        <v>63.797899999999998</v>
      </c>
      <c r="L357" s="11">
        <f>[1]ALL!K69</f>
        <v>66.973500000000001</v>
      </c>
      <c r="M357" s="11">
        <f>[1]ALL!L69</f>
        <v>49.2</v>
      </c>
      <c r="N357" s="11">
        <f>[1]ALL!M69</f>
        <v>0</v>
      </c>
      <c r="O357" s="11">
        <f>[1]ALL!N69</f>
        <v>0</v>
      </c>
      <c r="P357" s="11">
        <f>[1]ALL!O69</f>
        <v>0</v>
      </c>
      <c r="Q357" s="11">
        <f>[1]ALL!P69</f>
        <v>0</v>
      </c>
      <c r="R357" s="11">
        <f>[1]ALL!Q69</f>
        <v>0</v>
      </c>
      <c r="S357" s="11">
        <f>[1]ALL!R353</f>
        <v>0</v>
      </c>
      <c r="T357" s="9"/>
      <c r="U357" s="9"/>
      <c r="V357" s="10"/>
    </row>
    <row r="358" spans="1:22">
      <c r="A358" s="2">
        <v>493</v>
      </c>
      <c r="B358" s="1" t="str">
        <f>[1]ALL!A494</f>
        <v>99523A</v>
      </c>
      <c r="C358" s="2" t="str">
        <f>[1]ALL!B494</f>
        <v>SCCS [Co.R.E.] = 99523;</v>
      </c>
      <c r="D358" s="2" t="str">
        <f>[1]ALL!C494</f>
        <v>Sandy Creek Central School</v>
      </c>
      <c r="E358" s="2" t="str">
        <f>[1]ALL!D494</f>
        <v>Sandy Creek, New York, United States</v>
      </c>
      <c r="F358" s="8">
        <f>[1]ALL!E494</f>
        <v>50</v>
      </c>
      <c r="G358" s="8">
        <f>[1]ALL!F494</f>
        <v>20</v>
      </c>
      <c r="H358" s="8">
        <f>[1]ALL!G494</f>
        <v>74.767700000000005</v>
      </c>
      <c r="I358" s="11">
        <f>[1]ALL!H494</f>
        <v>55.286700000000003</v>
      </c>
      <c r="J358" s="11">
        <f>[1]ALL!I494</f>
        <v>74.767700000000005</v>
      </c>
      <c r="K358" s="11">
        <f>[1]ALL!J494</f>
        <v>0</v>
      </c>
      <c r="L358" s="11">
        <f>[1]ALL!K494</f>
        <v>41.824100000000001</v>
      </c>
      <c r="M358" s="11">
        <f>[1]ALL!L494</f>
        <v>3.4075899999999999</v>
      </c>
      <c r="N358" s="11">
        <f>[1]ALL!M494</f>
        <v>22.367599999999999</v>
      </c>
      <c r="O358" s="11">
        <f>[1]ALL!N494</f>
        <v>0</v>
      </c>
      <c r="P358" s="11">
        <f>[1]ALL!O494</f>
        <v>0</v>
      </c>
      <c r="Q358" s="11">
        <f>[1]ALL!P494</f>
        <v>0</v>
      </c>
      <c r="R358" s="11">
        <f>[1]ALL!Q494</f>
        <v>0</v>
      </c>
      <c r="S358" s="11">
        <f>[1]ALL!R354</f>
        <v>0</v>
      </c>
      <c r="T358" s="9"/>
      <c r="U358" s="9"/>
      <c r="V358" s="10"/>
    </row>
    <row r="359" spans="1:22">
      <c r="A359" s="2">
        <v>242</v>
      </c>
      <c r="B359" s="1" t="str">
        <f>[1]ALL!A243</f>
        <v>4393R</v>
      </c>
      <c r="C359" s="2" t="str">
        <f>[1]ALL!B243</f>
        <v>Penguins B</v>
      </c>
      <c r="D359" s="2" t="str">
        <f>[1]ALL!C243</f>
        <v>Maine School of Science and Mathematics</v>
      </c>
      <c r="E359" s="2" t="str">
        <f>[1]ALL!D243</f>
        <v>Limestone, Maine, United States</v>
      </c>
      <c r="F359" s="8">
        <f>[1]ALL!E243</f>
        <v>29</v>
      </c>
      <c r="G359" s="8">
        <f>[1]ALL!F243</f>
        <v>20</v>
      </c>
      <c r="H359" s="8">
        <f>[1]ALL!G243</f>
        <v>29.907499999999999</v>
      </c>
      <c r="I359" s="11">
        <f>[1]ALL!H243</f>
        <v>29.907499999999999</v>
      </c>
      <c r="J359" s="11">
        <f>[1]ALL!I243</f>
        <v>13.946999999999999</v>
      </c>
      <c r="K359" s="11">
        <f>[1]ALL!J243</f>
        <v>0</v>
      </c>
      <c r="L359" s="11">
        <f>[1]ALL!K243</f>
        <v>0</v>
      </c>
      <c r="M359" s="11">
        <f>[1]ALL!L243</f>
        <v>0</v>
      </c>
      <c r="N359" s="11">
        <f>[1]ALL!M243</f>
        <v>0</v>
      </c>
      <c r="O359" s="11">
        <f>[1]ALL!N243</f>
        <v>0</v>
      </c>
      <c r="P359" s="11">
        <f>[1]ALL!O243</f>
        <v>0</v>
      </c>
      <c r="Q359" s="11">
        <f>[1]ALL!P243</f>
        <v>0</v>
      </c>
      <c r="R359" s="11">
        <f>[1]ALL!Q243</f>
        <v>0</v>
      </c>
      <c r="S359" s="11">
        <f>[1]ALL!R355</f>
        <v>0</v>
      </c>
      <c r="T359" s="9"/>
      <c r="U359" s="9"/>
      <c r="V359" s="10"/>
    </row>
    <row r="360" spans="1:22">
      <c r="A360" s="2">
        <v>340</v>
      </c>
      <c r="B360" s="1" t="str">
        <f>[1]ALL!A341</f>
        <v>6596</v>
      </c>
      <c r="C360" s="2" t="str">
        <f>[1]ALL!B341</f>
        <v>Vexponential Potential</v>
      </c>
      <c r="D360" s="2" t="str">
        <f>[1]ALL!C341</f>
        <v>Clear Lake Area Robotics</v>
      </c>
      <c r="E360" s="2" t="str">
        <f>[1]ALL!D341</f>
        <v>Houston, Texas, United States</v>
      </c>
      <c r="F360" s="8">
        <f>[1]ALL!E341</f>
        <v>44</v>
      </c>
      <c r="G360" s="8">
        <f>[1]ALL!F341</f>
        <v>19</v>
      </c>
      <c r="H360" s="8">
        <f>[1]ALL!G341</f>
        <v>68.897800000000004</v>
      </c>
      <c r="I360" s="11">
        <f>[1]ALL!H341</f>
        <v>19.116900000000001</v>
      </c>
      <c r="J360" s="11">
        <f>[1]ALL!I341</f>
        <v>39.7849</v>
      </c>
      <c r="K360" s="11">
        <f>[1]ALL!J341</f>
        <v>27.472999999999999</v>
      </c>
      <c r="L360" s="11">
        <f>[1]ALL!K341</f>
        <v>68.897800000000004</v>
      </c>
      <c r="M360" s="11">
        <f>[1]ALL!L341</f>
        <v>43.137999999999998</v>
      </c>
      <c r="N360" s="11">
        <f>[1]ALL!M341</f>
        <v>0</v>
      </c>
      <c r="O360" s="11">
        <f>[1]ALL!N341</f>
        <v>0</v>
      </c>
      <c r="P360" s="11">
        <f>[1]ALL!O341</f>
        <v>0</v>
      </c>
      <c r="Q360" s="11">
        <f>[1]ALL!P341</f>
        <v>0</v>
      </c>
      <c r="R360" s="11">
        <f>[1]ALL!Q341</f>
        <v>0</v>
      </c>
      <c r="S360" s="11">
        <f>[1]ALL!R356</f>
        <v>0</v>
      </c>
      <c r="T360" s="9"/>
      <c r="U360" s="9"/>
      <c r="V360" s="10"/>
    </row>
    <row r="361" spans="1:22">
      <c r="A361" s="2">
        <v>105</v>
      </c>
      <c r="B361" s="1" t="str">
        <f>[1]ALL!A106</f>
        <v>1104G</v>
      </c>
      <c r="C361" s="2" t="str">
        <f>[1]ALL!B106</f>
        <v>Discobots G - 🍁 #PrayForThomas2k16</v>
      </c>
      <c r="D361" s="2" t="str">
        <f>[1]ALL!C106</f>
        <v>Brampton Robotics Education</v>
      </c>
      <c r="E361" s="2" t="str">
        <f>[1]ALL!D106</f>
        <v>Brampton, Ontario, Canada</v>
      </c>
      <c r="F361" s="8">
        <f>[1]ALL!E106</f>
        <v>430</v>
      </c>
      <c r="G361" s="8">
        <f>[1]ALL!F106</f>
        <v>16</v>
      </c>
      <c r="H361" s="8">
        <f>[1]ALL!G106</f>
        <v>175.33199999999999</v>
      </c>
      <c r="I361" s="11">
        <f>[1]ALL!H106</f>
        <v>48.806600000000003</v>
      </c>
      <c r="J361" s="11">
        <f>[1]ALL!I106</f>
        <v>156.07</v>
      </c>
      <c r="K361" s="11">
        <f>[1]ALL!J106</f>
        <v>175.33199999999999</v>
      </c>
      <c r="L361" s="11">
        <f>[1]ALL!K106</f>
        <v>98.255399999999995</v>
      </c>
      <c r="M361" s="11">
        <f>[1]ALL!L106</f>
        <v>110.226</v>
      </c>
      <c r="N361" s="11">
        <f>[1]ALL!M106</f>
        <v>163.63399999999999</v>
      </c>
      <c r="O361" s="11">
        <f>[1]ALL!N106</f>
        <v>81.8108</v>
      </c>
      <c r="P361" s="11">
        <f>[1]ALL!O106</f>
        <v>0</v>
      </c>
      <c r="Q361" s="11">
        <f>[1]ALL!P106</f>
        <v>0</v>
      </c>
      <c r="R361" s="11">
        <f>[1]ALL!Q106</f>
        <v>0</v>
      </c>
      <c r="S361" s="11">
        <f>[1]ALL!R357</f>
        <v>0</v>
      </c>
      <c r="T361" s="9"/>
      <c r="U361" s="9"/>
      <c r="V361" s="10"/>
    </row>
    <row r="362" spans="1:22">
      <c r="A362" s="2">
        <v>414</v>
      </c>
      <c r="B362" s="1" t="str">
        <f>[1]ALL!A415</f>
        <v>8370B</v>
      </c>
      <c r="C362" s="2" t="str">
        <f>[1]ALL!B415</f>
        <v>Green Machine</v>
      </c>
      <c r="D362" s="2" t="str">
        <f>[1]ALL!C415</f>
        <v>Notre Dame High School</v>
      </c>
      <c r="E362" s="2" t="str">
        <f>[1]ALL!D415</f>
        <v>West Haven, Connecticut, United States</v>
      </c>
      <c r="F362" s="8">
        <f>[1]ALL!E415</f>
        <v>225</v>
      </c>
      <c r="G362" s="8">
        <f>[1]ALL!F415</f>
        <v>16</v>
      </c>
      <c r="H362" s="8">
        <f>[1]ALL!G415</f>
        <v>125.983</v>
      </c>
      <c r="I362" s="11">
        <f>[1]ALL!H415</f>
        <v>125.983</v>
      </c>
      <c r="J362" s="11">
        <f>[1]ALL!I415</f>
        <v>110.928</v>
      </c>
      <c r="K362" s="11">
        <f>[1]ALL!J415</f>
        <v>87.5471</v>
      </c>
      <c r="L362" s="11">
        <f>[1]ALL!K415</f>
        <v>113.033</v>
      </c>
      <c r="M362" s="11">
        <f>[1]ALL!L415</f>
        <v>84.570899999999995</v>
      </c>
      <c r="N362" s="11">
        <f>[1]ALL!M415</f>
        <v>0</v>
      </c>
      <c r="O362" s="11">
        <f>[1]ALL!N415</f>
        <v>0</v>
      </c>
      <c r="P362" s="11">
        <f>[1]ALL!O415</f>
        <v>0</v>
      </c>
      <c r="Q362" s="11">
        <f>[1]ALL!P415</f>
        <v>0</v>
      </c>
      <c r="R362" s="11">
        <f>[1]ALL!Q415</f>
        <v>0</v>
      </c>
      <c r="S362" s="11">
        <f>[1]ALL!R358</f>
        <v>0</v>
      </c>
      <c r="T362" s="9"/>
      <c r="U362" s="9"/>
      <c r="V362" s="10"/>
    </row>
    <row r="363" spans="1:22">
      <c r="A363" s="2">
        <v>438</v>
      </c>
      <c r="B363" s="1" t="str">
        <f>[1]ALL!A439</f>
        <v>8892B</v>
      </c>
      <c r="C363" s="2" t="str">
        <f>[1]ALL!B439</f>
        <v>The Minutemen</v>
      </c>
      <c r="D363" s="2" t="str">
        <f>[1]ALL!C439</f>
        <v>Delhi Charter School</v>
      </c>
      <c r="E363" s="2" t="str">
        <f>[1]ALL!D439</f>
        <v>Delhi, Louisiana, United States</v>
      </c>
      <c r="F363" s="8">
        <f>[1]ALL!E439</f>
        <v>136</v>
      </c>
      <c r="G363" s="8">
        <f>[1]ALL!F439</f>
        <v>16</v>
      </c>
      <c r="H363" s="8">
        <f>[1]ALL!G439</f>
        <v>135.273</v>
      </c>
      <c r="I363" s="11">
        <f>[1]ALL!H439</f>
        <v>135.273</v>
      </c>
      <c r="J363" s="11">
        <f>[1]ALL!I439</f>
        <v>58.240499999999997</v>
      </c>
      <c r="K363" s="11">
        <f>[1]ALL!J439</f>
        <v>63.560699999999997</v>
      </c>
      <c r="L363" s="11">
        <f>[1]ALL!K439</f>
        <v>0</v>
      </c>
      <c r="M363" s="11">
        <f>[1]ALL!L439</f>
        <v>0</v>
      </c>
      <c r="N363" s="11">
        <f>[1]ALL!M439</f>
        <v>0</v>
      </c>
      <c r="O363" s="11">
        <f>[1]ALL!N439</f>
        <v>0</v>
      </c>
      <c r="P363" s="11">
        <f>[1]ALL!O439</f>
        <v>0</v>
      </c>
      <c r="Q363" s="11">
        <f>[1]ALL!P439</f>
        <v>0</v>
      </c>
      <c r="R363" s="11">
        <f>[1]ALL!Q439</f>
        <v>0</v>
      </c>
      <c r="S363" s="11">
        <f>[1]ALL!R359</f>
        <v>0</v>
      </c>
      <c r="T363" s="9"/>
      <c r="U363" s="9"/>
      <c r="V363" s="10"/>
    </row>
    <row r="364" spans="1:22">
      <c r="A364" s="2">
        <v>26</v>
      </c>
      <c r="B364" s="1" t="str">
        <f>[1]ALL!A27</f>
        <v>134A</v>
      </c>
      <c r="C364" s="2" t="str">
        <f>[1]ALL!B27</f>
        <v>Team Discovery -  Alpha</v>
      </c>
      <c r="D364" s="2" t="str">
        <f>[1]ALL!C27</f>
        <v>Pembroke Academy</v>
      </c>
      <c r="E364" s="2" t="str">
        <f>[1]ALL!D27</f>
        <v>Pembroke, New Hampshire, United States</v>
      </c>
      <c r="F364" s="8">
        <f>[1]ALL!E27</f>
        <v>85</v>
      </c>
      <c r="G364" s="8">
        <f>[1]ALL!F27</f>
        <v>15</v>
      </c>
      <c r="H364" s="8">
        <f>[1]ALL!G27</f>
        <v>69.090599999999995</v>
      </c>
      <c r="I364" s="11">
        <f>[1]ALL!H27</f>
        <v>58.788400000000003</v>
      </c>
      <c r="J364" s="11">
        <f>[1]ALL!I27</f>
        <v>69.090599999999995</v>
      </c>
      <c r="K364" s="11">
        <f>[1]ALL!J27</f>
        <v>46.463299999999997</v>
      </c>
      <c r="L364" s="11">
        <f>[1]ALL!K27</f>
        <v>29.940100000000001</v>
      </c>
      <c r="M364" s="11">
        <f>[1]ALL!L27</f>
        <v>28.203199999999999</v>
      </c>
      <c r="N364" s="11">
        <f>[1]ALL!M27</f>
        <v>49.744399999999999</v>
      </c>
      <c r="O364" s="11">
        <f>[1]ALL!N27</f>
        <v>17.308199999999999</v>
      </c>
      <c r="P364" s="11">
        <f>[1]ALL!O27</f>
        <v>0</v>
      </c>
      <c r="Q364" s="11">
        <f>[1]ALL!P27</f>
        <v>0</v>
      </c>
      <c r="R364" s="11">
        <f>[1]ALL!Q27</f>
        <v>0</v>
      </c>
      <c r="S364" s="11">
        <f>[1]ALL!R360</f>
        <v>0</v>
      </c>
      <c r="T364" s="9"/>
      <c r="U364" s="9"/>
      <c r="V364" s="10"/>
    </row>
    <row r="365" spans="1:22">
      <c r="A365" s="2">
        <v>15</v>
      </c>
      <c r="B365" s="1" t="str">
        <f>[1]ALL!A16</f>
        <v>56B</v>
      </c>
      <c r="C365" s="2" t="str">
        <f>[1]ALL!B16</f>
        <v>Cape Robotics B</v>
      </c>
      <c r="D365" s="2" t="str">
        <f>[1]ALL!C16</f>
        <v>Cape Elizabeth High School</v>
      </c>
      <c r="E365" s="2" t="str">
        <f>[1]ALL!D16</f>
        <v>Cape Elizabeth, Maine, United States</v>
      </c>
      <c r="F365" s="8">
        <f>[1]ALL!E16</f>
        <v>17</v>
      </c>
      <c r="G365" s="8">
        <f>[1]ALL!F16</f>
        <v>15</v>
      </c>
      <c r="H365" s="8">
        <f>[1]ALL!G16</f>
        <v>18.670100000000001</v>
      </c>
      <c r="I365" s="11">
        <f>[1]ALL!H16</f>
        <v>18.670100000000001</v>
      </c>
      <c r="J365" s="11">
        <f>[1]ALL!I16</f>
        <v>6.32334</v>
      </c>
      <c r="K365" s="11">
        <f>[1]ALL!J16</f>
        <v>9.5600299999999994</v>
      </c>
      <c r="L365" s="11">
        <f>[1]ALL!K16</f>
        <v>0</v>
      </c>
      <c r="M365" s="11">
        <f>[1]ALL!L16</f>
        <v>0</v>
      </c>
      <c r="N365" s="11">
        <f>[1]ALL!M16</f>
        <v>0</v>
      </c>
      <c r="O365" s="11">
        <f>[1]ALL!N16</f>
        <v>0</v>
      </c>
      <c r="P365" s="11">
        <f>[1]ALL!O16</f>
        <v>0</v>
      </c>
      <c r="Q365" s="11">
        <f>[1]ALL!P16</f>
        <v>0</v>
      </c>
      <c r="R365" s="11">
        <f>[1]ALL!Q16</f>
        <v>0</v>
      </c>
      <c r="S365" s="11">
        <f>[1]ALL!R361</f>
        <v>0</v>
      </c>
      <c r="T365" s="9"/>
      <c r="U365" s="9"/>
      <c r="V365" s="10"/>
    </row>
    <row r="366" spans="1:22">
      <c r="A366" s="2">
        <v>47</v>
      </c>
      <c r="B366" s="1" t="str">
        <f>[1]ALL!A48</f>
        <v>288A</v>
      </c>
      <c r="C366" s="2" t="str">
        <f>[1]ALL!B48</f>
        <v>Robotic Legion</v>
      </c>
      <c r="D366" s="2" t="str">
        <f>[1]ALL!C48</f>
        <v>Grandville High School</v>
      </c>
      <c r="E366" s="2" t="str">
        <f>[1]ALL!D48</f>
        <v>Grandville, Michigan, United States</v>
      </c>
      <c r="F366" s="8">
        <f>[1]ALL!E48</f>
        <v>38</v>
      </c>
      <c r="G366" s="8">
        <f>[1]ALL!F48</f>
        <v>12</v>
      </c>
      <c r="H366" s="8">
        <f>[1]ALL!G48</f>
        <v>61.6402</v>
      </c>
      <c r="I366" s="11">
        <f>[1]ALL!H48</f>
        <v>61.6402</v>
      </c>
      <c r="J366" s="11">
        <f>[1]ALL!I48</f>
        <v>19.649999999999999</v>
      </c>
      <c r="K366" s="11">
        <f>[1]ALL!J48</f>
        <v>45.9343</v>
      </c>
      <c r="L366" s="11">
        <f>[1]ALL!K48</f>
        <v>41.956899999999997</v>
      </c>
      <c r="M366" s="11">
        <f>[1]ALL!L48</f>
        <v>17.892900000000001</v>
      </c>
      <c r="N366" s="11">
        <f>[1]ALL!M48</f>
        <v>0</v>
      </c>
      <c r="O366" s="11">
        <f>[1]ALL!N48</f>
        <v>0</v>
      </c>
      <c r="P366" s="11">
        <f>[1]ALL!O48</f>
        <v>0</v>
      </c>
      <c r="Q366" s="11">
        <f>[1]ALL!P48</f>
        <v>0</v>
      </c>
      <c r="R366" s="11">
        <f>[1]ALL!Q48</f>
        <v>0</v>
      </c>
      <c r="S366" s="11">
        <f>[1]ALL!R362</f>
        <v>0</v>
      </c>
      <c r="T366" s="9"/>
      <c r="U366" s="9"/>
      <c r="V366" s="10"/>
    </row>
    <row r="367" spans="1:22">
      <c r="A367" s="2">
        <v>263</v>
      </c>
      <c r="B367" s="1" t="str">
        <f>[1]ALL!A264</f>
        <v>4906A</v>
      </c>
      <c r="C367" s="2" t="str">
        <f>[1]ALL!B264</f>
        <v>The Collective</v>
      </c>
      <c r="D367" s="2" t="str">
        <f>[1]ALL!C264</f>
        <v>Mid-Maine Technical Center</v>
      </c>
      <c r="E367" s="2" t="str">
        <f>[1]ALL!D264</f>
        <v>Waterville, Maine, United States</v>
      </c>
      <c r="F367" s="8">
        <f>[1]ALL!E264</f>
        <v>25</v>
      </c>
      <c r="G367" s="8">
        <f>[1]ALL!F264</f>
        <v>12</v>
      </c>
      <c r="H367" s="8">
        <f>[1]ALL!G264</f>
        <v>65.862499999999997</v>
      </c>
      <c r="I367" s="11">
        <f>[1]ALL!H264</f>
        <v>65.862499999999997</v>
      </c>
      <c r="J367" s="11">
        <f>[1]ALL!I264</f>
        <v>31.6799</v>
      </c>
      <c r="K367" s="11">
        <f>[1]ALL!J264</f>
        <v>35.819800000000001</v>
      </c>
      <c r="L367" s="11">
        <f>[1]ALL!K264</f>
        <v>0</v>
      </c>
      <c r="M367" s="11">
        <f>[1]ALL!L264</f>
        <v>0</v>
      </c>
      <c r="N367" s="11">
        <f>[1]ALL!M264</f>
        <v>0</v>
      </c>
      <c r="O367" s="11">
        <f>[1]ALL!N264</f>
        <v>0</v>
      </c>
      <c r="P367" s="11">
        <f>[1]ALL!O264</f>
        <v>0</v>
      </c>
      <c r="Q367" s="11">
        <f>[1]ALL!P264</f>
        <v>0</v>
      </c>
      <c r="R367" s="11">
        <f>[1]ALL!Q264</f>
        <v>0</v>
      </c>
      <c r="S367" s="11">
        <f>[1]ALL!R363</f>
        <v>0</v>
      </c>
      <c r="T367" s="9"/>
      <c r="U367" s="9"/>
      <c r="V367" s="10"/>
    </row>
    <row r="368" spans="1:22">
      <c r="A368" s="2">
        <v>126</v>
      </c>
      <c r="B368" s="1" t="str">
        <f>[1]ALL!A127</f>
        <v>1356B</v>
      </c>
      <c r="C368" s="2" t="str">
        <f>[1]ALL!B127</f>
        <v>Parkview Panthers Team B</v>
      </c>
      <c r="D368" s="2" t="str">
        <f>[1]ALL!C127</f>
        <v>Parkview High School - Gwinnett</v>
      </c>
      <c r="E368" s="2" t="str">
        <f>[1]ALL!D127</f>
        <v>Lilburn, Georgia, United States</v>
      </c>
      <c r="F368" s="8">
        <f>[1]ALL!E127</f>
        <v>303</v>
      </c>
      <c r="G368" s="8">
        <f>[1]ALL!F127</f>
        <v>10</v>
      </c>
      <c r="H368" s="8">
        <f>[1]ALL!G127</f>
        <v>94.680400000000006</v>
      </c>
      <c r="I368" s="11">
        <f>[1]ALL!H127</f>
        <v>94.680400000000006</v>
      </c>
      <c r="J368" s="11">
        <f>[1]ALL!I127</f>
        <v>38.5809</v>
      </c>
      <c r="K368" s="11">
        <f>[1]ALL!J127</f>
        <v>37.7209</v>
      </c>
      <c r="L368" s="11">
        <f>[1]ALL!K127</f>
        <v>46.5047</v>
      </c>
      <c r="M368" s="11">
        <f>[1]ALL!L127</f>
        <v>58.5548</v>
      </c>
      <c r="N368" s="11">
        <f>[1]ALL!M127</f>
        <v>19.010200000000001</v>
      </c>
      <c r="O368" s="11">
        <f>[1]ALL!N127</f>
        <v>9.5456699999999994</v>
      </c>
      <c r="P368" s="11">
        <f>[1]ALL!O127</f>
        <v>0</v>
      </c>
      <c r="Q368" s="11">
        <f>[1]ALL!P127</f>
        <v>0</v>
      </c>
      <c r="R368" s="11">
        <f>[1]ALL!Q127</f>
        <v>0</v>
      </c>
      <c r="S368" s="11">
        <f>[1]ALL!R364</f>
        <v>0</v>
      </c>
      <c r="T368" s="9"/>
      <c r="U368" s="9"/>
      <c r="V368" s="10"/>
    </row>
    <row r="369" spans="1:22">
      <c r="A369" s="2">
        <v>244</v>
      </c>
      <c r="B369" s="1" t="str">
        <f>[1]ALL!A245</f>
        <v>4423C</v>
      </c>
      <c r="C369" s="2" t="str">
        <f>[1]ALL!B245</f>
        <v>Masters</v>
      </c>
      <c r="D369" s="2" t="str">
        <f>[1]ALL!C245</f>
        <v>San Pedro Claver</v>
      </c>
      <c r="E369" s="2" t="str">
        <f>[1]ALL!D245</f>
        <v>Bucaramanga, Santander, Colombia</v>
      </c>
      <c r="F369" s="8">
        <f>[1]ALL!E245</f>
        <v>126</v>
      </c>
      <c r="G369" s="8">
        <f>[1]ALL!F245</f>
        <v>10</v>
      </c>
      <c r="H369" s="8">
        <f>[1]ALL!G245</f>
        <v>115.127</v>
      </c>
      <c r="I369" s="11">
        <f>[1]ALL!H245</f>
        <v>115.127</v>
      </c>
      <c r="J369" s="11">
        <f>[1]ALL!I245</f>
        <v>66.681100000000001</v>
      </c>
      <c r="K369" s="11">
        <f>[1]ALL!J245</f>
        <v>0</v>
      </c>
      <c r="L369" s="11">
        <f>[1]ALL!K245</f>
        <v>0</v>
      </c>
      <c r="M369" s="11">
        <f>[1]ALL!L245</f>
        <v>0</v>
      </c>
      <c r="N369" s="11">
        <f>[1]ALL!M245</f>
        <v>0</v>
      </c>
      <c r="O369" s="11">
        <f>[1]ALL!N245</f>
        <v>0</v>
      </c>
      <c r="P369" s="11">
        <f>[1]ALL!O245</f>
        <v>0</v>
      </c>
      <c r="Q369" s="11">
        <f>[1]ALL!P245</f>
        <v>0</v>
      </c>
      <c r="R369" s="11">
        <f>[1]ALL!Q245</f>
        <v>0</v>
      </c>
      <c r="S369" s="11">
        <f>[1]ALL!R365</f>
        <v>0</v>
      </c>
      <c r="T369" s="9"/>
      <c r="U369" s="9"/>
      <c r="V369" s="10"/>
    </row>
    <row r="370" spans="1:22">
      <c r="A370" s="2">
        <v>434</v>
      </c>
      <c r="B370" s="1" t="str">
        <f>[1]ALL!A435</f>
        <v>8787</v>
      </c>
      <c r="C370" s="2" t="str">
        <f>[1]ALL!B435</f>
        <v>Eastwood Robotics</v>
      </c>
      <c r="D370" s="2" t="str">
        <f>[1]ALL!C435</f>
        <v>Eastwood High School</v>
      </c>
      <c r="E370" s="2" t="str">
        <f>[1]ALL!D435</f>
        <v>El Paso, Texas, United States</v>
      </c>
      <c r="F370" s="8">
        <f>[1]ALL!E435</f>
        <v>0</v>
      </c>
      <c r="G370" s="8">
        <f>[1]ALL!F435</f>
        <v>10</v>
      </c>
      <c r="H370" s="8">
        <f>[1]ALL!G435</f>
        <v>97.267200000000003</v>
      </c>
      <c r="I370" s="11">
        <f>[1]ALL!H435</f>
        <v>16.790299999999998</v>
      </c>
      <c r="J370" s="11">
        <f>[1]ALL!I435</f>
        <v>97.267200000000003</v>
      </c>
      <c r="K370" s="11">
        <f>[1]ALL!J435</f>
        <v>19.596299999999999</v>
      </c>
      <c r="L370" s="11">
        <f>[1]ALL!K435</f>
        <v>0</v>
      </c>
      <c r="M370" s="11">
        <f>[1]ALL!L435</f>
        <v>0</v>
      </c>
      <c r="N370" s="11">
        <f>[1]ALL!M435</f>
        <v>0</v>
      </c>
      <c r="O370" s="11">
        <f>[1]ALL!N435</f>
        <v>0</v>
      </c>
      <c r="P370" s="11">
        <f>[1]ALL!O435</f>
        <v>0</v>
      </c>
      <c r="Q370" s="11">
        <f>[1]ALL!P435</f>
        <v>0</v>
      </c>
      <c r="R370" s="11">
        <f>[1]ALL!Q435</f>
        <v>0</v>
      </c>
      <c r="S370" s="11">
        <f>[1]ALL!R366</f>
        <v>0</v>
      </c>
      <c r="T370" s="9"/>
      <c r="U370" s="9"/>
      <c r="V370" s="10"/>
    </row>
    <row r="371" spans="1:22">
      <c r="A371" s="2">
        <v>311</v>
      </c>
      <c r="B371" s="1" t="str">
        <f>[1]ALL!A312</f>
        <v>5937A</v>
      </c>
      <c r="C371" s="2" t="str">
        <f>[1]ALL!B312</f>
        <v>F(net)</v>
      </c>
      <c r="D371" s="2" t="str">
        <f>[1]ALL!C312</f>
        <v>Nottingham High School</v>
      </c>
      <c r="E371" s="2" t="str">
        <f>[1]ALL!D312</f>
        <v>Syracuse, New York, United States</v>
      </c>
      <c r="F371" s="8">
        <f>[1]ALL!E312</f>
        <v>142</v>
      </c>
      <c r="G371" s="8">
        <f>[1]ALL!F312</f>
        <v>9</v>
      </c>
      <c r="H371" s="8">
        <f>[1]ALL!G312</f>
        <v>78.161100000000005</v>
      </c>
      <c r="I371" s="11">
        <f>[1]ALL!H312</f>
        <v>51.434899999999999</v>
      </c>
      <c r="J371" s="11">
        <f>[1]ALL!I312</f>
        <v>58.996899999999997</v>
      </c>
      <c r="K371" s="11">
        <f>[1]ALL!J312</f>
        <v>0</v>
      </c>
      <c r="L371" s="11">
        <f>[1]ALL!K312</f>
        <v>78.161100000000005</v>
      </c>
      <c r="M371" s="11">
        <f>[1]ALL!L312</f>
        <v>25.923300000000001</v>
      </c>
      <c r="N371" s="11">
        <f>[1]ALL!M312</f>
        <v>76.902699999999996</v>
      </c>
      <c r="O371" s="11">
        <f>[1]ALL!N312</f>
        <v>0</v>
      </c>
      <c r="P371" s="11">
        <f>[1]ALL!O312</f>
        <v>0</v>
      </c>
      <c r="Q371" s="11">
        <f>[1]ALL!P312</f>
        <v>0</v>
      </c>
      <c r="R371" s="11">
        <f>[1]ALL!Q312</f>
        <v>0</v>
      </c>
      <c r="S371" s="11">
        <f>[1]ALL!R367</f>
        <v>0</v>
      </c>
      <c r="T371" s="9"/>
      <c r="U371" s="9"/>
      <c r="V371" s="10"/>
    </row>
    <row r="372" spans="1:22">
      <c r="A372" s="2">
        <v>435</v>
      </c>
      <c r="B372" s="1" t="str">
        <f>[1]ALL!A436</f>
        <v>8787C</v>
      </c>
      <c r="C372" s="2" t="str">
        <f>[1]ALL!B436</f>
        <v>Lady Troopers</v>
      </c>
      <c r="D372" s="2" t="str">
        <f>[1]ALL!C436</f>
        <v>Eastwood High School</v>
      </c>
      <c r="E372" s="2" t="str">
        <f>[1]ALL!D436</f>
        <v>El Paso, Texas, United States</v>
      </c>
      <c r="F372" s="8">
        <f>[1]ALL!E436</f>
        <v>64</v>
      </c>
      <c r="G372" s="8">
        <f>[1]ALL!F436</f>
        <v>7</v>
      </c>
      <c r="H372" s="8">
        <f>[1]ALL!G436</f>
        <v>56.727899999999998</v>
      </c>
      <c r="I372" s="11">
        <f>[1]ALL!H436</f>
        <v>34.218299999999999</v>
      </c>
      <c r="J372" s="11">
        <f>[1]ALL!I436</f>
        <v>56.727899999999998</v>
      </c>
      <c r="K372" s="11">
        <f>[1]ALL!J436</f>
        <v>18.040600000000001</v>
      </c>
      <c r="L372" s="11">
        <f>[1]ALL!K436</f>
        <v>0</v>
      </c>
      <c r="M372" s="11">
        <f>[1]ALL!L436</f>
        <v>0</v>
      </c>
      <c r="N372" s="11">
        <f>[1]ALL!M436</f>
        <v>0</v>
      </c>
      <c r="O372" s="11">
        <f>[1]ALL!N436</f>
        <v>0</v>
      </c>
      <c r="P372" s="11">
        <f>[1]ALL!O436</f>
        <v>0</v>
      </c>
      <c r="Q372" s="11">
        <f>[1]ALL!P436</f>
        <v>0</v>
      </c>
      <c r="R372" s="11">
        <f>[1]ALL!Q436</f>
        <v>0</v>
      </c>
      <c r="S372" s="11">
        <f>[1]ALL!R368</f>
        <v>0</v>
      </c>
      <c r="T372" s="9"/>
      <c r="U372" s="9"/>
      <c r="V372" s="10"/>
    </row>
    <row r="373" spans="1:22">
      <c r="A373" s="2">
        <v>192</v>
      </c>
      <c r="B373" s="1" t="str">
        <f>[1]ALL!A193</f>
        <v>2777N</v>
      </c>
      <c r="C373" s="2" t="str">
        <f>[1]ALL!B193</f>
        <v>2andthree7'sthenaN</v>
      </c>
      <c r="D373" s="2" t="str">
        <f>[1]ALL!C193</f>
        <v>McMichael HS</v>
      </c>
      <c r="E373" s="2" t="str">
        <f>[1]ALL!D193</f>
        <v>Mayodan, North Carolina, United States</v>
      </c>
      <c r="F373" s="8">
        <f>[1]ALL!E193</f>
        <v>43</v>
      </c>
      <c r="G373" s="8">
        <f>[1]ALL!F193</f>
        <v>7</v>
      </c>
      <c r="H373" s="8">
        <f>[1]ALL!G193</f>
        <v>34.226599999999998</v>
      </c>
      <c r="I373" s="11">
        <f>[1]ALL!H193</f>
        <v>27.181000000000001</v>
      </c>
      <c r="J373" s="11">
        <f>[1]ALL!I193</f>
        <v>34.226599999999998</v>
      </c>
      <c r="K373" s="11">
        <f>[1]ALL!J193</f>
        <v>22.118200000000002</v>
      </c>
      <c r="L373" s="11">
        <f>[1]ALL!K193</f>
        <v>0</v>
      </c>
      <c r="M373" s="11">
        <f>[1]ALL!L193</f>
        <v>0</v>
      </c>
      <c r="N373" s="11">
        <f>[1]ALL!M193</f>
        <v>0</v>
      </c>
      <c r="O373" s="11">
        <f>[1]ALL!N193</f>
        <v>0</v>
      </c>
      <c r="P373" s="11">
        <f>[1]ALL!O193</f>
        <v>0</v>
      </c>
      <c r="Q373" s="11">
        <f>[1]ALL!P193</f>
        <v>0</v>
      </c>
      <c r="R373" s="11">
        <f>[1]ALL!Q193</f>
        <v>0</v>
      </c>
      <c r="S373" s="11">
        <f>[1]ALL!R369</f>
        <v>0</v>
      </c>
      <c r="T373" s="9"/>
      <c r="U373" s="9"/>
      <c r="V373" s="10"/>
    </row>
    <row r="374" spans="1:22">
      <c r="A374" s="2">
        <v>379</v>
      </c>
      <c r="B374" s="1" t="str">
        <f>[1]ALL!A380</f>
        <v>7665C</v>
      </c>
      <c r="C374" s="2" t="str">
        <f>[1]ALL!B380</f>
        <v>Raudales malpaso C</v>
      </c>
      <c r="D374" s="2" t="str">
        <f>[1]ALL!C380</f>
        <v>CECYTECH PLANTEL 13 Raudales Malpaso</v>
      </c>
      <c r="E374" s="2" t="str">
        <f>[1]ALL!D380</f>
        <v>Tecpatan, Chiapas, Chiapas, Mexico</v>
      </c>
      <c r="F374" s="8">
        <f>[1]ALL!E380</f>
        <v>0</v>
      </c>
      <c r="G374" s="8">
        <f>[1]ALL!F380</f>
        <v>7</v>
      </c>
      <c r="H374" s="8">
        <f>[1]ALL!G380</f>
        <v>115.324</v>
      </c>
      <c r="I374" s="11">
        <f>[1]ALL!H380</f>
        <v>115.324</v>
      </c>
      <c r="J374" s="11">
        <f>[1]ALL!I380</f>
        <v>89.773899999999998</v>
      </c>
      <c r="K374" s="11">
        <f>[1]ALL!J380</f>
        <v>71.675899999999999</v>
      </c>
      <c r="L374" s="11">
        <f>[1]ALL!K380</f>
        <v>52.659500000000001</v>
      </c>
      <c r="M374" s="11">
        <f>[1]ALL!L380</f>
        <v>0</v>
      </c>
      <c r="N374" s="11">
        <f>[1]ALL!M380</f>
        <v>0</v>
      </c>
      <c r="O374" s="11">
        <f>[1]ALL!N380</f>
        <v>0</v>
      </c>
      <c r="P374" s="11">
        <f>[1]ALL!O380</f>
        <v>0</v>
      </c>
      <c r="Q374" s="11">
        <f>[1]ALL!P380</f>
        <v>0</v>
      </c>
      <c r="R374" s="11">
        <f>[1]ALL!Q380</f>
        <v>0</v>
      </c>
      <c r="S374" s="11">
        <f>[1]ALL!R370</f>
        <v>0</v>
      </c>
      <c r="T374" s="9"/>
      <c r="U374" s="9"/>
      <c r="V374" s="10"/>
    </row>
    <row r="375" spans="1:22">
      <c r="A375" s="2">
        <v>445</v>
      </c>
      <c r="B375" s="1" t="str">
        <f>[1]ALL!A446</f>
        <v>9020</v>
      </c>
      <c r="C375" s="2" t="str">
        <f>[1]ALL!B446</f>
        <v>Cape Henlopen</v>
      </c>
      <c r="D375" s="2" t="str">
        <f>[1]ALL!C446</f>
        <v>Cape Henlopen High School</v>
      </c>
      <c r="E375" s="2" t="str">
        <f>[1]ALL!D446</f>
        <v>Lewes, Delaware, United States</v>
      </c>
      <c r="F375" s="8">
        <f>[1]ALL!E446</f>
        <v>32</v>
      </c>
      <c r="G375" s="8">
        <f>[1]ALL!F446</f>
        <v>6</v>
      </c>
      <c r="H375" s="8">
        <f>[1]ALL!G446</f>
        <v>38.782200000000003</v>
      </c>
      <c r="I375" s="11">
        <f>[1]ALL!H446</f>
        <v>38.782200000000003</v>
      </c>
      <c r="J375" s="11">
        <f>[1]ALL!I446</f>
        <v>0</v>
      </c>
      <c r="K375" s="11">
        <f>[1]ALL!J446</f>
        <v>0</v>
      </c>
      <c r="L375" s="11">
        <f>[1]ALL!K446</f>
        <v>0</v>
      </c>
      <c r="M375" s="11">
        <f>[1]ALL!L446</f>
        <v>0</v>
      </c>
      <c r="N375" s="11">
        <f>[1]ALL!M446</f>
        <v>0</v>
      </c>
      <c r="O375" s="11">
        <f>[1]ALL!N446</f>
        <v>0</v>
      </c>
      <c r="P375" s="11">
        <f>[1]ALL!O446</f>
        <v>0</v>
      </c>
      <c r="Q375" s="11">
        <f>[1]ALL!P446</f>
        <v>0</v>
      </c>
      <c r="R375" s="11">
        <f>[1]ALL!Q446</f>
        <v>0</v>
      </c>
      <c r="S375" s="11">
        <f>[1]ALL!R371</f>
        <v>0</v>
      </c>
      <c r="T375" s="9"/>
      <c r="U375" s="9"/>
      <c r="V375" s="10"/>
    </row>
    <row r="376" spans="1:22">
      <c r="A376" s="2">
        <v>490</v>
      </c>
      <c r="B376" s="1" t="str">
        <f>[1]ALL!A491</f>
        <v>99153K</v>
      </c>
      <c r="C376" s="2" t="str">
        <f>[1]ALL!B491</f>
        <v>CECYT No. 6 Chihuahua</v>
      </c>
      <c r="D376" s="2" t="str">
        <f>[1]ALL!C491</f>
        <v>COLEG. DE EST. CIENT. Y TECNOLOG DE CHIHUAHUA</v>
      </c>
      <c r="E376" s="2" t="str">
        <f>[1]ALL!D491</f>
        <v>CHIHUAHUA, Chihuahua, Mexico</v>
      </c>
      <c r="F376" s="8">
        <f>[1]ALL!E491</f>
        <v>111</v>
      </c>
      <c r="G376" s="8">
        <f>[1]ALL!F491</f>
        <v>5</v>
      </c>
      <c r="H376" s="8">
        <f>[1]ALL!G491</f>
        <v>92.955200000000005</v>
      </c>
      <c r="I376" s="11">
        <f>[1]ALL!H491</f>
        <v>77.945499999999996</v>
      </c>
      <c r="J376" s="11">
        <f>[1]ALL!I491</f>
        <v>92.955200000000005</v>
      </c>
      <c r="K376" s="11">
        <f>[1]ALL!J491</f>
        <v>70.780299999999997</v>
      </c>
      <c r="L376" s="11">
        <f>[1]ALL!K491</f>
        <v>0</v>
      </c>
      <c r="M376" s="11">
        <f>[1]ALL!L491</f>
        <v>0</v>
      </c>
      <c r="N376" s="11">
        <f>[1]ALL!M491</f>
        <v>0</v>
      </c>
      <c r="O376" s="11">
        <f>[1]ALL!N491</f>
        <v>0</v>
      </c>
      <c r="P376" s="11">
        <f>[1]ALL!O491</f>
        <v>0</v>
      </c>
      <c r="Q376" s="11">
        <f>[1]ALL!P491</f>
        <v>0</v>
      </c>
      <c r="R376" s="11">
        <f>[1]ALL!Q491</f>
        <v>0</v>
      </c>
      <c r="S376" s="11">
        <f>[1]ALL!R372</f>
        <v>0</v>
      </c>
      <c r="T376" s="9"/>
      <c r="U376" s="9"/>
      <c r="V376" s="10"/>
    </row>
    <row r="377" spans="1:22">
      <c r="A377" s="2">
        <v>183</v>
      </c>
      <c r="B377" s="1" t="str">
        <f>[1]ALL!A184</f>
        <v>2576A</v>
      </c>
      <c r="C377" s="2" t="str">
        <f>[1]ALL!B184</f>
        <v>Corazón de Chileno</v>
      </c>
      <c r="D377" s="2" t="str">
        <f>[1]ALL!C184</f>
        <v>Fundación Corazón de Chileno</v>
      </c>
      <c r="E377" s="2" t="str">
        <f>[1]ALL!D184</f>
        <v>Santiago, N/A, Chile</v>
      </c>
      <c r="F377" s="8">
        <f>[1]ALL!E184</f>
        <v>16</v>
      </c>
      <c r="G377" s="8">
        <f>[1]ALL!F184</f>
        <v>4</v>
      </c>
      <c r="H377" s="8">
        <f>[1]ALL!G184</f>
        <v>34.003799999999998</v>
      </c>
      <c r="I377" s="11">
        <f>[1]ALL!H184</f>
        <v>34.003799999999998</v>
      </c>
      <c r="J377" s="11">
        <f>[1]ALL!I184</f>
        <v>0</v>
      </c>
      <c r="K377" s="11">
        <f>[1]ALL!J184</f>
        <v>0</v>
      </c>
      <c r="L377" s="11">
        <f>[1]ALL!K184</f>
        <v>0</v>
      </c>
      <c r="M377" s="11">
        <f>[1]ALL!L184</f>
        <v>0</v>
      </c>
      <c r="N377" s="11">
        <f>[1]ALL!M184</f>
        <v>0</v>
      </c>
      <c r="O377" s="11">
        <f>[1]ALL!N184</f>
        <v>0</v>
      </c>
      <c r="P377" s="11">
        <f>[1]ALL!O184</f>
        <v>0</v>
      </c>
      <c r="Q377" s="11">
        <f>[1]ALL!P184</f>
        <v>0</v>
      </c>
      <c r="R377" s="11">
        <f>[1]ALL!Q184</f>
        <v>0</v>
      </c>
      <c r="S377" s="11">
        <f>[1]ALL!R373</f>
        <v>0</v>
      </c>
      <c r="T377" s="9"/>
      <c r="U377" s="9"/>
      <c r="V377" s="10"/>
    </row>
    <row r="378" spans="1:22">
      <c r="A378" s="2">
        <v>298</v>
      </c>
      <c r="B378" s="1" t="str">
        <f>[1]ALL!A299</f>
        <v>5735B</v>
      </c>
      <c r="C378" s="2" t="str">
        <f>[1]ALL!B299</f>
        <v>Jackets STEAM Team</v>
      </c>
      <c r="D378" s="2" t="str">
        <f>[1]ALL!C299</f>
        <v>St Martin High School</v>
      </c>
      <c r="E378" s="2" t="str">
        <f>[1]ALL!D299</f>
        <v>Ocean Springs, Mississippi, United States</v>
      </c>
      <c r="F378" s="8">
        <f>[1]ALL!E299</f>
        <v>42</v>
      </c>
      <c r="G378" s="8">
        <f>[1]ALL!F299</f>
        <v>3</v>
      </c>
      <c r="H378" s="8">
        <f>[1]ALL!G299</f>
        <v>46.560899999999997</v>
      </c>
      <c r="I378" s="11">
        <f>[1]ALL!H299</f>
        <v>19.330400000000001</v>
      </c>
      <c r="J378" s="11">
        <f>[1]ALL!I299</f>
        <v>38.1083</v>
      </c>
      <c r="K378" s="11">
        <f>[1]ALL!J299</f>
        <v>46.560899999999997</v>
      </c>
      <c r="L378" s="11">
        <f>[1]ALL!K299</f>
        <v>0</v>
      </c>
      <c r="M378" s="11">
        <f>[1]ALL!L299</f>
        <v>0</v>
      </c>
      <c r="N378" s="11">
        <f>[1]ALL!M299</f>
        <v>0</v>
      </c>
      <c r="O378" s="11">
        <f>[1]ALL!N299</f>
        <v>0</v>
      </c>
      <c r="P378" s="11">
        <f>[1]ALL!O299</f>
        <v>0</v>
      </c>
      <c r="Q378" s="11">
        <f>[1]ALL!P299</f>
        <v>0</v>
      </c>
      <c r="R378" s="11">
        <f>[1]ALL!Q299</f>
        <v>0</v>
      </c>
      <c r="S378" s="11">
        <f>[1]ALL!R374</f>
        <v>51.3611</v>
      </c>
      <c r="T378" s="9"/>
      <c r="U378" s="9"/>
      <c r="V378" s="10"/>
    </row>
    <row r="379" spans="1:22">
      <c r="A379" s="2">
        <v>448</v>
      </c>
      <c r="B379" s="1" t="str">
        <f>[1]ALL!A449</f>
        <v>9080H</v>
      </c>
      <c r="C379" s="2" t="str">
        <f>[1]ALL!B449</f>
        <v>Rebel Robotics II</v>
      </c>
      <c r="D379" s="2" t="str">
        <f>[1]ALL!C449</f>
        <v>South Hagerstown High School</v>
      </c>
      <c r="E379" s="2" t="str">
        <f>[1]ALL!D449</f>
        <v>Hagerstown, Maryland, United States</v>
      </c>
      <c r="F379" s="8">
        <f>[1]ALL!E449</f>
        <v>322</v>
      </c>
      <c r="G379" s="8">
        <f>[1]ALL!F449</f>
        <v>2</v>
      </c>
      <c r="H379" s="8">
        <f>[1]ALL!G449</f>
        <v>70.145600000000002</v>
      </c>
      <c r="I379" s="11">
        <f>[1]ALL!H449</f>
        <v>60.614100000000001</v>
      </c>
      <c r="J379" s="11">
        <f>[1]ALL!I449</f>
        <v>25.400200000000002</v>
      </c>
      <c r="K379" s="11">
        <f>[1]ALL!J449</f>
        <v>70.145600000000002</v>
      </c>
      <c r="L379" s="11">
        <f>[1]ALL!K449</f>
        <v>24.004100000000001</v>
      </c>
      <c r="M379" s="11">
        <f>[1]ALL!L449</f>
        <v>51.624899999999997</v>
      </c>
      <c r="N379" s="11">
        <f>[1]ALL!M449</f>
        <v>10.0482</v>
      </c>
      <c r="O379" s="11">
        <f>[1]ALL!N449</f>
        <v>0</v>
      </c>
      <c r="P379" s="11">
        <f>[1]ALL!O449</f>
        <v>0</v>
      </c>
      <c r="Q379" s="11">
        <f>[1]ALL!P449</f>
        <v>0</v>
      </c>
      <c r="R379" s="11">
        <f>[1]ALL!Q449</f>
        <v>0</v>
      </c>
      <c r="S379" s="11">
        <f>[1]ALL!R375</f>
        <v>0</v>
      </c>
      <c r="T379" s="9"/>
      <c r="U379" s="9"/>
      <c r="V379" s="10"/>
    </row>
    <row r="380" spans="1:22">
      <c r="A380" s="2">
        <v>215</v>
      </c>
      <c r="B380" s="1" t="str">
        <f>[1]ALL!A216</f>
        <v>3631A</v>
      </c>
      <c r="C380" s="2" t="str">
        <f>[1]ALL!B216</f>
        <v>Collierville Illuminati</v>
      </c>
      <c r="D380" s="2" t="str">
        <f>[1]ALL!C216</f>
        <v>Collierville High School</v>
      </c>
      <c r="E380" s="2" t="str">
        <f>[1]ALL!D216</f>
        <v>Collierville, Tennessee, United States</v>
      </c>
      <c r="F380" s="8">
        <f>[1]ALL!E216</f>
        <v>22</v>
      </c>
      <c r="G380" s="8">
        <f>[1]ALL!F216</f>
        <v>2</v>
      </c>
      <c r="H380" s="8">
        <f>[1]ALL!G216</f>
        <v>38.447099999999999</v>
      </c>
      <c r="I380" s="11">
        <f>[1]ALL!H216</f>
        <v>38.447099999999999</v>
      </c>
      <c r="J380" s="11">
        <f>[1]ALL!I216</f>
        <v>35.570599999999999</v>
      </c>
      <c r="K380" s="11">
        <f>[1]ALL!J216</f>
        <v>12.9533</v>
      </c>
      <c r="L380" s="11">
        <f>[1]ALL!K216</f>
        <v>0</v>
      </c>
      <c r="M380" s="11">
        <f>[1]ALL!L216</f>
        <v>0</v>
      </c>
      <c r="N380" s="11">
        <f>[1]ALL!M216</f>
        <v>0</v>
      </c>
      <c r="O380" s="11">
        <f>[1]ALL!N216</f>
        <v>0</v>
      </c>
      <c r="P380" s="11">
        <f>[1]ALL!O216</f>
        <v>0</v>
      </c>
      <c r="Q380" s="11">
        <f>[1]ALL!P216</f>
        <v>0</v>
      </c>
      <c r="R380" s="11">
        <f>[1]ALL!Q216</f>
        <v>0</v>
      </c>
      <c r="S380" s="11">
        <f>[1]ALL!R376</f>
        <v>0</v>
      </c>
      <c r="T380" s="9"/>
      <c r="U380" s="9"/>
      <c r="V380" s="10"/>
    </row>
    <row r="381" spans="1:22">
      <c r="A381" s="2">
        <v>107</v>
      </c>
      <c r="B381" s="1" t="str">
        <f>[1]ALL!A108</f>
        <v>1104M</v>
      </c>
      <c r="C381" s="2" t="str">
        <f>[1]ALL!B108</f>
        <v>Discobots Ⓜ - 🍁 #PrayForThomas2k16</v>
      </c>
      <c r="D381" s="2" t="str">
        <f>[1]ALL!C108</f>
        <v>Brampton Robotics Education</v>
      </c>
      <c r="E381" s="2" t="str">
        <f>[1]ALL!D108</f>
        <v>Brampton, Ontario, Canada</v>
      </c>
      <c r="F381" s="8">
        <f>[1]ALL!E108</f>
        <v>439</v>
      </c>
      <c r="G381" s="8">
        <f>[1]ALL!F108</f>
        <v>0</v>
      </c>
      <c r="H381" s="8">
        <f>[1]ALL!G108</f>
        <v>155.43299999999999</v>
      </c>
      <c r="I381" s="11">
        <f>[1]ALL!H108</f>
        <v>155.43299999999999</v>
      </c>
      <c r="J381" s="11">
        <f>[1]ALL!I108</f>
        <v>119.089</v>
      </c>
      <c r="K381" s="11">
        <f>[1]ALL!J108</f>
        <v>0</v>
      </c>
      <c r="L381" s="11">
        <f>[1]ALL!K108</f>
        <v>0</v>
      </c>
      <c r="M381" s="11">
        <f>[1]ALL!L108</f>
        <v>0</v>
      </c>
      <c r="N381" s="11">
        <f>[1]ALL!M108</f>
        <v>0</v>
      </c>
      <c r="O381" s="11">
        <f>[1]ALL!N108</f>
        <v>0</v>
      </c>
      <c r="P381" s="11">
        <f>[1]ALL!O108</f>
        <v>0</v>
      </c>
      <c r="Q381" s="11">
        <f>[1]ALL!P108</f>
        <v>0</v>
      </c>
      <c r="R381" s="11">
        <f>[1]ALL!Q108</f>
        <v>0</v>
      </c>
      <c r="S381" s="11">
        <f>[1]ALL!R377</f>
        <v>0</v>
      </c>
      <c r="T381" s="9"/>
      <c r="U381" s="9"/>
      <c r="V381" s="10"/>
    </row>
    <row r="382" spans="1:22">
      <c r="A382" s="2">
        <v>108</v>
      </c>
      <c r="B382" s="1" t="str">
        <f>[1]ALL!A109</f>
        <v>1104V</v>
      </c>
      <c r="C382" s="2" t="str">
        <f>[1]ALL!B109</f>
        <v>Discobots ℣ - 🍁 #PrayForThomas2k16</v>
      </c>
      <c r="D382" s="2" t="str">
        <f>[1]ALL!C109</f>
        <v>Brampton Robotics Education</v>
      </c>
      <c r="E382" s="2" t="str">
        <f>[1]ALL!D109</f>
        <v>Brampton, Ontario, Canada</v>
      </c>
      <c r="F382" s="8">
        <f>[1]ALL!E109</f>
        <v>400</v>
      </c>
      <c r="G382" s="8">
        <f>[1]ALL!F109</f>
        <v>0</v>
      </c>
      <c r="H382" s="8">
        <f>[1]ALL!G109</f>
        <v>155.88999999999999</v>
      </c>
      <c r="I382" s="11">
        <f>[1]ALL!H109</f>
        <v>97.639300000000006</v>
      </c>
      <c r="J382" s="11">
        <f>[1]ALL!I109</f>
        <v>155.88999999999999</v>
      </c>
      <c r="K382" s="11">
        <f>[1]ALL!J109</f>
        <v>96.428299999999993</v>
      </c>
      <c r="L382" s="11">
        <f>[1]ALL!K109</f>
        <v>74.928899999999999</v>
      </c>
      <c r="M382" s="11">
        <f>[1]ALL!L109</f>
        <v>80.825999999999993</v>
      </c>
      <c r="N382" s="11">
        <f>[1]ALL!M109</f>
        <v>80.305000000000007</v>
      </c>
      <c r="O382" s="11">
        <f>[1]ALL!N109</f>
        <v>74.325599999999994</v>
      </c>
      <c r="P382" s="11">
        <f>[1]ALL!O109</f>
        <v>0</v>
      </c>
      <c r="Q382" s="11">
        <f>[1]ALL!P109</f>
        <v>0</v>
      </c>
      <c r="R382" s="11">
        <f>[1]ALL!Q109</f>
        <v>0</v>
      </c>
      <c r="S382" s="11">
        <f>[1]ALL!R378</f>
        <v>0</v>
      </c>
      <c r="T382" s="9"/>
      <c r="U382" s="9"/>
      <c r="V382" s="10"/>
    </row>
    <row r="383" spans="1:22">
      <c r="A383" s="2">
        <v>398</v>
      </c>
      <c r="B383" s="1" t="str">
        <f>[1]ALL!A399</f>
        <v>8000A</v>
      </c>
      <c r="C383" s="2" t="str">
        <f>[1]ALL!B399</f>
        <v>HRS Robohawks</v>
      </c>
      <c r="D383" s="2" t="str">
        <f>[1]ALL!C399</f>
        <v>Head-Royce School</v>
      </c>
      <c r="E383" s="2" t="str">
        <f>[1]ALL!D399</f>
        <v>Oakland, California, United States</v>
      </c>
      <c r="F383" s="8">
        <f>[1]ALL!E399</f>
        <v>380</v>
      </c>
      <c r="G383" s="8">
        <f>[1]ALL!F399</f>
        <v>0</v>
      </c>
      <c r="H383" s="8">
        <f>[1]ALL!G399</f>
        <v>124.241</v>
      </c>
      <c r="I383" s="11">
        <f>[1]ALL!H399</f>
        <v>102.992</v>
      </c>
      <c r="J383" s="11">
        <f>[1]ALL!I399</f>
        <v>124.241</v>
      </c>
      <c r="K383" s="11">
        <f>[1]ALL!J399</f>
        <v>107.396</v>
      </c>
      <c r="L383" s="11">
        <f>[1]ALL!K399</f>
        <v>84.531800000000004</v>
      </c>
      <c r="M383" s="11">
        <f>[1]ALL!L399</f>
        <v>44.6937</v>
      </c>
      <c r="N383" s="11">
        <f>[1]ALL!M399</f>
        <v>37.076799999999999</v>
      </c>
      <c r="O383" s="11">
        <f>[1]ALL!N399</f>
        <v>69.261200000000002</v>
      </c>
      <c r="P383" s="11">
        <f>[1]ALL!O399</f>
        <v>0</v>
      </c>
      <c r="Q383" s="11">
        <f>[1]ALL!P399</f>
        <v>0</v>
      </c>
      <c r="R383" s="11">
        <f>[1]ALL!Q399</f>
        <v>0</v>
      </c>
      <c r="S383" s="11">
        <f>[1]ALL!R379</f>
        <v>0</v>
      </c>
      <c r="T383" s="9"/>
      <c r="U383" s="9"/>
      <c r="V383" s="10"/>
    </row>
    <row r="384" spans="1:22">
      <c r="A384" s="2">
        <v>35</v>
      </c>
      <c r="B384" s="1" t="str">
        <f>[1]ALL!A36</f>
        <v>185A</v>
      </c>
      <c r="C384" s="2" t="str">
        <f>[1]ALL!B36</f>
        <v>Skunkworks ALPHA</v>
      </c>
      <c r="D384" s="2" t="str">
        <f>[1]ALL!C36</f>
        <v>BATC // Skunkworks Robotics</v>
      </c>
      <c r="E384" s="2" t="str">
        <f>[1]ALL!D36</f>
        <v>Logan, Utah, United States</v>
      </c>
      <c r="F384" s="8">
        <f>[1]ALL!E36</f>
        <v>371</v>
      </c>
      <c r="G384" s="8">
        <f>[1]ALL!F36</f>
        <v>0</v>
      </c>
      <c r="H384" s="8">
        <f>[1]ALL!G36</f>
        <v>177.465</v>
      </c>
      <c r="I384" s="11">
        <f>[1]ALL!H36</f>
        <v>114.13800000000001</v>
      </c>
      <c r="J384" s="11">
        <f>[1]ALL!I36</f>
        <v>114.145</v>
      </c>
      <c r="K384" s="11">
        <f>[1]ALL!J36</f>
        <v>170.87799999999999</v>
      </c>
      <c r="L384" s="11">
        <f>[1]ALL!K36</f>
        <v>177.465</v>
      </c>
      <c r="M384" s="11">
        <f>[1]ALL!L36</f>
        <v>138.221</v>
      </c>
      <c r="N384" s="11">
        <f>[1]ALL!M36</f>
        <v>165.87700000000001</v>
      </c>
      <c r="O384" s="11">
        <f>[1]ALL!N36</f>
        <v>33.414999999999999</v>
      </c>
      <c r="P384" s="11">
        <f>[1]ALL!O36</f>
        <v>110.45099999999999</v>
      </c>
      <c r="Q384" s="11">
        <f>[1]ALL!P36</f>
        <v>119.209</v>
      </c>
      <c r="R384" s="11">
        <f>[1]ALL!Q36</f>
        <v>66.204899999999995</v>
      </c>
      <c r="S384" s="11">
        <f>[1]ALL!R380</f>
        <v>0</v>
      </c>
      <c r="T384" s="9"/>
      <c r="U384" s="9"/>
      <c r="V384" s="10"/>
    </row>
    <row r="385" spans="1:22">
      <c r="A385" s="2">
        <v>251</v>
      </c>
      <c r="B385" s="1" t="str">
        <f>[1]ALL!A252</f>
        <v>4659D</v>
      </c>
      <c r="C385" s="2" t="str">
        <f>[1]ALL!B252</f>
        <v>Warrior Robotix D</v>
      </c>
      <c r="D385" s="2" t="str">
        <f>[1]ALL!C252</f>
        <v>Port Credit Secondary School</v>
      </c>
      <c r="E385" s="2" t="str">
        <f>[1]ALL!D252</f>
        <v>Mississauga, Ontario, Canada</v>
      </c>
      <c r="F385" s="8">
        <f>[1]ALL!E252</f>
        <v>356</v>
      </c>
      <c r="G385" s="8">
        <f>[1]ALL!F252</f>
        <v>0</v>
      </c>
      <c r="H385" s="8">
        <f>[1]ALL!G252</f>
        <v>140.72200000000001</v>
      </c>
      <c r="I385" s="11">
        <f>[1]ALL!H252</f>
        <v>140.72200000000001</v>
      </c>
      <c r="J385" s="11">
        <f>[1]ALL!I252</f>
        <v>100.599</v>
      </c>
      <c r="K385" s="11">
        <f>[1]ALL!J252</f>
        <v>84.398300000000006</v>
      </c>
      <c r="L385" s="11">
        <f>[1]ALL!K252</f>
        <v>24.293399999999998</v>
      </c>
      <c r="M385" s="11">
        <f>[1]ALL!L252</f>
        <v>0</v>
      </c>
      <c r="N385" s="11">
        <f>[1]ALL!M252</f>
        <v>0</v>
      </c>
      <c r="O385" s="11">
        <f>[1]ALL!N252</f>
        <v>0</v>
      </c>
      <c r="P385" s="11">
        <f>[1]ALL!O252</f>
        <v>0</v>
      </c>
      <c r="Q385" s="11">
        <f>[1]ALL!P252</f>
        <v>0</v>
      </c>
      <c r="R385" s="11">
        <f>[1]ALL!Q252</f>
        <v>0</v>
      </c>
      <c r="S385" s="11">
        <f>[1]ALL!R381</f>
        <v>0</v>
      </c>
      <c r="T385" s="9"/>
      <c r="U385" s="9"/>
      <c r="V385" s="10"/>
    </row>
    <row r="386" spans="1:22">
      <c r="A386" s="2">
        <v>106</v>
      </c>
      <c r="B386" s="1" t="str">
        <f>[1]ALL!A107</f>
        <v>1104H</v>
      </c>
      <c r="C386" s="2" t="str">
        <f>[1]ALL!B107</f>
        <v>Discobots ჩ - 🍁 #Pray4Harri2k16</v>
      </c>
      <c r="D386" s="2" t="str">
        <f>[1]ALL!C107</f>
        <v>Brampton Robotics Education</v>
      </c>
      <c r="E386" s="2" t="str">
        <f>[1]ALL!D107</f>
        <v>Brampton, Ontario, Canada</v>
      </c>
      <c r="F386" s="8">
        <f>[1]ALL!E107</f>
        <v>356</v>
      </c>
      <c r="G386" s="8">
        <f>[1]ALL!F107</f>
        <v>0</v>
      </c>
      <c r="H386" s="8">
        <f>[1]ALL!G107</f>
        <v>0</v>
      </c>
      <c r="I386" s="11">
        <f>[1]ALL!H107</f>
        <v>0</v>
      </c>
      <c r="J386" s="11">
        <f>[1]ALL!I107</f>
        <v>0</v>
      </c>
      <c r="K386" s="11">
        <f>[1]ALL!J107</f>
        <v>0</v>
      </c>
      <c r="L386" s="11">
        <f>[1]ALL!K107</f>
        <v>0</v>
      </c>
      <c r="M386" s="11">
        <f>[1]ALL!L107</f>
        <v>0</v>
      </c>
      <c r="N386" s="11">
        <f>[1]ALL!M107</f>
        <v>0</v>
      </c>
      <c r="O386" s="11">
        <f>[1]ALL!N107</f>
        <v>0</v>
      </c>
      <c r="P386" s="11">
        <f>[1]ALL!O107</f>
        <v>0</v>
      </c>
      <c r="Q386" s="11">
        <f>[1]ALL!P107</f>
        <v>0</v>
      </c>
      <c r="R386" s="11">
        <f>[1]ALL!Q107</f>
        <v>0</v>
      </c>
      <c r="S386" s="11">
        <f>[1]ALL!R382</f>
        <v>0</v>
      </c>
      <c r="T386" s="9"/>
      <c r="U386" s="9"/>
      <c r="V386" s="10"/>
    </row>
    <row r="387" spans="1:22">
      <c r="A387" s="2">
        <v>185</v>
      </c>
      <c r="B387" s="1" t="str">
        <f>[1]ALL!A186</f>
        <v>2587G</v>
      </c>
      <c r="C387" s="2" t="str">
        <f>[1]ALL!B186</f>
        <v>DiscoBots - Gamma</v>
      </c>
      <c r="D387" s="2" t="str">
        <f>[1]ALL!C186</f>
        <v>DiscoBots</v>
      </c>
      <c r="E387" s="2" t="str">
        <f>[1]ALL!D186</f>
        <v>Houston, Texas, United States</v>
      </c>
      <c r="F387" s="8">
        <f>[1]ALL!E186</f>
        <v>355</v>
      </c>
      <c r="G387" s="8">
        <f>[1]ALL!F186</f>
        <v>0</v>
      </c>
      <c r="H387" s="8">
        <f>[1]ALL!G186</f>
        <v>163.73500000000001</v>
      </c>
      <c r="I387" s="11">
        <f>[1]ALL!H186</f>
        <v>72.413200000000003</v>
      </c>
      <c r="J387" s="11">
        <f>[1]ALL!I186</f>
        <v>111.968</v>
      </c>
      <c r="K387" s="11">
        <f>[1]ALL!J186</f>
        <v>163.73500000000001</v>
      </c>
      <c r="L387" s="11">
        <f>[1]ALL!K186</f>
        <v>28.1797</v>
      </c>
      <c r="M387" s="11">
        <f>[1]ALL!L186</f>
        <v>9.5584299999999995</v>
      </c>
      <c r="N387" s="11">
        <f>[1]ALL!M186</f>
        <v>31.251200000000001</v>
      </c>
      <c r="O387" s="11">
        <f>[1]ALL!N186</f>
        <v>0</v>
      </c>
      <c r="P387" s="11">
        <f>[1]ALL!O186</f>
        <v>0</v>
      </c>
      <c r="Q387" s="11">
        <f>[1]ALL!P186</f>
        <v>0</v>
      </c>
      <c r="R387" s="11">
        <f>[1]ALL!Q186</f>
        <v>0</v>
      </c>
      <c r="S387" s="11">
        <f>[1]ALL!R383</f>
        <v>0</v>
      </c>
      <c r="T387" s="9"/>
      <c r="U387" s="9"/>
      <c r="V387" s="10"/>
    </row>
    <row r="388" spans="1:22">
      <c r="A388" s="2">
        <v>303</v>
      </c>
      <c r="B388" s="1" t="str">
        <f>[1]ALL!A304</f>
        <v>5776B</v>
      </c>
      <c r="C388" s="2" t="str">
        <f>[1]ALL!B304</f>
        <v>DVHS Robotics</v>
      </c>
      <c r="D388" s="2" t="str">
        <f>[1]ALL!C304</f>
        <v>Dougherty Valley High School</v>
      </c>
      <c r="E388" s="2" t="str">
        <f>[1]ALL!D304</f>
        <v>San Ramon, California, United States</v>
      </c>
      <c r="F388" s="8">
        <f>[1]ALL!E304</f>
        <v>313</v>
      </c>
      <c r="G388" s="8">
        <f>[1]ALL!F304</f>
        <v>0</v>
      </c>
      <c r="H388" s="8">
        <f>[1]ALL!G304</f>
        <v>80.337800000000001</v>
      </c>
      <c r="I388" s="11">
        <f>[1]ALL!H304</f>
        <v>73.427499999999995</v>
      </c>
      <c r="J388" s="11">
        <f>[1]ALL!I304</f>
        <v>58.421599999999998</v>
      </c>
      <c r="K388" s="11">
        <f>[1]ALL!J304</f>
        <v>80.337800000000001</v>
      </c>
      <c r="L388" s="11">
        <f>[1]ALL!K304</f>
        <v>79.048599999999993</v>
      </c>
      <c r="M388" s="11">
        <f>[1]ALL!L304</f>
        <v>45.505200000000002</v>
      </c>
      <c r="N388" s="11">
        <f>[1]ALL!M304</f>
        <v>28.797599999999999</v>
      </c>
      <c r="O388" s="11">
        <f>[1]ALL!N304</f>
        <v>0</v>
      </c>
      <c r="P388" s="11">
        <f>[1]ALL!O304</f>
        <v>0</v>
      </c>
      <c r="Q388" s="11">
        <f>[1]ALL!P304</f>
        <v>0</v>
      </c>
      <c r="R388" s="11">
        <f>[1]ALL!Q304</f>
        <v>0</v>
      </c>
      <c r="S388" s="11">
        <f>[1]ALL!R384</f>
        <v>0</v>
      </c>
      <c r="T388" s="9"/>
      <c r="U388" s="9"/>
      <c r="V388" s="10"/>
    </row>
    <row r="389" spans="1:22">
      <c r="A389" s="2">
        <v>329</v>
      </c>
      <c r="B389" s="1" t="str">
        <f>[1]ALL!A330</f>
        <v>6264</v>
      </c>
      <c r="C389" s="2" t="str">
        <f>[1]ALL!B330</f>
        <v>The Shawkbots</v>
      </c>
      <c r="D389" s="2" t="str">
        <f>[1]ALL!C330</f>
        <v>Shawnigan Lake School</v>
      </c>
      <c r="E389" s="2" t="str">
        <f>[1]ALL!D330</f>
        <v>Shawnigan Lake, British Columbia, Canada</v>
      </c>
      <c r="F389" s="8">
        <f>[1]ALL!E330</f>
        <v>283</v>
      </c>
      <c r="G389" s="8">
        <f>[1]ALL!F330</f>
        <v>0</v>
      </c>
      <c r="H389" s="8">
        <f>[1]ALL!G330</f>
        <v>86.446700000000007</v>
      </c>
      <c r="I389" s="11">
        <f>[1]ALL!H330</f>
        <v>86.446700000000007</v>
      </c>
      <c r="J389" s="11">
        <f>[1]ALL!I330</f>
        <v>28.858799999999999</v>
      </c>
      <c r="K389" s="11">
        <f>[1]ALL!J330</f>
        <v>18.383800000000001</v>
      </c>
      <c r="L389" s="11">
        <f>[1]ALL!K330</f>
        <v>6.9376199999999999</v>
      </c>
      <c r="M389" s="11">
        <f>[1]ALL!L330</f>
        <v>0</v>
      </c>
      <c r="N389" s="11">
        <f>[1]ALL!M330</f>
        <v>0</v>
      </c>
      <c r="O389" s="11">
        <f>[1]ALL!N330</f>
        <v>0</v>
      </c>
      <c r="P389" s="11">
        <f>[1]ALL!O330</f>
        <v>0</v>
      </c>
      <c r="Q389" s="11">
        <f>[1]ALL!P330</f>
        <v>0</v>
      </c>
      <c r="R389" s="11">
        <f>[1]ALL!Q330</f>
        <v>0</v>
      </c>
      <c r="S389" s="11">
        <f>[1]ALL!R385</f>
        <v>0</v>
      </c>
      <c r="T389" s="9"/>
      <c r="U389" s="9"/>
      <c r="V389" s="10"/>
    </row>
    <row r="390" spans="1:22">
      <c r="A390" s="2">
        <v>370</v>
      </c>
      <c r="B390" s="1" t="str">
        <f>[1]ALL!A371</f>
        <v>7386A</v>
      </c>
      <c r="C390" s="2" t="str">
        <f>[1]ALL!B371</f>
        <v>EMSch AT UESTC A</v>
      </c>
      <c r="D390" s="2" t="str">
        <f>[1]ALL!C371</f>
        <v>The Experimental High School Attached To UESTC</v>
      </c>
      <c r="E390" s="2" t="str">
        <f>[1]ALL!D371</f>
        <v>chengdu, Not Applicable or Not Listed, China</v>
      </c>
      <c r="F390" s="8">
        <f>[1]ALL!E371</f>
        <v>267</v>
      </c>
      <c r="G390" s="8">
        <f>[1]ALL!F371</f>
        <v>0</v>
      </c>
      <c r="H390" s="8">
        <f>[1]ALL!G371</f>
        <v>100.145</v>
      </c>
      <c r="I390" s="11">
        <f>[1]ALL!H371</f>
        <v>100.145</v>
      </c>
      <c r="J390" s="11">
        <f>[1]ALL!I371</f>
        <v>0</v>
      </c>
      <c r="K390" s="11">
        <f>[1]ALL!J371</f>
        <v>0</v>
      </c>
      <c r="L390" s="11">
        <f>[1]ALL!K371</f>
        <v>0</v>
      </c>
      <c r="M390" s="11">
        <f>[1]ALL!L371</f>
        <v>0</v>
      </c>
      <c r="N390" s="11">
        <f>[1]ALL!M371</f>
        <v>0</v>
      </c>
      <c r="O390" s="11">
        <f>[1]ALL!N371</f>
        <v>0</v>
      </c>
      <c r="P390" s="11">
        <f>[1]ALL!O371</f>
        <v>0</v>
      </c>
      <c r="Q390" s="11">
        <f>[1]ALL!P371</f>
        <v>0</v>
      </c>
      <c r="R390" s="11">
        <f>[1]ALL!Q371</f>
        <v>0</v>
      </c>
      <c r="S390" s="11">
        <f>[1]ALL!R386</f>
        <v>0</v>
      </c>
      <c r="T390" s="9"/>
      <c r="U390" s="9"/>
      <c r="V390" s="10"/>
    </row>
    <row r="391" spans="1:22">
      <c r="A391" s="2">
        <v>104</v>
      </c>
      <c r="B391" s="1" t="str">
        <f>[1]ALL!A105</f>
        <v>1082B</v>
      </c>
      <c r="C391" s="2" t="str">
        <f>[1]ALL!B105</f>
        <v>Extreme Engineering II</v>
      </c>
      <c r="D391" s="2" t="str">
        <f>[1]ALL!C105</f>
        <v>Extreme Engineering Club-Lovejoy High School</v>
      </c>
      <c r="E391" s="2" t="str">
        <f>[1]ALL!D105</f>
        <v>Lucas, Texas, United States</v>
      </c>
      <c r="F391" s="8">
        <f>[1]ALL!E105</f>
        <v>266</v>
      </c>
      <c r="G391" s="8">
        <f>[1]ALL!F105</f>
        <v>0</v>
      </c>
      <c r="H391" s="8">
        <f>[1]ALL!G105</f>
        <v>103.571</v>
      </c>
      <c r="I391" s="11">
        <f>[1]ALL!H105</f>
        <v>31.670999999999999</v>
      </c>
      <c r="J391" s="11">
        <f>[1]ALL!I105</f>
        <v>71.91</v>
      </c>
      <c r="K391" s="11">
        <f>[1]ALL!J105</f>
        <v>103.571</v>
      </c>
      <c r="L391" s="11">
        <f>[1]ALL!K105</f>
        <v>7.40768</v>
      </c>
      <c r="M391" s="11">
        <f>[1]ALL!L105</f>
        <v>8.8236299999999996</v>
      </c>
      <c r="N391" s="11">
        <f>[1]ALL!M105</f>
        <v>16.5761</v>
      </c>
      <c r="O391" s="11">
        <f>[1]ALL!N105</f>
        <v>0</v>
      </c>
      <c r="P391" s="11">
        <f>[1]ALL!O105</f>
        <v>0</v>
      </c>
      <c r="Q391" s="11">
        <f>[1]ALL!P105</f>
        <v>0</v>
      </c>
      <c r="R391" s="11">
        <f>[1]ALL!Q105</f>
        <v>0</v>
      </c>
      <c r="S391" s="11">
        <f>[1]ALL!R387</f>
        <v>0</v>
      </c>
      <c r="T391" s="9"/>
      <c r="U391" s="9"/>
      <c r="V391" s="10"/>
    </row>
    <row r="392" spans="1:22">
      <c r="A392" s="2">
        <v>427</v>
      </c>
      <c r="B392" s="1" t="str">
        <f>[1]ALL!A428</f>
        <v>8691C</v>
      </c>
      <c r="C392" s="2" t="str">
        <f>[1]ALL!B428</f>
        <v>hefei NO.8 SMSch C</v>
      </c>
      <c r="D392" s="2" t="str">
        <f>[1]ALL!C428</f>
        <v>Hefei No.8 Senior Middle School</v>
      </c>
      <c r="E392" s="2" t="str">
        <f>[1]ALL!D428</f>
        <v>hefei, Not Applicable or Not Listed, China</v>
      </c>
      <c r="F392" s="8">
        <f>[1]ALL!E428</f>
        <v>244</v>
      </c>
      <c r="G392" s="8">
        <f>[1]ALL!F428</f>
        <v>0</v>
      </c>
      <c r="H392" s="8">
        <f>[1]ALL!G428</f>
        <v>122.401</v>
      </c>
      <c r="I392" s="11">
        <f>[1]ALL!H428</f>
        <v>122.401</v>
      </c>
      <c r="J392" s="11">
        <f>[1]ALL!I428</f>
        <v>0</v>
      </c>
      <c r="K392" s="11">
        <f>[1]ALL!J428</f>
        <v>0</v>
      </c>
      <c r="L392" s="11">
        <f>[1]ALL!K428</f>
        <v>0</v>
      </c>
      <c r="M392" s="11">
        <f>[1]ALL!L428</f>
        <v>0</v>
      </c>
      <c r="N392" s="11">
        <f>[1]ALL!M428</f>
        <v>0</v>
      </c>
      <c r="O392" s="11">
        <f>[1]ALL!N428</f>
        <v>0</v>
      </c>
      <c r="P392" s="11">
        <f>[1]ALL!O428</f>
        <v>0</v>
      </c>
      <c r="Q392" s="11">
        <f>[1]ALL!P428</f>
        <v>0</v>
      </c>
      <c r="R392" s="11">
        <f>[1]ALL!Q428</f>
        <v>0</v>
      </c>
      <c r="S392" s="11">
        <f>[1]ALL!R388</f>
        <v>0</v>
      </c>
      <c r="T392" s="9"/>
      <c r="U392" s="9"/>
      <c r="V392" s="10"/>
    </row>
    <row r="393" spans="1:22">
      <c r="A393" s="2">
        <v>297</v>
      </c>
      <c r="B393" s="1" t="str">
        <f>[1]ALL!A298</f>
        <v>5691X</v>
      </c>
      <c r="C393" s="2" t="str">
        <f>[1]ALL!B298</f>
        <v>BHE Skunkworks Division</v>
      </c>
      <c r="D393" s="2" t="str">
        <f>[1]ALL!C298</f>
        <v>Bryant High School</v>
      </c>
      <c r="E393" s="2" t="str">
        <f>[1]ALL!D298</f>
        <v>Bryant, Arkansas, United States</v>
      </c>
      <c r="F393" s="8">
        <f>[1]ALL!E298</f>
        <v>227</v>
      </c>
      <c r="G393" s="8">
        <f>[1]ALL!F298</f>
        <v>0</v>
      </c>
      <c r="H393" s="8">
        <f>[1]ALL!G298</f>
        <v>122.761</v>
      </c>
      <c r="I393" s="11">
        <f>[1]ALL!H298</f>
        <v>122.761</v>
      </c>
      <c r="J393" s="11">
        <f>[1]ALL!I298</f>
        <v>0</v>
      </c>
      <c r="K393" s="11">
        <f>[1]ALL!J298</f>
        <v>0</v>
      </c>
      <c r="L393" s="11">
        <f>[1]ALL!K298</f>
        <v>0</v>
      </c>
      <c r="M393" s="11">
        <f>[1]ALL!L298</f>
        <v>0</v>
      </c>
      <c r="N393" s="11">
        <f>[1]ALL!M298</f>
        <v>0</v>
      </c>
      <c r="O393" s="11">
        <f>[1]ALL!N298</f>
        <v>0</v>
      </c>
      <c r="P393" s="11">
        <f>[1]ALL!O298</f>
        <v>0</v>
      </c>
      <c r="Q393" s="11">
        <f>[1]ALL!P298</f>
        <v>0</v>
      </c>
      <c r="R393" s="11">
        <f>[1]ALL!Q298</f>
        <v>0</v>
      </c>
      <c r="S393" s="11">
        <f>[1]ALL!R389</f>
        <v>0</v>
      </c>
      <c r="T393" s="9"/>
      <c r="U393" s="9"/>
      <c r="V393" s="10"/>
    </row>
    <row r="394" spans="1:22">
      <c r="A394" s="2">
        <v>197</v>
      </c>
      <c r="B394" s="1" t="str">
        <f>[1]ALL!A198</f>
        <v>2918E</v>
      </c>
      <c r="C394" s="2" t="str">
        <f>[1]ALL!B198</f>
        <v>GCEC E</v>
      </c>
      <c r="D394" s="2" t="str">
        <f>[1]ALL!C198</f>
        <v>Glenfield College</v>
      </c>
      <c r="E394" s="2" t="str">
        <f>[1]ALL!D198</f>
        <v>Glenfield, Not Applicable or Not Listed, New Zealand</v>
      </c>
      <c r="F394" s="8">
        <f>[1]ALL!E198</f>
        <v>220</v>
      </c>
      <c r="G394" s="8">
        <f>[1]ALL!F198</f>
        <v>0</v>
      </c>
      <c r="H394" s="8">
        <f>[1]ALL!G198</f>
        <v>98.222300000000004</v>
      </c>
      <c r="I394" s="11">
        <f>[1]ALL!H198</f>
        <v>86.288899999999998</v>
      </c>
      <c r="J394" s="11">
        <f>[1]ALL!I198</f>
        <v>98.222300000000004</v>
      </c>
      <c r="K394" s="11">
        <f>[1]ALL!J198</f>
        <v>32.287599999999998</v>
      </c>
      <c r="L394" s="11">
        <f>[1]ALL!K198</f>
        <v>0</v>
      </c>
      <c r="M394" s="11">
        <f>[1]ALL!L198</f>
        <v>0</v>
      </c>
      <c r="N394" s="11">
        <f>[1]ALL!M198</f>
        <v>0</v>
      </c>
      <c r="O394" s="11">
        <f>[1]ALL!N198</f>
        <v>0</v>
      </c>
      <c r="P394" s="11">
        <f>[1]ALL!O198</f>
        <v>0</v>
      </c>
      <c r="Q394" s="11">
        <f>[1]ALL!P198</f>
        <v>0</v>
      </c>
      <c r="R394" s="11">
        <f>[1]ALL!Q198</f>
        <v>0</v>
      </c>
      <c r="S394" s="11">
        <f>[1]ALL!R390</f>
        <v>0</v>
      </c>
      <c r="T394" s="9"/>
      <c r="U394" s="9"/>
      <c r="V394" s="10"/>
    </row>
    <row r="395" spans="1:22">
      <c r="A395" s="2">
        <v>294</v>
      </c>
      <c r="B395" s="1" t="str">
        <f>[1]ALL!A295</f>
        <v>5588E</v>
      </c>
      <c r="C395" s="2" t="str">
        <f>[1]ALL!B295</f>
        <v>Calvert Hall Cardinals</v>
      </c>
      <c r="D395" s="2" t="str">
        <f>[1]ALL!C295</f>
        <v>Calvert Hall College High School</v>
      </c>
      <c r="E395" s="2" t="str">
        <f>[1]ALL!D295</f>
        <v>Towson, Maryland, United States</v>
      </c>
      <c r="F395" s="8">
        <f>[1]ALL!E295</f>
        <v>218</v>
      </c>
      <c r="G395" s="8">
        <f>[1]ALL!F295</f>
        <v>0</v>
      </c>
      <c r="H395" s="8">
        <f>[1]ALL!G295</f>
        <v>29.628399999999999</v>
      </c>
      <c r="I395" s="11">
        <f>[1]ALL!H295</f>
        <v>29.628399999999999</v>
      </c>
      <c r="J395" s="11">
        <f>[1]ALL!I295</f>
        <v>-0.31102999999999997</v>
      </c>
      <c r="K395" s="11">
        <f>[1]ALL!J295</f>
        <v>21.8292</v>
      </c>
      <c r="L395" s="11">
        <f>[1]ALL!K295</f>
        <v>15.895799999999999</v>
      </c>
      <c r="M395" s="11">
        <f>[1]ALL!L295</f>
        <v>0</v>
      </c>
      <c r="N395" s="11">
        <f>[1]ALL!M295</f>
        <v>0</v>
      </c>
      <c r="O395" s="11">
        <f>[1]ALL!N295</f>
        <v>0</v>
      </c>
      <c r="P395" s="11">
        <f>[1]ALL!O295</f>
        <v>0</v>
      </c>
      <c r="Q395" s="11">
        <f>[1]ALL!P295</f>
        <v>0</v>
      </c>
      <c r="R395" s="11">
        <f>[1]ALL!Q295</f>
        <v>0</v>
      </c>
      <c r="S395" s="11">
        <f>[1]ALL!R391</f>
        <v>0</v>
      </c>
      <c r="T395" s="9"/>
      <c r="U395" s="9"/>
      <c r="V395" s="10"/>
    </row>
    <row r="396" spans="1:22">
      <c r="A396" s="2">
        <v>363</v>
      </c>
      <c r="B396" s="1" t="str">
        <f>[1]ALL!A364</f>
        <v>7192B</v>
      </c>
      <c r="C396" s="2" t="str">
        <f>[1]ALL!B364</f>
        <v>Windom Eagles B Team</v>
      </c>
      <c r="D396" s="2" t="str">
        <f>[1]ALL!C364</f>
        <v>Windom MS &amp; HS</v>
      </c>
      <c r="E396" s="2" t="str">
        <f>[1]ALL!D364</f>
        <v>Windom, Minnesota, United States</v>
      </c>
      <c r="F396" s="8">
        <f>[1]ALL!E364</f>
        <v>215</v>
      </c>
      <c r="G396" s="8">
        <f>[1]ALL!F364</f>
        <v>0</v>
      </c>
      <c r="H396" s="8">
        <f>[1]ALL!G364</f>
        <v>85.253399999999999</v>
      </c>
      <c r="I396" s="11">
        <f>[1]ALL!H364</f>
        <v>85.253399999999999</v>
      </c>
      <c r="J396" s="11">
        <f>[1]ALL!I364</f>
        <v>68.738699999999994</v>
      </c>
      <c r="K396" s="11">
        <f>[1]ALL!J364</f>
        <v>62.842700000000001</v>
      </c>
      <c r="L396" s="11">
        <f>[1]ALL!K364</f>
        <v>47.9148</v>
      </c>
      <c r="M396" s="11">
        <f>[1]ALL!L364</f>
        <v>29.606100000000001</v>
      </c>
      <c r="N396" s="11">
        <f>[1]ALL!M364</f>
        <v>0</v>
      </c>
      <c r="O396" s="11">
        <f>[1]ALL!N364</f>
        <v>0</v>
      </c>
      <c r="P396" s="11">
        <f>[1]ALL!O364</f>
        <v>0</v>
      </c>
      <c r="Q396" s="11">
        <f>[1]ALL!P364</f>
        <v>0</v>
      </c>
      <c r="R396" s="11">
        <f>[1]ALL!Q364</f>
        <v>0</v>
      </c>
      <c r="S396" s="11">
        <f>[1]ALL!R392</f>
        <v>0</v>
      </c>
      <c r="T396" s="9"/>
      <c r="U396" s="9"/>
      <c r="V396" s="10"/>
    </row>
    <row r="397" spans="1:22">
      <c r="A397" s="2">
        <v>159</v>
      </c>
      <c r="B397" s="1" t="str">
        <f>[1]ALL!A160</f>
        <v>2019A</v>
      </c>
      <c r="C397" s="2" t="str">
        <f>[1]ALL!B160</f>
        <v>Singularity</v>
      </c>
      <c r="D397" s="2" t="str">
        <f>[1]ALL!C160</f>
        <v>Flower Mound High School</v>
      </c>
      <c r="E397" s="2" t="str">
        <f>[1]ALL!D160</f>
        <v>Flower Mound, Texas, United States</v>
      </c>
      <c r="F397" s="8">
        <f>[1]ALL!E160</f>
        <v>208</v>
      </c>
      <c r="G397" s="8">
        <f>[1]ALL!F160</f>
        <v>0</v>
      </c>
      <c r="H397" s="8">
        <f>[1]ALL!G160</f>
        <v>105.946</v>
      </c>
      <c r="I397" s="11">
        <f>[1]ALL!H160</f>
        <v>79.954800000000006</v>
      </c>
      <c r="J397" s="11">
        <f>[1]ALL!I160</f>
        <v>55.938899999999997</v>
      </c>
      <c r="K397" s="11">
        <f>[1]ALL!J160</f>
        <v>22.101299999999998</v>
      </c>
      <c r="L397" s="11">
        <f>[1]ALL!K160</f>
        <v>105.946</v>
      </c>
      <c r="M397" s="11">
        <f>[1]ALL!L160</f>
        <v>0</v>
      </c>
      <c r="N397" s="11">
        <f>[1]ALL!M160</f>
        <v>0</v>
      </c>
      <c r="O397" s="11">
        <f>[1]ALL!N160</f>
        <v>0</v>
      </c>
      <c r="P397" s="11">
        <f>[1]ALL!O160</f>
        <v>0</v>
      </c>
      <c r="Q397" s="11">
        <f>[1]ALL!P160</f>
        <v>0</v>
      </c>
      <c r="R397" s="11">
        <f>[1]ALL!Q160</f>
        <v>0</v>
      </c>
      <c r="S397" s="11">
        <f>[1]ALL!R393</f>
        <v>0</v>
      </c>
      <c r="T397" s="9"/>
      <c r="U397" s="9"/>
      <c r="V397" s="10"/>
    </row>
    <row r="398" spans="1:22">
      <c r="A398" s="2">
        <v>393</v>
      </c>
      <c r="B398" s="1" t="str">
        <f>[1]ALL!A394</f>
        <v>7925A</v>
      </c>
      <c r="C398" s="2" t="str">
        <f>[1]ALL!B394</f>
        <v>Hangzhou NO.2 A</v>
      </c>
      <c r="D398" s="2" t="str">
        <f>[1]ALL!C394</f>
        <v>Hangzhou No.2 High School</v>
      </c>
      <c r="E398" s="2" t="str">
        <f>[1]ALL!D394</f>
        <v>hanzhou, Not Applicable or Not Listed, China</v>
      </c>
      <c r="F398" s="8">
        <f>[1]ALL!E394</f>
        <v>203</v>
      </c>
      <c r="G398" s="8">
        <f>[1]ALL!F394</f>
        <v>0</v>
      </c>
      <c r="H398" s="8">
        <f>[1]ALL!G394</f>
        <v>87.843299999999999</v>
      </c>
      <c r="I398" s="11">
        <f>[1]ALL!H394</f>
        <v>87.843299999999999</v>
      </c>
      <c r="J398" s="11">
        <f>[1]ALL!I394</f>
        <v>0</v>
      </c>
      <c r="K398" s="11">
        <f>[1]ALL!J394</f>
        <v>0</v>
      </c>
      <c r="L398" s="11">
        <f>[1]ALL!K394</f>
        <v>0</v>
      </c>
      <c r="M398" s="11">
        <f>[1]ALL!L394</f>
        <v>0</v>
      </c>
      <c r="N398" s="11">
        <f>[1]ALL!M394</f>
        <v>0</v>
      </c>
      <c r="O398" s="11">
        <f>[1]ALL!N394</f>
        <v>0</v>
      </c>
      <c r="P398" s="11">
        <f>[1]ALL!O394</f>
        <v>0</v>
      </c>
      <c r="Q398" s="11">
        <f>[1]ALL!P394</f>
        <v>0</v>
      </c>
      <c r="R398" s="11">
        <f>[1]ALL!Q394</f>
        <v>0</v>
      </c>
      <c r="S398" s="11">
        <f>[1]ALL!R394</f>
        <v>0</v>
      </c>
      <c r="T398" s="9"/>
      <c r="U398" s="9"/>
      <c r="V398" s="10"/>
    </row>
    <row r="399" spans="1:22">
      <c r="A399" s="2">
        <v>320</v>
      </c>
      <c r="B399" s="1" t="str">
        <f>[1]ALL!A321</f>
        <v>6053C</v>
      </c>
      <c r="C399" s="2" t="str">
        <f>[1]ALL!B321</f>
        <v>Systematic Chaos</v>
      </c>
      <c r="D399" s="2" t="str">
        <f>[1]ALL!C321</f>
        <v>Highgate School</v>
      </c>
      <c r="E399" s="2" t="str">
        <f>[1]ALL!D321</f>
        <v>London, N/A, United Kingdom</v>
      </c>
      <c r="F399" s="8">
        <f>[1]ALL!E321</f>
        <v>199</v>
      </c>
      <c r="G399" s="8">
        <f>[1]ALL!F321</f>
        <v>0</v>
      </c>
      <c r="H399" s="8">
        <f>[1]ALL!G321</f>
        <v>86.161199999999994</v>
      </c>
      <c r="I399" s="11">
        <f>[1]ALL!H321</f>
        <v>20.985399999999998</v>
      </c>
      <c r="J399" s="11">
        <f>[1]ALL!I321</f>
        <v>29.690100000000001</v>
      </c>
      <c r="K399" s="11">
        <f>[1]ALL!J321</f>
        <v>86.161199999999994</v>
      </c>
      <c r="L399" s="11">
        <f>[1]ALL!K321</f>
        <v>12.873699999999999</v>
      </c>
      <c r="M399" s="11">
        <f>[1]ALL!L321</f>
        <v>49.776000000000003</v>
      </c>
      <c r="N399" s="11">
        <f>[1]ALL!M321</f>
        <v>44.407299999999999</v>
      </c>
      <c r="O399" s="11">
        <f>[1]ALL!N321</f>
        <v>54.924399999999999</v>
      </c>
      <c r="P399" s="11">
        <f>[1]ALL!O321</f>
        <v>25.079799999999999</v>
      </c>
      <c r="Q399" s="11">
        <f>[1]ALL!P321</f>
        <v>0</v>
      </c>
      <c r="R399" s="11">
        <f>[1]ALL!Q321</f>
        <v>0</v>
      </c>
      <c r="S399" s="11">
        <f>[1]ALL!R395</f>
        <v>0</v>
      </c>
      <c r="T399" s="9"/>
      <c r="U399" s="9"/>
      <c r="V399" s="10"/>
    </row>
    <row r="400" spans="1:22">
      <c r="A400" s="2">
        <v>354</v>
      </c>
      <c r="B400" s="1" t="str">
        <f>[1]ALL!A355</f>
        <v>6916D</v>
      </c>
      <c r="C400" s="2" t="str">
        <f>[1]ALL!B355</f>
        <v>BVT Samurai</v>
      </c>
      <c r="D400" s="2" t="str">
        <f>[1]ALL!C355</f>
        <v>Blackstone Valley Regional High School</v>
      </c>
      <c r="E400" s="2" t="str">
        <f>[1]ALL!D355</f>
        <v>Upton, Massachusetts, United States</v>
      </c>
      <c r="F400" s="8">
        <f>[1]ALL!E355</f>
        <v>195</v>
      </c>
      <c r="G400" s="8">
        <f>[1]ALL!F355</f>
        <v>0</v>
      </c>
      <c r="H400" s="8">
        <f>[1]ALL!G355</f>
        <v>99.343599999999995</v>
      </c>
      <c r="I400" s="11">
        <f>[1]ALL!H355</f>
        <v>96.4756</v>
      </c>
      <c r="J400" s="11">
        <f>[1]ALL!I355</f>
        <v>75.454300000000003</v>
      </c>
      <c r="K400" s="11">
        <f>[1]ALL!J355</f>
        <v>99.343599999999995</v>
      </c>
      <c r="L400" s="11">
        <f>[1]ALL!K355</f>
        <v>49.8217</v>
      </c>
      <c r="M400" s="11">
        <f>[1]ALL!L355</f>
        <v>55.8262</v>
      </c>
      <c r="N400" s="11">
        <f>[1]ALL!M355</f>
        <v>0</v>
      </c>
      <c r="O400" s="11">
        <f>[1]ALL!N355</f>
        <v>0</v>
      </c>
      <c r="P400" s="11">
        <f>[1]ALL!O355</f>
        <v>0</v>
      </c>
      <c r="Q400" s="11">
        <f>[1]ALL!P355</f>
        <v>0</v>
      </c>
      <c r="R400" s="11">
        <f>[1]ALL!Q355</f>
        <v>0</v>
      </c>
      <c r="S400" s="11">
        <f>[1]ALL!R396</f>
        <v>0</v>
      </c>
      <c r="T400" s="9"/>
      <c r="U400" s="9"/>
      <c r="V400" s="10"/>
    </row>
    <row r="401" spans="1:22">
      <c r="A401" s="2">
        <v>248</v>
      </c>
      <c r="B401" s="1" t="str">
        <f>[1]ALL!A249</f>
        <v>4502G</v>
      </c>
      <c r="C401" s="2" t="str">
        <f>[1]ALL!B249</f>
        <v>Masters Gamma</v>
      </c>
      <c r="D401" s="2" t="str">
        <f>[1]ALL!C249</f>
        <v>San Pedro Claver</v>
      </c>
      <c r="E401" s="2" t="str">
        <f>[1]ALL!D249</f>
        <v>Bucaramanga, Santander, Colombia</v>
      </c>
      <c r="F401" s="8">
        <f>[1]ALL!E249</f>
        <v>177</v>
      </c>
      <c r="G401" s="8">
        <f>[1]ALL!F249</f>
        <v>0</v>
      </c>
      <c r="H401" s="8">
        <f>[1]ALL!G249</f>
        <v>113.483</v>
      </c>
      <c r="I401" s="11">
        <f>[1]ALL!H249</f>
        <v>113.483</v>
      </c>
      <c r="J401" s="11">
        <f>[1]ALL!I249</f>
        <v>82.038499999999999</v>
      </c>
      <c r="K401" s="11">
        <f>[1]ALL!J249</f>
        <v>0</v>
      </c>
      <c r="L401" s="11">
        <f>[1]ALL!K249</f>
        <v>0</v>
      </c>
      <c r="M401" s="11">
        <f>[1]ALL!L249</f>
        <v>0</v>
      </c>
      <c r="N401" s="11">
        <f>[1]ALL!M249</f>
        <v>0</v>
      </c>
      <c r="O401" s="11">
        <f>[1]ALL!N249</f>
        <v>0</v>
      </c>
      <c r="P401" s="11">
        <f>[1]ALL!O249</f>
        <v>0</v>
      </c>
      <c r="Q401" s="11">
        <f>[1]ALL!P249</f>
        <v>0</v>
      </c>
      <c r="R401" s="11">
        <f>[1]ALL!Q249</f>
        <v>0</v>
      </c>
      <c r="S401" s="11">
        <f>[1]ALL!R397</f>
        <v>0</v>
      </c>
      <c r="T401" s="9"/>
      <c r="U401" s="9"/>
      <c r="V401" s="10"/>
    </row>
    <row r="402" spans="1:22">
      <c r="A402" s="2">
        <v>401</v>
      </c>
      <c r="B402" s="1" t="str">
        <f>[1]ALL!A402</f>
        <v>8000G</v>
      </c>
      <c r="C402" s="2" t="str">
        <f>[1]ALL!B402</f>
        <v>HRS Robohawks</v>
      </c>
      <c r="D402" s="2" t="str">
        <f>[1]ALL!C402</f>
        <v>Head-Royce School</v>
      </c>
      <c r="E402" s="2" t="str">
        <f>[1]ALL!D402</f>
        <v>Oakland, California, United States</v>
      </c>
      <c r="F402" s="8">
        <f>[1]ALL!E402</f>
        <v>175</v>
      </c>
      <c r="G402" s="8">
        <f>[1]ALL!F402</f>
        <v>0</v>
      </c>
      <c r="H402" s="8">
        <f>[1]ALL!G402</f>
        <v>120.736</v>
      </c>
      <c r="I402" s="11">
        <f>[1]ALL!H402</f>
        <v>78.539599999999993</v>
      </c>
      <c r="J402" s="11">
        <f>[1]ALL!I402</f>
        <v>120.736</v>
      </c>
      <c r="K402" s="11">
        <f>[1]ALL!J402</f>
        <v>0</v>
      </c>
      <c r="L402" s="11">
        <f>[1]ALL!K402</f>
        <v>0</v>
      </c>
      <c r="M402" s="11">
        <f>[1]ALL!L402</f>
        <v>0</v>
      </c>
      <c r="N402" s="11">
        <f>[1]ALL!M402</f>
        <v>0</v>
      </c>
      <c r="O402" s="11">
        <f>[1]ALL!N402</f>
        <v>0</v>
      </c>
      <c r="P402" s="11">
        <f>[1]ALL!O402</f>
        <v>0</v>
      </c>
      <c r="Q402" s="11">
        <f>[1]ALL!P402</f>
        <v>0</v>
      </c>
      <c r="R402" s="11">
        <f>[1]ALL!Q402</f>
        <v>0</v>
      </c>
      <c r="S402" s="11">
        <f>[1]ALL!R398</f>
        <v>0</v>
      </c>
      <c r="T402" s="9"/>
      <c r="U402" s="9"/>
      <c r="V402" s="10"/>
    </row>
    <row r="403" spans="1:22">
      <c r="A403" s="2">
        <v>76</v>
      </c>
      <c r="B403" s="1" t="str">
        <f>[1]ALL!A77</f>
        <v>675B</v>
      </c>
      <c r="C403" s="2" t="str">
        <f>[1]ALL!B77</f>
        <v>RoboDragons B</v>
      </c>
      <c r="D403" s="2" t="str">
        <f>[1]ALL!C77</f>
        <v>Gwinnett School of Mathem, Science, and Technology</v>
      </c>
      <c r="E403" s="2" t="str">
        <f>[1]ALL!D77</f>
        <v>Lawrenceville, Georgia, United States</v>
      </c>
      <c r="F403" s="8">
        <f>[1]ALL!E77</f>
        <v>153</v>
      </c>
      <c r="G403" s="8">
        <f>[1]ALL!F77</f>
        <v>0</v>
      </c>
      <c r="H403" s="8">
        <f>[1]ALL!G77</f>
        <v>140.12700000000001</v>
      </c>
      <c r="I403" s="11">
        <f>[1]ALL!H77</f>
        <v>97.966999999999999</v>
      </c>
      <c r="J403" s="11">
        <f>[1]ALL!I77</f>
        <v>88.053600000000003</v>
      </c>
      <c r="K403" s="11">
        <f>[1]ALL!J77</f>
        <v>140.12700000000001</v>
      </c>
      <c r="L403" s="11">
        <f>[1]ALL!K77</f>
        <v>104.89</v>
      </c>
      <c r="M403" s="11">
        <f>[1]ALL!L77</f>
        <v>92.1892</v>
      </c>
      <c r="N403" s="11">
        <f>[1]ALL!M77</f>
        <v>70.372500000000002</v>
      </c>
      <c r="O403" s="11">
        <f>[1]ALL!N77</f>
        <v>104.559</v>
      </c>
      <c r="P403" s="11">
        <f>[1]ALL!O77</f>
        <v>0</v>
      </c>
      <c r="Q403" s="11">
        <f>[1]ALL!P77</f>
        <v>0</v>
      </c>
      <c r="R403" s="11">
        <f>[1]ALL!Q77</f>
        <v>0</v>
      </c>
      <c r="S403" s="11">
        <f>[1]ALL!R399</f>
        <v>0</v>
      </c>
      <c r="T403" s="9"/>
      <c r="U403" s="9"/>
      <c r="V403" s="10"/>
    </row>
    <row r="404" spans="1:22">
      <c r="A404" s="2">
        <v>468</v>
      </c>
      <c r="B404" s="1" t="str">
        <f>[1]ALL!A469</f>
        <v>9663</v>
      </c>
      <c r="C404" s="2" t="str">
        <f>[1]ALL!B469</f>
        <v>RIKITIK</v>
      </c>
      <c r="D404" s="2" t="str">
        <f>[1]ALL!C469</f>
        <v>Ecole Paul-Hubert</v>
      </c>
      <c r="E404" s="2" t="str">
        <f>[1]ALL!D469</f>
        <v>Rimouski, Quebec, Canada</v>
      </c>
      <c r="F404" s="8">
        <f>[1]ALL!E469</f>
        <v>140</v>
      </c>
      <c r="G404" s="8">
        <f>[1]ALL!F469</f>
        <v>0</v>
      </c>
      <c r="H404" s="8">
        <f>[1]ALL!G469</f>
        <v>60.265099999999997</v>
      </c>
      <c r="I404" s="11">
        <f>[1]ALL!H469</f>
        <v>60.265099999999997</v>
      </c>
      <c r="J404" s="11">
        <f>[1]ALL!I469</f>
        <v>15.333399999999999</v>
      </c>
      <c r="K404" s="11">
        <f>[1]ALL!J469</f>
        <v>0</v>
      </c>
      <c r="L404" s="11">
        <f>[1]ALL!K469</f>
        <v>0</v>
      </c>
      <c r="M404" s="11">
        <f>[1]ALL!L469</f>
        <v>0</v>
      </c>
      <c r="N404" s="11">
        <f>[1]ALL!M469</f>
        <v>0</v>
      </c>
      <c r="O404" s="11">
        <f>[1]ALL!N469</f>
        <v>0</v>
      </c>
      <c r="P404" s="11">
        <f>[1]ALL!O469</f>
        <v>0</v>
      </c>
      <c r="Q404" s="11">
        <f>[1]ALL!P469</f>
        <v>0</v>
      </c>
      <c r="R404" s="11">
        <f>[1]ALL!Q469</f>
        <v>0</v>
      </c>
      <c r="S404" s="11">
        <f>[1]ALL!R400</f>
        <v>0</v>
      </c>
      <c r="T404" s="9"/>
      <c r="U404" s="9"/>
      <c r="V404" s="10"/>
    </row>
    <row r="405" spans="1:22">
      <c r="A405" s="2">
        <v>288</v>
      </c>
      <c r="B405" s="1" t="str">
        <f>[1]ALL!A289</f>
        <v>5454P</v>
      </c>
      <c r="C405" s="2" t="str">
        <f>[1]ALL!B289</f>
        <v>POOKIE'S PRESCHOOLERS</v>
      </c>
      <c r="D405" s="2" t="str">
        <f>[1]ALL!C289</f>
        <v>Elkhorn Crossing School</v>
      </c>
      <c r="E405" s="2" t="str">
        <f>[1]ALL!D289</f>
        <v>Georgetown, Kentucky, United States</v>
      </c>
      <c r="F405" s="8">
        <f>[1]ALL!E289</f>
        <v>125</v>
      </c>
      <c r="G405" s="8">
        <f>[1]ALL!F289</f>
        <v>0</v>
      </c>
      <c r="H405" s="8">
        <f>[1]ALL!G289</f>
        <v>74.635800000000003</v>
      </c>
      <c r="I405" s="11">
        <f>[1]ALL!H289</f>
        <v>66.310299999999998</v>
      </c>
      <c r="J405" s="11">
        <f>[1]ALL!I289</f>
        <v>67.335499999999996</v>
      </c>
      <c r="K405" s="11">
        <f>[1]ALL!J289</f>
        <v>6.4343599999999999</v>
      </c>
      <c r="L405" s="11">
        <f>[1]ALL!K289</f>
        <v>9.76891</v>
      </c>
      <c r="M405" s="11">
        <f>[1]ALL!L289</f>
        <v>74.635800000000003</v>
      </c>
      <c r="N405" s="11">
        <f>[1]ALL!M289</f>
        <v>65.118099999999998</v>
      </c>
      <c r="O405" s="11">
        <f>[1]ALL!N289</f>
        <v>50.7639</v>
      </c>
      <c r="P405" s="11">
        <f>[1]ALL!O289</f>
        <v>41.2012</v>
      </c>
      <c r="Q405" s="11">
        <f>[1]ALL!P289</f>
        <v>59.211799999999997</v>
      </c>
      <c r="R405" s="11">
        <f>[1]ALL!Q289</f>
        <v>0</v>
      </c>
      <c r="S405" s="11">
        <f>[1]ALL!R401</f>
        <v>0</v>
      </c>
      <c r="T405" s="9"/>
      <c r="U405" s="9"/>
      <c r="V405" s="10"/>
    </row>
    <row r="406" spans="1:22">
      <c r="A406" s="2">
        <v>284</v>
      </c>
      <c r="B406" s="1" t="str">
        <f>[1]ALL!A285</f>
        <v>5408D</v>
      </c>
      <c r="C406" s="2" t="str">
        <f>[1]ALL!B285</f>
        <v>Sachse Colossus</v>
      </c>
      <c r="D406" s="2" t="str">
        <f>[1]ALL!C285</f>
        <v>Sachse High School</v>
      </c>
      <c r="E406" s="2" t="str">
        <f>[1]ALL!D285</f>
        <v>Sachse, Texas, United States</v>
      </c>
      <c r="F406" s="8">
        <f>[1]ALL!E285</f>
        <v>124</v>
      </c>
      <c r="G406" s="8">
        <f>[1]ALL!F285</f>
        <v>0</v>
      </c>
      <c r="H406" s="8">
        <f>[1]ALL!G285</f>
        <v>124.947</v>
      </c>
      <c r="I406" s="11">
        <f>[1]ALL!H285</f>
        <v>65.326700000000002</v>
      </c>
      <c r="J406" s="11">
        <f>[1]ALL!I285</f>
        <v>65.696899999999999</v>
      </c>
      <c r="K406" s="11">
        <f>[1]ALL!J285</f>
        <v>124.947</v>
      </c>
      <c r="L406" s="11">
        <f>[1]ALL!K285</f>
        <v>88.014099999999999</v>
      </c>
      <c r="M406" s="11">
        <f>[1]ALL!L285</f>
        <v>52.4026</v>
      </c>
      <c r="N406" s="11">
        <f>[1]ALL!M285</f>
        <v>105.53</v>
      </c>
      <c r="O406" s="11">
        <f>[1]ALL!N285</f>
        <v>0</v>
      </c>
      <c r="P406" s="11">
        <f>[1]ALL!O285</f>
        <v>0</v>
      </c>
      <c r="Q406" s="11">
        <f>[1]ALL!P285</f>
        <v>0</v>
      </c>
      <c r="R406" s="11">
        <f>[1]ALL!Q285</f>
        <v>0</v>
      </c>
      <c r="S406" s="11">
        <f>[1]ALL!R402</f>
        <v>0</v>
      </c>
      <c r="T406" s="9"/>
      <c r="U406" s="9"/>
      <c r="V406" s="10"/>
    </row>
    <row r="407" spans="1:22">
      <c r="A407" s="2">
        <v>409</v>
      </c>
      <c r="B407" s="1" t="str">
        <f>[1]ALL!A410</f>
        <v>8171</v>
      </c>
      <c r="C407" s="2" t="str">
        <f>[1]ALL!B410</f>
        <v>Team R.O.U.S.E</v>
      </c>
      <c r="D407" s="2" t="str">
        <f>[1]ALL!C410</f>
        <v>Independent</v>
      </c>
      <c r="E407" s="2" t="str">
        <f>[1]ALL!D410</f>
        <v>Colchester, Essex, United Kingdom</v>
      </c>
      <c r="F407" s="8">
        <f>[1]ALL!E410</f>
        <v>123</v>
      </c>
      <c r="G407" s="8">
        <f>[1]ALL!F410</f>
        <v>0</v>
      </c>
      <c r="H407" s="8">
        <f>[1]ALL!G410</f>
        <v>74.6066</v>
      </c>
      <c r="I407" s="11">
        <f>[1]ALL!H410</f>
        <v>45.706600000000002</v>
      </c>
      <c r="J407" s="11">
        <f>[1]ALL!I410</f>
        <v>74.6066</v>
      </c>
      <c r="K407" s="11">
        <f>[1]ALL!J410</f>
        <v>21.361699999999999</v>
      </c>
      <c r="L407" s="11">
        <f>[1]ALL!K410</f>
        <v>3.0934599999999999</v>
      </c>
      <c r="M407" s="11">
        <f>[1]ALL!L410</f>
        <v>0</v>
      </c>
      <c r="N407" s="11">
        <f>[1]ALL!M410</f>
        <v>0</v>
      </c>
      <c r="O407" s="11">
        <f>[1]ALL!N410</f>
        <v>0</v>
      </c>
      <c r="P407" s="11">
        <f>[1]ALL!O410</f>
        <v>0</v>
      </c>
      <c r="Q407" s="11">
        <f>[1]ALL!P410</f>
        <v>0</v>
      </c>
      <c r="R407" s="11">
        <f>[1]ALL!Q410</f>
        <v>0</v>
      </c>
      <c r="S407" s="11">
        <f>[1]ALL!R403</f>
        <v>0</v>
      </c>
      <c r="T407" s="9"/>
      <c r="U407" s="9"/>
      <c r="V407" s="10"/>
    </row>
    <row r="408" spans="1:22">
      <c r="A408" s="2">
        <v>145</v>
      </c>
      <c r="B408" s="1" t="str">
        <f>[1]ALL!A146</f>
        <v>1588</v>
      </c>
      <c r="C408" s="2" t="str">
        <f>[1]ALL!B146</f>
        <v>Sideways Minds</v>
      </c>
      <c r="D408" s="2" t="str">
        <f>[1]ALL!C146</f>
        <v>Wood River High School</v>
      </c>
      <c r="E408" s="2" t="str">
        <f>[1]ALL!D146</f>
        <v>Hailey, Idaho, United States</v>
      </c>
      <c r="F408" s="8">
        <f>[1]ALL!E146</f>
        <v>122</v>
      </c>
      <c r="G408" s="8">
        <f>[1]ALL!F146</f>
        <v>0</v>
      </c>
      <c r="H408" s="8">
        <f>[1]ALL!G146</f>
        <v>103.292</v>
      </c>
      <c r="I408" s="11">
        <f>[1]ALL!H146</f>
        <v>95.759799999999998</v>
      </c>
      <c r="J408" s="11">
        <f>[1]ALL!I146</f>
        <v>102.164</v>
      </c>
      <c r="K408" s="11">
        <f>[1]ALL!J146</f>
        <v>76.584999999999994</v>
      </c>
      <c r="L408" s="11">
        <f>[1]ALL!K146</f>
        <v>103.292</v>
      </c>
      <c r="M408" s="11">
        <f>[1]ALL!L146</f>
        <v>47.695599999999999</v>
      </c>
      <c r="N408" s="11">
        <f>[1]ALL!M146</f>
        <v>49.120399999999997</v>
      </c>
      <c r="O408" s="11">
        <f>[1]ALL!N146</f>
        <v>0</v>
      </c>
      <c r="P408" s="11">
        <f>[1]ALL!O146</f>
        <v>0</v>
      </c>
      <c r="Q408" s="11">
        <f>[1]ALL!P146</f>
        <v>0</v>
      </c>
      <c r="R408" s="11">
        <f>[1]ALL!Q146</f>
        <v>0</v>
      </c>
      <c r="S408" s="11">
        <f>[1]ALL!R404</f>
        <v>0</v>
      </c>
      <c r="T408" s="9"/>
      <c r="U408" s="9"/>
      <c r="V408" s="10"/>
    </row>
    <row r="409" spans="1:22">
      <c r="A409" s="2">
        <v>404</v>
      </c>
      <c r="B409" s="1" t="str">
        <f>[1]ALL!A405</f>
        <v>8059B</v>
      </c>
      <c r="C409" s="2" t="str">
        <f>[1]ALL!B405</f>
        <v>Blank.</v>
      </c>
      <c r="D409" s="2" t="str">
        <f>[1]ALL!C405</f>
        <v>Anglo-Chinese School (Independent)</v>
      </c>
      <c r="E409" s="2" t="str">
        <f>[1]ALL!D405</f>
        <v>Singapore, Not Applicable or Not Listed, Singapore</v>
      </c>
      <c r="F409" s="8">
        <f>[1]ALL!E405</f>
        <v>117</v>
      </c>
      <c r="G409" s="8">
        <f>[1]ALL!F405</f>
        <v>0</v>
      </c>
      <c r="H409" s="8">
        <f>[1]ALL!G405</f>
        <v>64.527299999999997</v>
      </c>
      <c r="I409" s="11">
        <f>[1]ALL!H405</f>
        <v>64.527299999999997</v>
      </c>
      <c r="J409" s="11">
        <f>[1]ALL!I405</f>
        <v>0</v>
      </c>
      <c r="K409" s="11">
        <f>[1]ALL!J405</f>
        <v>0</v>
      </c>
      <c r="L409" s="11">
        <f>[1]ALL!K405</f>
        <v>0</v>
      </c>
      <c r="M409" s="11">
        <f>[1]ALL!L405</f>
        <v>0</v>
      </c>
      <c r="N409" s="11">
        <f>[1]ALL!M405</f>
        <v>0</v>
      </c>
      <c r="O409" s="11">
        <f>[1]ALL!N405</f>
        <v>0</v>
      </c>
      <c r="P409" s="11">
        <f>[1]ALL!O405</f>
        <v>0</v>
      </c>
      <c r="Q409" s="11">
        <f>[1]ALL!P405</f>
        <v>0</v>
      </c>
      <c r="R409" s="11">
        <f>[1]ALL!Q405</f>
        <v>0</v>
      </c>
      <c r="S409" s="11">
        <f>[1]ALL!R405</f>
        <v>0</v>
      </c>
      <c r="T409" s="9"/>
      <c r="U409" s="9"/>
      <c r="V409" s="10"/>
    </row>
    <row r="410" spans="1:22">
      <c r="A410" s="2">
        <v>350</v>
      </c>
      <c r="B410" s="1" t="str">
        <f>[1]ALL!A351</f>
        <v>6862M</v>
      </c>
      <c r="C410" s="2" t="str">
        <f>[1]ALL!B351</f>
        <v>Team Comet Robotics Club</v>
      </c>
      <c r="D410" s="2" t="str">
        <f>[1]ALL!C351</f>
        <v>Team Comet Robotics Club</v>
      </c>
      <c r="E410" s="2" t="str">
        <f>[1]ALL!D351</f>
        <v>Marion, Ohio, United States</v>
      </c>
      <c r="F410" s="8">
        <f>[1]ALL!E351</f>
        <v>116</v>
      </c>
      <c r="G410" s="8">
        <f>[1]ALL!F351</f>
        <v>0</v>
      </c>
      <c r="H410" s="8">
        <f>[1]ALL!G351</f>
        <v>116.857</v>
      </c>
      <c r="I410" s="11">
        <f>[1]ALL!H351</f>
        <v>82.912300000000002</v>
      </c>
      <c r="J410" s="11">
        <f>[1]ALL!I351</f>
        <v>70.9358</v>
      </c>
      <c r="K410" s="11">
        <f>[1]ALL!J351</f>
        <v>77.244</v>
      </c>
      <c r="L410" s="11">
        <f>[1]ALL!K351</f>
        <v>116.857</v>
      </c>
      <c r="M410" s="11">
        <f>[1]ALL!L351</f>
        <v>64.251900000000006</v>
      </c>
      <c r="N410" s="11">
        <f>[1]ALL!M351</f>
        <v>69.460599999999999</v>
      </c>
      <c r="O410" s="11">
        <f>[1]ALL!N351</f>
        <v>61.224200000000003</v>
      </c>
      <c r="P410" s="11">
        <f>[1]ALL!O351</f>
        <v>57.125599999999999</v>
      </c>
      <c r="Q410" s="11">
        <f>[1]ALL!P351</f>
        <v>57.737000000000002</v>
      </c>
      <c r="R410" s="11">
        <f>[1]ALL!Q351</f>
        <v>0</v>
      </c>
      <c r="S410" s="11">
        <f>[1]ALL!R406</f>
        <v>0</v>
      </c>
      <c r="T410" s="9"/>
      <c r="U410" s="9"/>
      <c r="V410" s="10"/>
    </row>
    <row r="411" spans="1:22">
      <c r="A411" s="2">
        <v>19</v>
      </c>
      <c r="B411" s="1" t="str">
        <f>[1]ALL!A20</f>
        <v>64C</v>
      </c>
      <c r="C411" s="2" t="str">
        <f>[1]ALL!B20</f>
        <v>Double Down</v>
      </c>
      <c r="D411" s="2" t="str">
        <f>[1]ALL!C20</f>
        <v>Ed W. Clark High School</v>
      </c>
      <c r="E411" s="2" t="str">
        <f>[1]ALL!D20</f>
        <v>Las Vegas, Nevada, United States</v>
      </c>
      <c r="F411" s="8">
        <f>[1]ALL!E20</f>
        <v>115</v>
      </c>
      <c r="G411" s="8">
        <f>[1]ALL!F20</f>
        <v>0</v>
      </c>
      <c r="H411" s="8">
        <f>[1]ALL!G20</f>
        <v>83.710400000000007</v>
      </c>
      <c r="I411" s="11">
        <f>[1]ALL!H20</f>
        <v>71.643699999999995</v>
      </c>
      <c r="J411" s="11">
        <f>[1]ALL!I20</f>
        <v>83.710400000000007</v>
      </c>
      <c r="K411" s="11">
        <f>[1]ALL!J20</f>
        <v>47.342700000000001</v>
      </c>
      <c r="L411" s="11">
        <f>[1]ALL!K20</f>
        <v>26.6174</v>
      </c>
      <c r="M411" s="11">
        <f>[1]ALL!L20</f>
        <v>0</v>
      </c>
      <c r="N411" s="11">
        <f>[1]ALL!M20</f>
        <v>0</v>
      </c>
      <c r="O411" s="11">
        <f>[1]ALL!N20</f>
        <v>0</v>
      </c>
      <c r="P411" s="11">
        <f>[1]ALL!O20</f>
        <v>0</v>
      </c>
      <c r="Q411" s="11">
        <f>[1]ALL!P20</f>
        <v>0</v>
      </c>
      <c r="R411" s="11">
        <f>[1]ALL!Q20</f>
        <v>0</v>
      </c>
      <c r="S411" s="11">
        <f>[1]ALL!R407</f>
        <v>0</v>
      </c>
      <c r="T411" s="9"/>
      <c r="U411" s="9"/>
      <c r="V411" s="10"/>
    </row>
    <row r="412" spans="1:22">
      <c r="A412" s="2">
        <v>52</v>
      </c>
      <c r="B412" s="1" t="str">
        <f>[1]ALL!A53</f>
        <v>333T</v>
      </c>
      <c r="C412" s="2" t="str">
        <f>[1]ALL!B53</f>
        <v xml:space="preserve">Inconvenient&amp;Impractical </v>
      </c>
      <c r="D412" s="2" t="str">
        <f>[1]ALL!C53</f>
        <v>Niles North Robotics</v>
      </c>
      <c r="E412" s="2" t="str">
        <f>[1]ALL!D53</f>
        <v>Skokie, Illinois, United States</v>
      </c>
      <c r="F412" s="8">
        <f>[1]ALL!E53</f>
        <v>114</v>
      </c>
      <c r="G412" s="8">
        <f>[1]ALL!F53</f>
        <v>0</v>
      </c>
      <c r="H412" s="8">
        <f>[1]ALL!G53</f>
        <v>76.807500000000005</v>
      </c>
      <c r="I412" s="11">
        <f>[1]ALL!H53</f>
        <v>76.807500000000005</v>
      </c>
      <c r="J412" s="11">
        <f>[1]ALL!I53</f>
        <v>32.882100000000001</v>
      </c>
      <c r="K412" s="11">
        <f>[1]ALL!J53</f>
        <v>4.8130600000000001</v>
      </c>
      <c r="L412" s="11">
        <f>[1]ALL!K53</f>
        <v>9.3081499999999995</v>
      </c>
      <c r="M412" s="11">
        <f>[1]ALL!L53</f>
        <v>0</v>
      </c>
      <c r="N412" s="11">
        <f>[1]ALL!M53</f>
        <v>0</v>
      </c>
      <c r="O412" s="11">
        <f>[1]ALL!N53</f>
        <v>0</v>
      </c>
      <c r="P412" s="11">
        <f>[1]ALL!O53</f>
        <v>0</v>
      </c>
      <c r="Q412" s="11">
        <f>[1]ALL!P53</f>
        <v>0</v>
      </c>
      <c r="R412" s="11">
        <f>[1]ALL!Q53</f>
        <v>0</v>
      </c>
      <c r="S412" s="11">
        <f>[1]ALL!R408</f>
        <v>0</v>
      </c>
      <c r="T412" s="9"/>
      <c r="U412" s="9"/>
      <c r="V412" s="10"/>
    </row>
    <row r="413" spans="1:22">
      <c r="A413" s="2">
        <v>143</v>
      </c>
      <c r="B413" s="1" t="str">
        <f>[1]ALL!A144</f>
        <v>1575C</v>
      </c>
      <c r="C413" s="2" t="str">
        <f>[1]ALL!B144</f>
        <v>Carnage</v>
      </c>
      <c r="D413" s="2" t="str">
        <f>[1]ALL!C144</f>
        <v>Woodbridge Senior High School</v>
      </c>
      <c r="E413" s="2" t="str">
        <f>[1]ALL!D144</f>
        <v>Woodbridge, Virginia, United States</v>
      </c>
      <c r="F413" s="8">
        <f>[1]ALL!E144</f>
        <v>107</v>
      </c>
      <c r="G413" s="8">
        <f>[1]ALL!F144</f>
        <v>0</v>
      </c>
      <c r="H413" s="8">
        <f>[1]ALL!G144</f>
        <v>54.712000000000003</v>
      </c>
      <c r="I413" s="11">
        <f>[1]ALL!H144</f>
        <v>54.712000000000003</v>
      </c>
      <c r="J413" s="11">
        <f>[1]ALL!I144</f>
        <v>20.7425</v>
      </c>
      <c r="K413" s="11">
        <f>[1]ALL!J144</f>
        <v>42.848300000000002</v>
      </c>
      <c r="L413" s="11">
        <f>[1]ALL!K144</f>
        <v>34.240900000000003</v>
      </c>
      <c r="M413" s="11">
        <f>[1]ALL!L144</f>
        <v>17.9329</v>
      </c>
      <c r="N413" s="11">
        <f>[1]ALL!M144</f>
        <v>44.639200000000002</v>
      </c>
      <c r="O413" s="11">
        <f>[1]ALL!N144</f>
        <v>34.584000000000003</v>
      </c>
      <c r="P413" s="11">
        <f>[1]ALL!O144</f>
        <v>0</v>
      </c>
      <c r="Q413" s="11">
        <f>[1]ALL!P144</f>
        <v>0</v>
      </c>
      <c r="R413" s="11">
        <f>[1]ALL!Q144</f>
        <v>0</v>
      </c>
      <c r="S413" s="11">
        <f>[1]ALL!R409</f>
        <v>0</v>
      </c>
      <c r="T413" s="9"/>
      <c r="U413" s="9"/>
      <c r="V413" s="10"/>
    </row>
    <row r="414" spans="1:22">
      <c r="A414" s="2">
        <v>420</v>
      </c>
      <c r="B414" s="1" t="str">
        <f>[1]ALL!A421</f>
        <v>8585D</v>
      </c>
      <c r="C414" s="2" t="str">
        <f>[1]ALL!B421</f>
        <v>Stilwell Indians</v>
      </c>
      <c r="D414" s="2" t="str">
        <f>[1]ALL!C421</f>
        <v>Stilwell Public Schools</v>
      </c>
      <c r="E414" s="2" t="str">
        <f>[1]ALL!D421</f>
        <v>Stilwell, Oklahoma, United States</v>
      </c>
      <c r="F414" s="8">
        <f>[1]ALL!E421</f>
        <v>105</v>
      </c>
      <c r="G414" s="8">
        <f>[1]ALL!F421</f>
        <v>0</v>
      </c>
      <c r="H414" s="8">
        <f>[1]ALL!G421</f>
        <v>140.541</v>
      </c>
      <c r="I414" s="11">
        <f>[1]ALL!H421</f>
        <v>113.748</v>
      </c>
      <c r="J414" s="11">
        <f>[1]ALL!I421</f>
        <v>115.843</v>
      </c>
      <c r="K414" s="11">
        <f>[1]ALL!J421</f>
        <v>140.541</v>
      </c>
      <c r="L414" s="11">
        <f>[1]ALL!K421</f>
        <v>36.738100000000003</v>
      </c>
      <c r="M414" s="11">
        <f>[1]ALL!L421</f>
        <v>0</v>
      </c>
      <c r="N414" s="11">
        <f>[1]ALL!M421</f>
        <v>0</v>
      </c>
      <c r="O414" s="11">
        <f>[1]ALL!N421</f>
        <v>0</v>
      </c>
      <c r="P414" s="11">
        <f>[1]ALL!O421</f>
        <v>0</v>
      </c>
      <c r="Q414" s="11">
        <f>[1]ALL!P421</f>
        <v>0</v>
      </c>
      <c r="R414" s="11">
        <f>[1]ALL!Q421</f>
        <v>0</v>
      </c>
      <c r="S414" s="11">
        <f>[1]ALL!R410</f>
        <v>0</v>
      </c>
      <c r="T414" s="9"/>
      <c r="U414" s="9"/>
      <c r="V414" s="10"/>
    </row>
    <row r="415" spans="1:22">
      <c r="A415" s="2">
        <v>391</v>
      </c>
      <c r="B415" s="1" t="str">
        <f>[1]ALL!A392</f>
        <v>7882B</v>
      </c>
      <c r="C415" s="2" t="str">
        <f>[1]ALL!B392</f>
        <v>MCCTC #2</v>
      </c>
      <c r="D415" s="2" t="str">
        <f>[1]ALL!C392</f>
        <v>Mahoning County Career and Technical Center</v>
      </c>
      <c r="E415" s="2" t="str">
        <f>[1]ALL!D392</f>
        <v>Canfield, Ohio, United States</v>
      </c>
      <c r="F415" s="8">
        <f>[1]ALL!E392</f>
        <v>100</v>
      </c>
      <c r="G415" s="8">
        <f>[1]ALL!F392</f>
        <v>0</v>
      </c>
      <c r="H415" s="8">
        <f>[1]ALL!G392</f>
        <v>83.104500000000002</v>
      </c>
      <c r="I415" s="11">
        <f>[1]ALL!H392</f>
        <v>83.104500000000002</v>
      </c>
      <c r="J415" s="11">
        <f>[1]ALL!I392</f>
        <v>79.819699999999997</v>
      </c>
      <c r="K415" s="11">
        <f>[1]ALL!J392</f>
        <v>68.011799999999994</v>
      </c>
      <c r="L415" s="11">
        <f>[1]ALL!K392</f>
        <v>61.6873</v>
      </c>
      <c r="M415" s="11">
        <f>[1]ALL!L392</f>
        <v>25.730599999999999</v>
      </c>
      <c r="N415" s="11">
        <f>[1]ALL!M392</f>
        <v>1.53363</v>
      </c>
      <c r="O415" s="11">
        <f>[1]ALL!N392</f>
        <v>0</v>
      </c>
      <c r="P415" s="11">
        <f>[1]ALL!O392</f>
        <v>0</v>
      </c>
      <c r="Q415" s="11">
        <f>[1]ALL!P392</f>
        <v>0</v>
      </c>
      <c r="R415" s="11">
        <f>[1]ALL!Q392</f>
        <v>0</v>
      </c>
      <c r="S415" s="11">
        <f>[1]ALL!R411</f>
        <v>0</v>
      </c>
      <c r="T415" s="9"/>
      <c r="U415" s="9"/>
      <c r="V415" s="10"/>
    </row>
    <row r="416" spans="1:22">
      <c r="A416" s="2">
        <v>372</v>
      </c>
      <c r="B416" s="1" t="str">
        <f>[1]ALL!A373</f>
        <v>7479</v>
      </c>
      <c r="C416" s="2" t="str">
        <f>[1]ALL!B373</f>
        <v>Hillcrest</v>
      </c>
      <c r="D416" s="2" t="str">
        <f>[1]ALL!C373</f>
        <v>Hillcrest Christian College</v>
      </c>
      <c r="E416" s="2" t="str">
        <f>[1]ALL!D373</f>
        <v>Beaconsfield, N/A, Australia</v>
      </c>
      <c r="F416" s="8">
        <f>[1]ALL!E373</f>
        <v>97</v>
      </c>
      <c r="G416" s="8">
        <f>[1]ALL!F373</f>
        <v>0</v>
      </c>
      <c r="H416" s="8">
        <f>[1]ALL!G373</f>
        <v>91.844099999999997</v>
      </c>
      <c r="I416" s="11">
        <f>[1]ALL!H373</f>
        <v>91.844099999999997</v>
      </c>
      <c r="J416" s="11">
        <f>[1]ALL!I373</f>
        <v>0</v>
      </c>
      <c r="K416" s="11">
        <f>[1]ALL!J373</f>
        <v>0</v>
      </c>
      <c r="L416" s="11">
        <f>[1]ALL!K373</f>
        <v>0</v>
      </c>
      <c r="M416" s="11">
        <f>[1]ALL!L373</f>
        <v>0</v>
      </c>
      <c r="N416" s="11">
        <f>[1]ALL!M373</f>
        <v>0</v>
      </c>
      <c r="O416" s="11">
        <f>[1]ALL!N373</f>
        <v>0</v>
      </c>
      <c r="P416" s="11">
        <f>[1]ALL!O373</f>
        <v>0</v>
      </c>
      <c r="Q416" s="11">
        <f>[1]ALL!P373</f>
        <v>0</v>
      </c>
      <c r="R416" s="11">
        <f>[1]ALL!Q373</f>
        <v>0</v>
      </c>
      <c r="S416" s="11">
        <f>[1]ALL!R412</f>
        <v>0</v>
      </c>
      <c r="T416" s="9"/>
      <c r="U416" s="9"/>
      <c r="V416" s="10"/>
    </row>
    <row r="417" spans="1:22">
      <c r="A417" s="2">
        <v>352</v>
      </c>
      <c r="B417" s="1" t="str">
        <f>[1]ALL!A353</f>
        <v>6916A</v>
      </c>
      <c r="C417" s="2" t="str">
        <f>[1]ALL!B353</f>
        <v>BVT VEX Robotics</v>
      </c>
      <c r="D417" s="2" t="str">
        <f>[1]ALL!C353</f>
        <v>Blackstone Valley Regional High School</v>
      </c>
      <c r="E417" s="2" t="str">
        <f>[1]ALL!D353</f>
        <v>Upton, Massachusetts, United States</v>
      </c>
      <c r="F417" s="8">
        <f>[1]ALL!E353</f>
        <v>96</v>
      </c>
      <c r="G417" s="8">
        <f>[1]ALL!F353</f>
        <v>0</v>
      </c>
      <c r="H417" s="8">
        <f>[1]ALL!G353</f>
        <v>75.540199999999999</v>
      </c>
      <c r="I417" s="11">
        <f>[1]ALL!H353</f>
        <v>53.038499999999999</v>
      </c>
      <c r="J417" s="11">
        <f>[1]ALL!I353</f>
        <v>24.377400000000002</v>
      </c>
      <c r="K417" s="11">
        <f>[1]ALL!J353</f>
        <v>75.540199999999999</v>
      </c>
      <c r="L417" s="11">
        <f>[1]ALL!K353</f>
        <v>47.092300000000002</v>
      </c>
      <c r="M417" s="11">
        <f>[1]ALL!L353</f>
        <v>0</v>
      </c>
      <c r="N417" s="11">
        <f>[1]ALL!M353</f>
        <v>0</v>
      </c>
      <c r="O417" s="11">
        <f>[1]ALL!N353</f>
        <v>0</v>
      </c>
      <c r="P417" s="11">
        <f>[1]ALL!O353</f>
        <v>0</v>
      </c>
      <c r="Q417" s="11">
        <f>[1]ALL!P353</f>
        <v>0</v>
      </c>
      <c r="R417" s="11">
        <f>[1]ALL!Q353</f>
        <v>0</v>
      </c>
      <c r="S417" s="11">
        <f>[1]ALL!R413</f>
        <v>0</v>
      </c>
      <c r="T417" s="9"/>
      <c r="U417" s="9"/>
      <c r="V417" s="10"/>
    </row>
    <row r="418" spans="1:22">
      <c r="A418" s="2">
        <v>421</v>
      </c>
      <c r="B418" s="1" t="str">
        <f>[1]ALL!A422</f>
        <v>8615</v>
      </c>
      <c r="C418" s="2" t="str">
        <f>[1]ALL!B422</f>
        <v>The Vexecutors</v>
      </c>
      <c r="D418" s="2" t="str">
        <f>[1]ALL!C422</f>
        <v>New Hope</v>
      </c>
      <c r="E418" s="2" t="str">
        <f>[1]ALL!D422</f>
        <v>Columbus, Mississippi, United States</v>
      </c>
      <c r="F418" s="8">
        <f>[1]ALL!E422</f>
        <v>90</v>
      </c>
      <c r="G418" s="8">
        <f>[1]ALL!F422</f>
        <v>0</v>
      </c>
      <c r="H418" s="8">
        <f>[1]ALL!G422</f>
        <v>110.789</v>
      </c>
      <c r="I418" s="11">
        <f>[1]ALL!H422</f>
        <v>110.789</v>
      </c>
      <c r="J418" s="11">
        <f>[1]ALL!I422</f>
        <v>-19.095300000000002</v>
      </c>
      <c r="K418" s="11">
        <f>[1]ALL!J422</f>
        <v>71.371899999999997</v>
      </c>
      <c r="L418" s="11">
        <f>[1]ALL!K422</f>
        <v>43.491799999999998</v>
      </c>
      <c r="M418" s="11">
        <f>[1]ALL!L422</f>
        <v>80.772999999999996</v>
      </c>
      <c r="N418" s="11">
        <f>[1]ALL!M422</f>
        <v>66.251400000000004</v>
      </c>
      <c r="O418" s="11">
        <f>[1]ALL!N422</f>
        <v>0</v>
      </c>
      <c r="P418" s="11">
        <f>[1]ALL!O422</f>
        <v>0</v>
      </c>
      <c r="Q418" s="11">
        <f>[1]ALL!P422</f>
        <v>0</v>
      </c>
      <c r="R418" s="11">
        <f>[1]ALL!Q422</f>
        <v>0</v>
      </c>
      <c r="S418" s="11">
        <f>[1]ALL!R414</f>
        <v>0</v>
      </c>
      <c r="T418" s="9"/>
      <c r="U418" s="9"/>
      <c r="V418" s="10"/>
    </row>
    <row r="419" spans="1:22">
      <c r="A419" s="2">
        <v>481</v>
      </c>
      <c r="B419" s="1" t="str">
        <f>[1]ALL!A482</f>
        <v>9973A</v>
      </c>
      <c r="C419" s="2" t="str">
        <f>[1]ALL!B482</f>
        <v>Urumqi NO.1 MS A</v>
      </c>
      <c r="D419" s="2" t="str">
        <f>[1]ALL!C482</f>
        <v>Urumqi NO.1 Middle School</v>
      </c>
      <c r="E419" s="2" t="str">
        <f>[1]ALL!D482</f>
        <v>Urumqi, Not Applicable or Not Listed, China</v>
      </c>
      <c r="F419" s="8">
        <f>[1]ALL!E482</f>
        <v>89</v>
      </c>
      <c r="G419" s="8">
        <f>[1]ALL!F482</f>
        <v>0</v>
      </c>
      <c r="H419" s="8">
        <f>[1]ALL!G482</f>
        <v>135.39400000000001</v>
      </c>
      <c r="I419" s="11">
        <f>[1]ALL!H482</f>
        <v>135.39400000000001</v>
      </c>
      <c r="J419" s="11">
        <f>[1]ALL!I482</f>
        <v>0</v>
      </c>
      <c r="K419" s="11">
        <f>[1]ALL!J482</f>
        <v>0</v>
      </c>
      <c r="L419" s="11">
        <f>[1]ALL!K482</f>
        <v>0</v>
      </c>
      <c r="M419" s="11">
        <f>[1]ALL!L482</f>
        <v>0</v>
      </c>
      <c r="N419" s="11">
        <f>[1]ALL!M482</f>
        <v>0</v>
      </c>
      <c r="O419" s="11">
        <f>[1]ALL!N482</f>
        <v>0</v>
      </c>
      <c r="P419" s="11">
        <f>[1]ALL!O482</f>
        <v>0</v>
      </c>
      <c r="Q419" s="11">
        <f>[1]ALL!P482</f>
        <v>0</v>
      </c>
      <c r="R419" s="11">
        <f>[1]ALL!Q482</f>
        <v>0</v>
      </c>
      <c r="S419" s="11">
        <f>[1]ALL!R415</f>
        <v>0</v>
      </c>
      <c r="T419" s="9"/>
      <c r="U419" s="9"/>
      <c r="V419" s="10"/>
    </row>
    <row r="420" spans="1:22">
      <c r="A420" s="2">
        <v>419</v>
      </c>
      <c r="B420" s="1" t="str">
        <f>[1]ALL!A420</f>
        <v>8568B</v>
      </c>
      <c r="C420" s="2" t="str">
        <f>[1]ALL!B420</f>
        <v>Knights</v>
      </c>
      <c r="D420" s="2" t="str">
        <f>[1]ALL!C420</f>
        <v>North Andover High School</v>
      </c>
      <c r="E420" s="2" t="str">
        <f>[1]ALL!D420</f>
        <v>North Andover, Massachusetts, United States</v>
      </c>
      <c r="F420" s="8">
        <f>[1]ALL!E420</f>
        <v>89</v>
      </c>
      <c r="G420" s="8">
        <f>[1]ALL!F420</f>
        <v>0</v>
      </c>
      <c r="H420" s="8">
        <f>[1]ALL!G420</f>
        <v>114.63800000000001</v>
      </c>
      <c r="I420" s="11">
        <f>[1]ALL!H420</f>
        <v>114.63800000000001</v>
      </c>
      <c r="J420" s="11">
        <f>[1]ALL!I420</f>
        <v>25.562200000000001</v>
      </c>
      <c r="K420" s="11">
        <f>[1]ALL!J420</f>
        <v>96.448400000000007</v>
      </c>
      <c r="L420" s="11">
        <f>[1]ALL!K420</f>
        <v>0</v>
      </c>
      <c r="M420" s="11">
        <f>[1]ALL!L420</f>
        <v>0</v>
      </c>
      <c r="N420" s="11">
        <f>[1]ALL!M420</f>
        <v>0</v>
      </c>
      <c r="O420" s="11">
        <f>[1]ALL!N420</f>
        <v>0</v>
      </c>
      <c r="P420" s="11">
        <f>[1]ALL!O420</f>
        <v>0</v>
      </c>
      <c r="Q420" s="11">
        <f>[1]ALL!P420</f>
        <v>0</v>
      </c>
      <c r="R420" s="11">
        <f>[1]ALL!Q420</f>
        <v>0</v>
      </c>
      <c r="S420" s="11">
        <f>[1]ALL!R416</f>
        <v>0</v>
      </c>
      <c r="T420" s="9"/>
      <c r="U420" s="9"/>
      <c r="V420" s="10"/>
    </row>
    <row r="421" spans="1:22">
      <c r="A421" s="2">
        <v>454</v>
      </c>
      <c r="B421" s="1" t="str">
        <f>[1]ALL!A455</f>
        <v>9225C</v>
      </c>
      <c r="C421" s="2" t="str">
        <f>[1]ALL!B455</f>
        <v>Team Juice Box</v>
      </c>
      <c r="D421" s="2" t="str">
        <f>[1]ALL!C455</f>
        <v>White Plains High School</v>
      </c>
      <c r="E421" s="2" t="str">
        <f>[1]ALL!D455</f>
        <v>Anniston, Alabama, United States</v>
      </c>
      <c r="F421" s="8">
        <f>[1]ALL!E455</f>
        <v>89</v>
      </c>
      <c r="G421" s="8">
        <f>[1]ALL!F455</f>
        <v>0</v>
      </c>
      <c r="H421" s="8">
        <f>[1]ALL!G455</f>
        <v>48.179299999999998</v>
      </c>
      <c r="I421" s="11">
        <f>[1]ALL!H455</f>
        <v>26.1891</v>
      </c>
      <c r="J421" s="11">
        <f>[1]ALL!I455</f>
        <v>48.179299999999998</v>
      </c>
      <c r="K421" s="11">
        <f>[1]ALL!J455</f>
        <v>11.748100000000001</v>
      </c>
      <c r="L421" s="11">
        <f>[1]ALL!K455</f>
        <v>14.382899999999999</v>
      </c>
      <c r="M421" s="11">
        <f>[1]ALL!L455</f>
        <v>-12.6555</v>
      </c>
      <c r="N421" s="11">
        <f>[1]ALL!M455</f>
        <v>0</v>
      </c>
      <c r="O421" s="11">
        <f>[1]ALL!N455</f>
        <v>0</v>
      </c>
      <c r="P421" s="11">
        <f>[1]ALL!O455</f>
        <v>0</v>
      </c>
      <c r="Q421" s="11">
        <f>[1]ALL!P455</f>
        <v>0</v>
      </c>
      <c r="R421" s="11">
        <f>[1]ALL!Q455</f>
        <v>0</v>
      </c>
      <c r="S421" s="11">
        <f>[1]ALL!R417</f>
        <v>0</v>
      </c>
      <c r="T421" s="9"/>
      <c r="U421" s="9"/>
      <c r="V421" s="10"/>
    </row>
    <row r="422" spans="1:22">
      <c r="A422" s="2">
        <v>65</v>
      </c>
      <c r="B422" s="1" t="str">
        <f>[1]ALL!A66</f>
        <v>507B</v>
      </c>
      <c r="C422" s="2" t="str">
        <f>[1]ALL!B66</f>
        <v>Mustang Robotics</v>
      </c>
      <c r="D422" s="2" t="str">
        <f>[1]ALL!C66</f>
        <v>Otay Ranch High School</v>
      </c>
      <c r="E422" s="2" t="str">
        <f>[1]ALL!D66</f>
        <v>Chula Vista, California, United States</v>
      </c>
      <c r="F422" s="8">
        <f>[1]ALL!E66</f>
        <v>84</v>
      </c>
      <c r="G422" s="8">
        <f>[1]ALL!F66</f>
        <v>0</v>
      </c>
      <c r="H422" s="8">
        <f>[1]ALL!G66</f>
        <v>72.224299999999999</v>
      </c>
      <c r="I422" s="11">
        <f>[1]ALL!H66</f>
        <v>43.481699999999996</v>
      </c>
      <c r="J422" s="11">
        <f>[1]ALL!I66</f>
        <v>72.224299999999999</v>
      </c>
      <c r="K422" s="11">
        <f>[1]ALL!J66</f>
        <v>52.571800000000003</v>
      </c>
      <c r="L422" s="11">
        <f>[1]ALL!K66</f>
        <v>45.7898</v>
      </c>
      <c r="M422" s="11">
        <f>[1]ALL!L66</f>
        <v>22.748200000000001</v>
      </c>
      <c r="N422" s="11">
        <f>[1]ALL!M66</f>
        <v>0</v>
      </c>
      <c r="O422" s="11">
        <f>[1]ALL!N66</f>
        <v>0</v>
      </c>
      <c r="P422" s="11">
        <f>[1]ALL!O66</f>
        <v>0</v>
      </c>
      <c r="Q422" s="11">
        <f>[1]ALL!P66</f>
        <v>0</v>
      </c>
      <c r="R422" s="11">
        <f>[1]ALL!Q66</f>
        <v>0</v>
      </c>
      <c r="S422" s="11">
        <f>[1]ALL!R418</f>
        <v>0</v>
      </c>
      <c r="T422" s="9"/>
      <c r="U422" s="9"/>
      <c r="V422" s="10"/>
    </row>
    <row r="423" spans="1:22">
      <c r="A423" s="2">
        <v>390</v>
      </c>
      <c r="B423" s="1" t="str">
        <f>[1]ALL!A391</f>
        <v>7870B</v>
      </c>
      <c r="C423" s="2" t="str">
        <f>[1]ALL!B391</f>
        <v>Rockn' Robots</v>
      </c>
      <c r="D423" s="2" t="str">
        <f>[1]ALL!C391</f>
        <v>Coronado High School</v>
      </c>
      <c r="E423" s="2" t="str">
        <f>[1]ALL!D391</f>
        <v>Henderson, Nevada, United States</v>
      </c>
      <c r="F423" s="8">
        <f>[1]ALL!E391</f>
        <v>81</v>
      </c>
      <c r="G423" s="8">
        <f>[1]ALL!F391</f>
        <v>0</v>
      </c>
      <c r="H423" s="8">
        <f>[1]ALL!G391</f>
        <v>80.517499999999998</v>
      </c>
      <c r="I423" s="11">
        <f>[1]ALL!H391</f>
        <v>80.517499999999998</v>
      </c>
      <c r="J423" s="11">
        <f>[1]ALL!I391</f>
        <v>5.0417399999999999</v>
      </c>
      <c r="K423" s="11">
        <f>[1]ALL!J391</f>
        <v>-6.1968500000000004</v>
      </c>
      <c r="L423" s="11">
        <f>[1]ALL!K391</f>
        <v>0</v>
      </c>
      <c r="M423" s="11">
        <f>[1]ALL!L391</f>
        <v>0</v>
      </c>
      <c r="N423" s="11">
        <f>[1]ALL!M391</f>
        <v>0</v>
      </c>
      <c r="O423" s="11">
        <f>[1]ALL!N391</f>
        <v>0</v>
      </c>
      <c r="P423" s="11">
        <f>[1]ALL!O391</f>
        <v>0</v>
      </c>
      <c r="Q423" s="11">
        <f>[1]ALL!P391</f>
        <v>0</v>
      </c>
      <c r="R423" s="11">
        <f>[1]ALL!Q391</f>
        <v>0</v>
      </c>
      <c r="S423" s="11">
        <f>[1]ALL!R419</f>
        <v>0</v>
      </c>
      <c r="T423" s="9"/>
      <c r="U423" s="9"/>
      <c r="V423" s="10"/>
    </row>
    <row r="424" spans="1:22">
      <c r="A424" s="2">
        <v>45</v>
      </c>
      <c r="B424" s="1" t="str">
        <f>[1]ALL!A46</f>
        <v>255B</v>
      </c>
      <c r="C424" s="2" t="str">
        <f>[1]ALL!B46</f>
        <v>VEXtreme Team B</v>
      </c>
      <c r="D424" s="2" t="str">
        <f>[1]ALL!C46</f>
        <v>Norristown Area School District</v>
      </c>
      <c r="E424" s="2" t="str">
        <f>[1]ALL!D46</f>
        <v>Norristown, Pennsylvania, United States</v>
      </c>
      <c r="F424" s="8">
        <f>[1]ALL!E46</f>
        <v>81</v>
      </c>
      <c r="G424" s="8">
        <f>[1]ALL!F46</f>
        <v>0</v>
      </c>
      <c r="H424" s="8">
        <f>[1]ALL!G46</f>
        <v>72.439700000000002</v>
      </c>
      <c r="I424" s="11">
        <f>[1]ALL!H46</f>
        <v>45.700400000000002</v>
      </c>
      <c r="J424" s="11">
        <f>[1]ALL!I46</f>
        <v>72.439700000000002</v>
      </c>
      <c r="K424" s="11">
        <f>[1]ALL!J46</f>
        <v>5.8385699999999998</v>
      </c>
      <c r="L424" s="11">
        <f>[1]ALL!K46</f>
        <v>23.230499999999999</v>
      </c>
      <c r="M424" s="11">
        <f>[1]ALL!L46</f>
        <v>20.273900000000001</v>
      </c>
      <c r="N424" s="11">
        <f>[1]ALL!M46</f>
        <v>0</v>
      </c>
      <c r="O424" s="11">
        <f>[1]ALL!N46</f>
        <v>14.2349</v>
      </c>
      <c r="P424" s="11">
        <f>[1]ALL!O46</f>
        <v>0</v>
      </c>
      <c r="Q424" s="11">
        <f>[1]ALL!P46</f>
        <v>0</v>
      </c>
      <c r="R424" s="11">
        <f>[1]ALL!Q46</f>
        <v>0</v>
      </c>
      <c r="S424" s="11">
        <f>[1]ALL!R420</f>
        <v>0</v>
      </c>
      <c r="T424" s="9"/>
      <c r="U424" s="9"/>
      <c r="V424" s="10"/>
    </row>
    <row r="425" spans="1:22">
      <c r="A425" s="2">
        <v>296</v>
      </c>
      <c r="B425" s="1" t="str">
        <f>[1]ALL!A297</f>
        <v>5689A</v>
      </c>
      <c r="C425" s="2" t="str">
        <f>[1]ALL!B297</f>
        <v>Ares Ballistics</v>
      </c>
      <c r="D425" s="2" t="str">
        <f>[1]ALL!C297</f>
        <v>Caldwell High School</v>
      </c>
      <c r="E425" s="2" t="str">
        <f>[1]ALL!D297</f>
        <v>Caldwell, Idaho, United States</v>
      </c>
      <c r="F425" s="8">
        <f>[1]ALL!E297</f>
        <v>80</v>
      </c>
      <c r="G425" s="8">
        <f>[1]ALL!F297</f>
        <v>0</v>
      </c>
      <c r="H425" s="8">
        <f>[1]ALL!G297</f>
        <v>75.309600000000003</v>
      </c>
      <c r="I425" s="11">
        <f>[1]ALL!H297</f>
        <v>75.309600000000003</v>
      </c>
      <c r="J425" s="11">
        <f>[1]ALL!I297</f>
        <v>50.7483</v>
      </c>
      <c r="K425" s="11">
        <f>[1]ALL!J297</f>
        <v>28.401</v>
      </c>
      <c r="L425" s="11">
        <f>[1]ALL!K297</f>
        <v>27.271000000000001</v>
      </c>
      <c r="M425" s="11">
        <f>[1]ALL!L297</f>
        <v>25.040199999999999</v>
      </c>
      <c r="N425" s="11">
        <f>[1]ALL!M297</f>
        <v>1.3084800000000001</v>
      </c>
      <c r="O425" s="11">
        <f>[1]ALL!N297</f>
        <v>0</v>
      </c>
      <c r="P425" s="11">
        <f>[1]ALL!O297</f>
        <v>0</v>
      </c>
      <c r="Q425" s="11">
        <f>[1]ALL!P297</f>
        <v>0</v>
      </c>
      <c r="R425" s="11">
        <f>[1]ALL!Q297</f>
        <v>0</v>
      </c>
      <c r="S425" s="11">
        <f>[1]ALL!R421</f>
        <v>0</v>
      </c>
      <c r="T425" s="9"/>
      <c r="U425" s="9"/>
      <c r="V425" s="10"/>
    </row>
    <row r="426" spans="1:22">
      <c r="A426" s="2">
        <v>18</v>
      </c>
      <c r="B426" s="1" t="str">
        <f>[1]ALL!A19</f>
        <v>64</v>
      </c>
      <c r="C426" s="2" t="str">
        <f>[1]ALL!B19</f>
        <v>Double Down</v>
      </c>
      <c r="D426" s="2" t="str">
        <f>[1]ALL!C19</f>
        <v>Ed W. Clark High School</v>
      </c>
      <c r="E426" s="2" t="str">
        <f>[1]ALL!D19</f>
        <v>Las Vegas, Nevada, United States</v>
      </c>
      <c r="F426" s="8">
        <f>[1]ALL!E19</f>
        <v>79</v>
      </c>
      <c r="G426" s="8">
        <f>[1]ALL!F19</f>
        <v>0</v>
      </c>
      <c r="H426" s="8">
        <f>[1]ALL!G19</f>
        <v>93.138000000000005</v>
      </c>
      <c r="I426" s="11">
        <f>[1]ALL!H19</f>
        <v>93.138000000000005</v>
      </c>
      <c r="J426" s="11">
        <f>[1]ALL!I19</f>
        <v>59.061300000000003</v>
      </c>
      <c r="K426" s="11">
        <f>[1]ALL!J19</f>
        <v>64.892700000000005</v>
      </c>
      <c r="L426" s="11">
        <f>[1]ALL!K19</f>
        <v>60.905700000000003</v>
      </c>
      <c r="M426" s="11">
        <f>[1]ALL!L19</f>
        <v>0</v>
      </c>
      <c r="N426" s="11">
        <f>[1]ALL!M19</f>
        <v>0</v>
      </c>
      <c r="O426" s="11">
        <f>[1]ALL!N19</f>
        <v>0</v>
      </c>
      <c r="P426" s="11">
        <f>[1]ALL!O19</f>
        <v>0</v>
      </c>
      <c r="Q426" s="11">
        <f>[1]ALL!P19</f>
        <v>0</v>
      </c>
      <c r="R426" s="11">
        <f>[1]ALL!Q19</f>
        <v>0</v>
      </c>
      <c r="S426" s="11">
        <f>[1]ALL!R422</f>
        <v>0</v>
      </c>
      <c r="T426" s="9"/>
      <c r="U426" s="9"/>
      <c r="V426" s="10"/>
    </row>
    <row r="427" spans="1:22">
      <c r="A427" s="2">
        <v>46</v>
      </c>
      <c r="B427" s="1" t="str">
        <f>[1]ALL!A47</f>
        <v>266</v>
      </c>
      <c r="C427" s="2" t="str">
        <f>[1]ALL!B47</f>
        <v>Meow Meow</v>
      </c>
      <c r="D427" s="2" t="str">
        <f>[1]ALL!C47</f>
        <v>Meow Meow</v>
      </c>
      <c r="E427" s="2" t="str">
        <f>[1]ALL!D47</f>
        <v>Austin, Texas, United States</v>
      </c>
      <c r="F427" s="8">
        <f>[1]ALL!E47</f>
        <v>76</v>
      </c>
      <c r="G427" s="8">
        <f>[1]ALL!F47</f>
        <v>0</v>
      </c>
      <c r="H427" s="8">
        <f>[1]ALL!G47</f>
        <v>94.887600000000006</v>
      </c>
      <c r="I427" s="11">
        <f>[1]ALL!H47</f>
        <v>94.887600000000006</v>
      </c>
      <c r="J427" s="11">
        <f>[1]ALL!I47</f>
        <v>83.922499999999999</v>
      </c>
      <c r="K427" s="11">
        <f>[1]ALL!J47</f>
        <v>88.667699999999996</v>
      </c>
      <c r="L427" s="11">
        <f>[1]ALL!K47</f>
        <v>53.319499999999998</v>
      </c>
      <c r="M427" s="11">
        <f>[1]ALL!L47</f>
        <v>21.374300000000002</v>
      </c>
      <c r="N427" s="11">
        <f>[1]ALL!M47</f>
        <v>0</v>
      </c>
      <c r="O427" s="11">
        <f>[1]ALL!N47</f>
        <v>0</v>
      </c>
      <c r="P427" s="11">
        <f>[1]ALL!O47</f>
        <v>0</v>
      </c>
      <c r="Q427" s="11">
        <f>[1]ALL!P47</f>
        <v>0</v>
      </c>
      <c r="R427" s="11">
        <f>[1]ALL!Q47</f>
        <v>0</v>
      </c>
      <c r="S427" s="11">
        <f>[1]ALL!R423</f>
        <v>0</v>
      </c>
      <c r="T427" s="9"/>
      <c r="U427" s="9"/>
      <c r="V427" s="10"/>
    </row>
    <row r="428" spans="1:22">
      <c r="A428" s="2">
        <v>388</v>
      </c>
      <c r="B428" s="1" t="str">
        <f>[1]ALL!A389</f>
        <v>7856A</v>
      </c>
      <c r="C428" s="2" t="str">
        <f>[1]ALL!B389</f>
        <v>SH Fuxing HS A</v>
      </c>
      <c r="D428" s="2" t="str">
        <f>[1]ALL!C389</f>
        <v>Shanghai Fuxing High School</v>
      </c>
      <c r="E428" s="2" t="str">
        <f>[1]ALL!D389</f>
        <v>Shanghai, Not Applicable or Not Listed, China</v>
      </c>
      <c r="F428" s="8">
        <f>[1]ALL!E389</f>
        <v>67</v>
      </c>
      <c r="G428" s="8">
        <f>[1]ALL!F389</f>
        <v>0</v>
      </c>
      <c r="H428" s="8">
        <f>[1]ALL!G389</f>
        <v>128.821</v>
      </c>
      <c r="I428" s="11">
        <f>[1]ALL!H389</f>
        <v>128.821</v>
      </c>
      <c r="J428" s="11">
        <f>[1]ALL!I389</f>
        <v>0</v>
      </c>
      <c r="K428" s="11">
        <f>[1]ALL!J389</f>
        <v>0</v>
      </c>
      <c r="L428" s="11">
        <f>[1]ALL!K389</f>
        <v>0</v>
      </c>
      <c r="M428" s="11">
        <f>[1]ALL!L389</f>
        <v>0</v>
      </c>
      <c r="N428" s="11">
        <f>[1]ALL!M389</f>
        <v>0</v>
      </c>
      <c r="O428" s="11">
        <f>[1]ALL!N389</f>
        <v>0</v>
      </c>
      <c r="P428" s="11">
        <f>[1]ALL!O389</f>
        <v>0</v>
      </c>
      <c r="Q428" s="11">
        <f>[1]ALL!P389</f>
        <v>0</v>
      </c>
      <c r="R428" s="11">
        <f>[1]ALL!Q389</f>
        <v>0</v>
      </c>
      <c r="S428" s="11">
        <f>[1]ALL!R424</f>
        <v>0</v>
      </c>
      <c r="T428" s="9"/>
      <c r="U428" s="9"/>
      <c r="V428" s="10"/>
    </row>
    <row r="429" spans="1:22">
      <c r="A429" s="2">
        <v>422</v>
      </c>
      <c r="B429" s="1" t="str">
        <f>[1]ALL!A423</f>
        <v>8615C</v>
      </c>
      <c r="C429" s="2" t="str">
        <f>[1]ALL!B423</f>
        <v>The Vexecutors</v>
      </c>
      <c r="D429" s="2" t="str">
        <f>[1]ALL!C423</f>
        <v>New Hope High School</v>
      </c>
      <c r="E429" s="2" t="str">
        <f>[1]ALL!D423</f>
        <v>Columbus, Mississippi, United States</v>
      </c>
      <c r="F429" s="8">
        <f>[1]ALL!E423</f>
        <v>63</v>
      </c>
      <c r="G429" s="8">
        <f>[1]ALL!F423</f>
        <v>0</v>
      </c>
      <c r="H429" s="8">
        <f>[1]ALL!G423</f>
        <v>70.462599999999995</v>
      </c>
      <c r="I429" s="11">
        <f>[1]ALL!H423</f>
        <v>49.458300000000001</v>
      </c>
      <c r="J429" s="11">
        <f>[1]ALL!I423</f>
        <v>70.462599999999995</v>
      </c>
      <c r="K429" s="11">
        <f>[1]ALL!J423</f>
        <v>38.732700000000001</v>
      </c>
      <c r="L429" s="11">
        <f>[1]ALL!K423</f>
        <v>41.4636</v>
      </c>
      <c r="M429" s="11">
        <f>[1]ALL!L423</f>
        <v>7.6658799999999996</v>
      </c>
      <c r="N429" s="11">
        <f>[1]ALL!M423</f>
        <v>22.927600000000002</v>
      </c>
      <c r="O429" s="11">
        <f>[1]ALL!N423</f>
        <v>0</v>
      </c>
      <c r="P429" s="11">
        <f>[1]ALL!O423</f>
        <v>0</v>
      </c>
      <c r="Q429" s="11">
        <f>[1]ALL!P423</f>
        <v>0</v>
      </c>
      <c r="R429" s="11">
        <f>[1]ALL!Q423</f>
        <v>0</v>
      </c>
      <c r="S429" s="11">
        <f>[1]ALL!R425</f>
        <v>0</v>
      </c>
      <c r="T429" s="9"/>
      <c r="U429" s="9"/>
      <c r="V429" s="10"/>
    </row>
    <row r="430" spans="1:22">
      <c r="A430" s="2">
        <v>203</v>
      </c>
      <c r="B430" s="1" t="str">
        <f>[1]ALL!A204</f>
        <v>3273B</v>
      </c>
      <c r="C430" s="2" t="str">
        <f>[1]ALL!B204</f>
        <v>One Kelvin</v>
      </c>
      <c r="D430" s="2" t="str">
        <f>[1]ALL!C204</f>
        <v>Wayne High School</v>
      </c>
      <c r="E430" s="2" t="str">
        <f>[1]ALL!D204</f>
        <v>Wayne, West Virginia, United States</v>
      </c>
      <c r="F430" s="8">
        <f>[1]ALL!E204</f>
        <v>60</v>
      </c>
      <c r="G430" s="8">
        <f>[1]ALL!F204</f>
        <v>0</v>
      </c>
      <c r="H430" s="8">
        <f>[1]ALL!G204</f>
        <v>109.548</v>
      </c>
      <c r="I430" s="11">
        <f>[1]ALL!H204</f>
        <v>97.816699999999997</v>
      </c>
      <c r="J430" s="11">
        <f>[1]ALL!I204</f>
        <v>61.923099999999998</v>
      </c>
      <c r="K430" s="11">
        <f>[1]ALL!J204</f>
        <v>109.548</v>
      </c>
      <c r="L430" s="11">
        <f>[1]ALL!K204</f>
        <v>43.940399999999997</v>
      </c>
      <c r="M430" s="11">
        <f>[1]ALL!L204</f>
        <v>34.785899999999998</v>
      </c>
      <c r="N430" s="11">
        <f>[1]ALL!M204</f>
        <v>0</v>
      </c>
      <c r="O430" s="11">
        <f>[1]ALL!N204</f>
        <v>0</v>
      </c>
      <c r="P430" s="11">
        <f>[1]ALL!O204</f>
        <v>0</v>
      </c>
      <c r="Q430" s="11">
        <f>[1]ALL!P204</f>
        <v>0</v>
      </c>
      <c r="R430" s="11">
        <f>[1]ALL!Q204</f>
        <v>0</v>
      </c>
      <c r="S430" s="11">
        <f>[1]ALL!R426</f>
        <v>0</v>
      </c>
      <c r="T430" s="9"/>
      <c r="U430" s="9"/>
      <c r="V430" s="10"/>
    </row>
    <row r="431" spans="1:22">
      <c r="A431" s="2">
        <v>437</v>
      </c>
      <c r="B431" s="1" t="str">
        <f>[1]ALL!A438</f>
        <v>8855</v>
      </c>
      <c r="C431" s="2" t="str">
        <f>[1]ALL!B438</f>
        <v>INT. DE EST. SUP. DE MTY.</v>
      </c>
      <c r="D431" s="2" t="str">
        <f>[1]ALL!C438</f>
        <v>INT. DE EST. SUP. DE MONTERREY (CAMPUS SALTILLO)</v>
      </c>
      <c r="E431" s="2" t="str">
        <f>[1]ALL!D438</f>
        <v>SALTILLO, Coahuila, Mexico</v>
      </c>
      <c r="F431" s="8">
        <f>[1]ALL!E438</f>
        <v>59</v>
      </c>
      <c r="G431" s="8">
        <f>[1]ALL!F438</f>
        <v>0</v>
      </c>
      <c r="H431" s="8">
        <f>[1]ALL!G438</f>
        <v>53.118200000000002</v>
      </c>
      <c r="I431" s="11">
        <f>[1]ALL!H438</f>
        <v>53.118200000000002</v>
      </c>
      <c r="J431" s="11">
        <f>[1]ALL!I438</f>
        <v>45.713500000000003</v>
      </c>
      <c r="K431" s="11">
        <f>[1]ALL!J438</f>
        <v>20.406099999999999</v>
      </c>
      <c r="L431" s="11">
        <f>[1]ALL!K438</f>
        <v>48.7956</v>
      </c>
      <c r="M431" s="11">
        <f>[1]ALL!L438</f>
        <v>0</v>
      </c>
      <c r="N431" s="11">
        <f>[1]ALL!M438</f>
        <v>0</v>
      </c>
      <c r="O431" s="11">
        <f>[1]ALL!N438</f>
        <v>0</v>
      </c>
      <c r="P431" s="11">
        <f>[1]ALL!O438</f>
        <v>0</v>
      </c>
      <c r="Q431" s="11">
        <f>[1]ALL!P438</f>
        <v>0</v>
      </c>
      <c r="R431" s="11">
        <f>[1]ALL!Q438</f>
        <v>0</v>
      </c>
      <c r="S431" s="11">
        <f>[1]ALL!R427</f>
        <v>0</v>
      </c>
      <c r="T431" s="9"/>
      <c r="U431" s="9"/>
      <c r="V431" s="10"/>
    </row>
    <row r="432" spans="1:22">
      <c r="A432" s="2">
        <v>424</v>
      </c>
      <c r="B432" s="1" t="str">
        <f>[1]ALL!A425</f>
        <v>8655V</v>
      </c>
      <c r="C432" s="2" t="str">
        <f>[1]ALL!B425</f>
        <v>The Q Is Silqent</v>
      </c>
      <c r="D432" s="2" t="str">
        <f>[1]ALL!C425</f>
        <v>Eagan Vex Robotiqs</v>
      </c>
      <c r="E432" s="2" t="str">
        <f>[1]ALL!D425</f>
        <v>Eagan, Minnesota, United States</v>
      </c>
      <c r="F432" s="8">
        <f>[1]ALL!E425</f>
        <v>58</v>
      </c>
      <c r="G432" s="8">
        <f>[1]ALL!F425</f>
        <v>0</v>
      </c>
      <c r="H432" s="8">
        <f>[1]ALL!G425</f>
        <v>91.485100000000003</v>
      </c>
      <c r="I432" s="11">
        <f>[1]ALL!H425</f>
        <v>89.831599999999995</v>
      </c>
      <c r="J432" s="11">
        <f>[1]ALL!I425</f>
        <v>91.485100000000003</v>
      </c>
      <c r="K432" s="11">
        <f>[1]ALL!J425</f>
        <v>89.027299999999997</v>
      </c>
      <c r="L432" s="11">
        <f>[1]ALL!K425</f>
        <v>0</v>
      </c>
      <c r="M432" s="11">
        <f>[1]ALL!L425</f>
        <v>0</v>
      </c>
      <c r="N432" s="11">
        <f>[1]ALL!M425</f>
        <v>0</v>
      </c>
      <c r="O432" s="11">
        <f>[1]ALL!N425</f>
        <v>0</v>
      </c>
      <c r="P432" s="11">
        <f>[1]ALL!O425</f>
        <v>0</v>
      </c>
      <c r="Q432" s="11">
        <f>[1]ALL!P425</f>
        <v>0</v>
      </c>
      <c r="R432" s="11">
        <f>[1]ALL!Q425</f>
        <v>0</v>
      </c>
      <c r="S432" s="11">
        <f>[1]ALL!R428</f>
        <v>0</v>
      </c>
      <c r="T432" s="9"/>
      <c r="U432" s="9"/>
      <c r="V432" s="10"/>
    </row>
    <row r="433" spans="1:22">
      <c r="A433" s="2">
        <v>358</v>
      </c>
      <c r="B433" s="1" t="str">
        <f>[1]ALL!A359</f>
        <v>7010C</v>
      </c>
      <c r="C433" s="2" t="str">
        <f>[1]ALL!B359</f>
        <v>Conalep Chiapas A</v>
      </c>
      <c r="D433" s="2" t="str">
        <f>[1]ALL!C359</f>
        <v>Colegio Nacional de Educación Profesional Técnica (Conalep Chiapas)</v>
      </c>
      <c r="E433" s="2" t="str">
        <f>[1]ALL!D359</f>
        <v>Tuxtal Gutierrez , Chiapas, Chiapas, Mexico</v>
      </c>
      <c r="F433" s="8">
        <f>[1]ALL!E359</f>
        <v>58</v>
      </c>
      <c r="G433" s="8">
        <f>[1]ALL!F359</f>
        <v>0</v>
      </c>
      <c r="H433" s="8">
        <f>[1]ALL!G359</f>
        <v>84.464200000000005</v>
      </c>
      <c r="I433" s="11">
        <f>[1]ALL!H359</f>
        <v>84.464200000000005</v>
      </c>
      <c r="J433" s="11">
        <f>[1]ALL!I359</f>
        <v>69.351900000000001</v>
      </c>
      <c r="K433" s="11">
        <f>[1]ALL!J359</f>
        <v>45.874200000000002</v>
      </c>
      <c r="L433" s="11">
        <f>[1]ALL!K359</f>
        <v>56.573099999999997</v>
      </c>
      <c r="M433" s="11">
        <f>[1]ALL!L359</f>
        <v>0</v>
      </c>
      <c r="N433" s="11">
        <f>[1]ALL!M359</f>
        <v>0</v>
      </c>
      <c r="O433" s="11">
        <f>[1]ALL!N359</f>
        <v>0</v>
      </c>
      <c r="P433" s="11">
        <f>[1]ALL!O359</f>
        <v>0</v>
      </c>
      <c r="Q433" s="11">
        <f>[1]ALL!P359</f>
        <v>0</v>
      </c>
      <c r="R433" s="11">
        <f>[1]ALL!Q359</f>
        <v>0</v>
      </c>
      <c r="S433" s="11">
        <f>[1]ALL!R429</f>
        <v>0</v>
      </c>
      <c r="T433" s="9"/>
      <c r="U433" s="9"/>
      <c r="V433" s="10"/>
    </row>
    <row r="434" spans="1:22">
      <c r="A434" s="2">
        <v>389</v>
      </c>
      <c r="B434" s="1" t="str">
        <f>[1]ALL!A390</f>
        <v>7862F</v>
      </c>
      <c r="C434" s="2" t="str">
        <f>[1]ALL!B390</f>
        <v>Backwards Shirts</v>
      </c>
      <c r="D434" s="2" t="str">
        <f>[1]ALL!C390</f>
        <v>Hesston High School</v>
      </c>
      <c r="E434" s="2" t="str">
        <f>[1]ALL!D390</f>
        <v>Hesston, Kansas, United States</v>
      </c>
      <c r="F434" s="8">
        <f>[1]ALL!E390</f>
        <v>57</v>
      </c>
      <c r="G434" s="8">
        <f>[1]ALL!F390</f>
        <v>0</v>
      </c>
      <c r="H434" s="8">
        <f>[1]ALL!G390</f>
        <v>121.015</v>
      </c>
      <c r="I434" s="11">
        <f>[1]ALL!H390</f>
        <v>121.015</v>
      </c>
      <c r="J434" s="11">
        <f>[1]ALL!I390</f>
        <v>76.354900000000001</v>
      </c>
      <c r="K434" s="11">
        <f>[1]ALL!J390</f>
        <v>0</v>
      </c>
      <c r="L434" s="11">
        <f>[1]ALL!K390</f>
        <v>46.033900000000003</v>
      </c>
      <c r="M434" s="11">
        <f>[1]ALL!L390</f>
        <v>83.232200000000006</v>
      </c>
      <c r="N434" s="11">
        <f>[1]ALL!M390</f>
        <v>0</v>
      </c>
      <c r="O434" s="11">
        <f>[1]ALL!N390</f>
        <v>0</v>
      </c>
      <c r="P434" s="11">
        <f>[1]ALL!O390</f>
        <v>0</v>
      </c>
      <c r="Q434" s="11">
        <f>[1]ALL!P390</f>
        <v>0</v>
      </c>
      <c r="R434" s="11">
        <f>[1]ALL!Q390</f>
        <v>0</v>
      </c>
      <c r="S434" s="11">
        <f>[1]ALL!R430</f>
        <v>0</v>
      </c>
      <c r="T434" s="9"/>
      <c r="U434" s="9"/>
      <c r="V434" s="10"/>
    </row>
    <row r="435" spans="1:22">
      <c r="A435" s="2">
        <v>13</v>
      </c>
      <c r="B435" s="1" t="str">
        <f>[1]ALL!A14</f>
        <v>39</v>
      </c>
      <c r="C435" s="2" t="str">
        <f>[1]ALL!B14</f>
        <v>The Zip Ties</v>
      </c>
      <c r="D435" s="2" t="str">
        <f>[1]ALL!C14</f>
        <v>Cranbrook Schools</v>
      </c>
      <c r="E435" s="2" t="str">
        <f>[1]ALL!D14</f>
        <v>Bloomfield Hills, Michigan, United States</v>
      </c>
      <c r="F435" s="8">
        <f>[1]ALL!E14</f>
        <v>55</v>
      </c>
      <c r="G435" s="8">
        <f>[1]ALL!F14</f>
        <v>0</v>
      </c>
      <c r="H435" s="8">
        <f>[1]ALL!G14</f>
        <v>85.960700000000003</v>
      </c>
      <c r="I435" s="11">
        <f>[1]ALL!H14</f>
        <v>85.960700000000003</v>
      </c>
      <c r="J435" s="11">
        <f>[1]ALL!I14</f>
        <v>17.209099999999999</v>
      </c>
      <c r="K435" s="11">
        <f>[1]ALL!J14</f>
        <v>37.121600000000001</v>
      </c>
      <c r="L435" s="11">
        <f>[1]ALL!K14</f>
        <v>12.2263</v>
      </c>
      <c r="M435" s="11">
        <f>[1]ALL!L14</f>
        <v>0</v>
      </c>
      <c r="N435" s="11">
        <f>[1]ALL!M14</f>
        <v>0</v>
      </c>
      <c r="O435" s="11">
        <f>[1]ALL!N14</f>
        <v>0</v>
      </c>
      <c r="P435" s="11">
        <f>[1]ALL!O14</f>
        <v>0</v>
      </c>
      <c r="Q435" s="11">
        <f>[1]ALL!P14</f>
        <v>0</v>
      </c>
      <c r="R435" s="11">
        <f>[1]ALL!Q14</f>
        <v>0</v>
      </c>
      <c r="S435" s="11">
        <f>[1]ALL!R431</f>
        <v>0</v>
      </c>
      <c r="T435" s="9"/>
      <c r="U435" s="9"/>
      <c r="V435" s="10"/>
    </row>
    <row r="436" spans="1:22">
      <c r="A436" s="2">
        <v>349</v>
      </c>
      <c r="B436" s="1" t="str">
        <f>[1]ALL!A350</f>
        <v>6862</v>
      </c>
      <c r="C436" s="2" t="str">
        <f>[1]ALL!B350</f>
        <v>Team Comet Robotics Club</v>
      </c>
      <c r="D436" s="2" t="str">
        <f>[1]ALL!C350</f>
        <v>Team Comet Robotics Club</v>
      </c>
      <c r="E436" s="2" t="str">
        <f>[1]ALL!D350</f>
        <v>Marion, Ohio, United States</v>
      </c>
      <c r="F436" s="8">
        <f>[1]ALL!E350</f>
        <v>55</v>
      </c>
      <c r="G436" s="8">
        <f>[1]ALL!F350</f>
        <v>0</v>
      </c>
      <c r="H436" s="8">
        <f>[1]ALL!G350</f>
        <v>68.359499999999997</v>
      </c>
      <c r="I436" s="11">
        <f>[1]ALL!H350</f>
        <v>61.093000000000004</v>
      </c>
      <c r="J436" s="11">
        <f>[1]ALL!I350</f>
        <v>35.150199999999998</v>
      </c>
      <c r="K436" s="11">
        <f>[1]ALL!J350</f>
        <v>63.577800000000003</v>
      </c>
      <c r="L436" s="11">
        <f>[1]ALL!K350</f>
        <v>68.359499999999997</v>
      </c>
      <c r="M436" s="11">
        <f>[1]ALL!L350</f>
        <v>7.5114599999999996</v>
      </c>
      <c r="N436" s="11">
        <f>[1]ALL!M350</f>
        <v>67.595799999999997</v>
      </c>
      <c r="O436" s="11">
        <f>[1]ALL!N350</f>
        <v>20.482900000000001</v>
      </c>
      <c r="P436" s="11">
        <f>[1]ALL!O350</f>
        <v>51.782699999999998</v>
      </c>
      <c r="Q436" s="11">
        <f>[1]ALL!P350</f>
        <v>0</v>
      </c>
      <c r="R436" s="11">
        <f>[1]ALL!Q350</f>
        <v>0</v>
      </c>
      <c r="S436" s="11">
        <f>[1]ALL!R432</f>
        <v>0</v>
      </c>
      <c r="T436" s="9"/>
      <c r="U436" s="9"/>
      <c r="V436" s="10"/>
    </row>
    <row r="437" spans="1:22">
      <c r="A437" s="2">
        <v>2</v>
      </c>
      <c r="B437" s="1" t="str">
        <f>[1]ALL!A3</f>
        <v>2S</v>
      </c>
      <c r="C437" s="2" t="str">
        <f>[1]ALL!B3</f>
        <v>Robosavages S</v>
      </c>
      <c r="D437" s="2" t="str">
        <f>[1]ALL!C3</f>
        <v>Gladstone</v>
      </c>
      <c r="E437" s="2" t="str">
        <f>[1]ALL!D3</f>
        <v>Vancouver, British Columbia, Canada</v>
      </c>
      <c r="F437" s="8">
        <f>[1]ALL!E3</f>
        <v>40</v>
      </c>
      <c r="G437" s="8">
        <f>[1]ALL!F3</f>
        <v>0</v>
      </c>
      <c r="H437" s="8">
        <f>[1]ALL!G3</f>
        <v>72.793099999999995</v>
      </c>
      <c r="I437" s="11">
        <f>[1]ALL!H3</f>
        <v>72.793099999999995</v>
      </c>
      <c r="J437" s="11">
        <f>[1]ALL!I3</f>
        <v>10.095800000000001</v>
      </c>
      <c r="K437" s="11">
        <f>[1]ALL!J3</f>
        <v>0</v>
      </c>
      <c r="L437" s="11">
        <f>[1]ALL!K3</f>
        <v>0</v>
      </c>
      <c r="M437" s="11">
        <f>[1]ALL!L3</f>
        <v>0</v>
      </c>
      <c r="N437" s="11">
        <f>[1]ALL!M3</f>
        <v>0</v>
      </c>
      <c r="O437" s="11">
        <f>[1]ALL!N3</f>
        <v>0</v>
      </c>
      <c r="P437" s="11">
        <f>[1]ALL!O3</f>
        <v>0</v>
      </c>
      <c r="Q437" s="11">
        <f>[1]ALL!P3</f>
        <v>0</v>
      </c>
      <c r="R437" s="11">
        <f>[1]ALL!Q3</f>
        <v>0</v>
      </c>
      <c r="S437" s="11">
        <f>[1]ALL!R433</f>
        <v>0</v>
      </c>
      <c r="T437" s="9"/>
      <c r="U437" s="9"/>
      <c r="V437" s="10"/>
    </row>
    <row r="438" spans="1:22">
      <c r="A438" s="2">
        <v>456</v>
      </c>
      <c r="B438" s="1" t="str">
        <f>[1]ALL!A457</f>
        <v>9343A</v>
      </c>
      <c r="C438" s="2" t="str">
        <f>[1]ALL!B457</f>
        <v>Gearheads</v>
      </c>
      <c r="D438" s="2" t="str">
        <f>[1]ALL!C457</f>
        <v>Hampden Academy</v>
      </c>
      <c r="E438" s="2" t="str">
        <f>[1]ALL!D457</f>
        <v>Hampden, Maine, United States</v>
      </c>
      <c r="F438" s="8">
        <f>[1]ALL!E457</f>
        <v>40</v>
      </c>
      <c r="G438" s="8">
        <f>[1]ALL!F457</f>
        <v>0</v>
      </c>
      <c r="H438" s="8">
        <f>[1]ALL!G457</f>
        <v>64.891400000000004</v>
      </c>
      <c r="I438" s="11">
        <f>[1]ALL!H457</f>
        <v>64.361199999999997</v>
      </c>
      <c r="J438" s="11">
        <f>[1]ALL!I457</f>
        <v>64.891400000000004</v>
      </c>
      <c r="K438" s="11">
        <f>[1]ALL!J457</f>
        <v>-4.6024500000000002</v>
      </c>
      <c r="L438" s="11">
        <f>[1]ALL!K457</f>
        <v>12.2348</v>
      </c>
      <c r="M438" s="11">
        <f>[1]ALL!L457</f>
        <v>0</v>
      </c>
      <c r="N438" s="11">
        <f>[1]ALL!M457</f>
        <v>0</v>
      </c>
      <c r="O438" s="11">
        <f>[1]ALL!N457</f>
        <v>0</v>
      </c>
      <c r="P438" s="11">
        <f>[1]ALL!O457</f>
        <v>0</v>
      </c>
      <c r="Q438" s="11">
        <f>[1]ALL!P457</f>
        <v>0</v>
      </c>
      <c r="R438" s="11">
        <f>[1]ALL!Q457</f>
        <v>0</v>
      </c>
      <c r="S438" s="11">
        <f>[1]ALL!R434</f>
        <v>0</v>
      </c>
      <c r="T438" s="9"/>
      <c r="U438" s="9"/>
      <c r="V438" s="10"/>
    </row>
    <row r="439" spans="1:22">
      <c r="A439" s="2">
        <v>374</v>
      </c>
      <c r="B439" s="1" t="str">
        <f>[1]ALL!A375</f>
        <v>7536B</v>
      </c>
      <c r="C439" s="2" t="str">
        <f>[1]ALL!B375</f>
        <v>Counter Logic Mechanics</v>
      </c>
      <c r="D439" s="2" t="str">
        <f>[1]ALL!C375</f>
        <v>Ridgeland High School</v>
      </c>
      <c r="E439" s="2" t="str">
        <f>[1]ALL!D375</f>
        <v>Ridgeland, Mississippi, United States</v>
      </c>
      <c r="F439" s="8">
        <f>[1]ALL!E375</f>
        <v>38</v>
      </c>
      <c r="G439" s="8">
        <f>[1]ALL!F375</f>
        <v>0</v>
      </c>
      <c r="H439" s="8">
        <f>[1]ALL!G375</f>
        <v>95.623000000000005</v>
      </c>
      <c r="I439" s="11">
        <f>[1]ALL!H375</f>
        <v>68.244200000000006</v>
      </c>
      <c r="J439" s="11">
        <f>[1]ALL!I375</f>
        <v>95.623000000000005</v>
      </c>
      <c r="K439" s="11">
        <f>[1]ALL!J375</f>
        <v>56.292700000000004</v>
      </c>
      <c r="L439" s="11">
        <f>[1]ALL!K375</f>
        <v>56.357999999999997</v>
      </c>
      <c r="M439" s="11">
        <f>[1]ALL!L375</f>
        <v>9.9640599999999999</v>
      </c>
      <c r="N439" s="11">
        <f>[1]ALL!M375</f>
        <v>0</v>
      </c>
      <c r="O439" s="11">
        <f>[1]ALL!N375</f>
        <v>0</v>
      </c>
      <c r="P439" s="11">
        <f>[1]ALL!O375</f>
        <v>0</v>
      </c>
      <c r="Q439" s="11">
        <f>[1]ALL!P375</f>
        <v>0</v>
      </c>
      <c r="R439" s="11">
        <f>[1]ALL!Q375</f>
        <v>0</v>
      </c>
      <c r="S439" s="11">
        <f>[1]ALL!R435</f>
        <v>0</v>
      </c>
      <c r="T439" s="9"/>
      <c r="U439" s="9"/>
      <c r="V439" s="10"/>
    </row>
    <row r="440" spans="1:22">
      <c r="A440" s="2">
        <v>417</v>
      </c>
      <c r="B440" s="1" t="str">
        <f>[1]ALL!A418</f>
        <v>8505X</v>
      </c>
      <c r="C440" s="2" t="str">
        <f>[1]ALL!B418</f>
        <v>SPX Gold</v>
      </c>
      <c r="D440" s="2" t="str">
        <f>[1]ALL!C418</f>
        <v>St. Pius X High School</v>
      </c>
      <c r="E440" s="2" t="str">
        <f>[1]ALL!D418</f>
        <v>Albuquerque, New Mexico, United States</v>
      </c>
      <c r="F440" s="8">
        <f>[1]ALL!E418</f>
        <v>33</v>
      </c>
      <c r="G440" s="8">
        <f>[1]ALL!F418</f>
        <v>0</v>
      </c>
      <c r="H440" s="8">
        <f>[1]ALL!G418</f>
        <v>34.165500000000002</v>
      </c>
      <c r="I440" s="11">
        <f>[1]ALL!H418</f>
        <v>34.165500000000002</v>
      </c>
      <c r="J440" s="11">
        <f>[1]ALL!I418</f>
        <v>15.296099999999999</v>
      </c>
      <c r="K440" s="11">
        <f>[1]ALL!J418</f>
        <v>0</v>
      </c>
      <c r="L440" s="11">
        <f>[1]ALL!K418</f>
        <v>0</v>
      </c>
      <c r="M440" s="11">
        <f>[1]ALL!L418</f>
        <v>0</v>
      </c>
      <c r="N440" s="11">
        <f>[1]ALL!M418</f>
        <v>0</v>
      </c>
      <c r="O440" s="11">
        <f>[1]ALL!N418</f>
        <v>0</v>
      </c>
      <c r="P440" s="11">
        <f>[1]ALL!O418</f>
        <v>0</v>
      </c>
      <c r="Q440" s="11">
        <f>[1]ALL!P418</f>
        <v>0</v>
      </c>
      <c r="R440" s="11">
        <f>[1]ALL!Q418</f>
        <v>0</v>
      </c>
      <c r="S440" s="11">
        <f>[1]ALL!R436</f>
        <v>0</v>
      </c>
      <c r="T440" s="9"/>
      <c r="U440" s="9"/>
      <c r="V440" s="10"/>
    </row>
    <row r="441" spans="1:22">
      <c r="A441" s="2">
        <v>236</v>
      </c>
      <c r="B441" s="1" t="str">
        <f>[1]ALL!A237</f>
        <v>4154C</v>
      </c>
      <c r="C441" s="2" t="str">
        <f>[1]ALL!B237</f>
        <v>U.S.S.R.</v>
      </c>
      <c r="D441" s="2" t="str">
        <f>[1]ALL!C237</f>
        <v>University School of Nova Southeastern University</v>
      </c>
      <c r="E441" s="2" t="str">
        <f>[1]ALL!D237</f>
        <v>Fort Lauderdale, Florida, United States</v>
      </c>
      <c r="F441" s="8">
        <f>[1]ALL!E237</f>
        <v>16</v>
      </c>
      <c r="G441" s="8">
        <f>[1]ALL!F237</f>
        <v>0</v>
      </c>
      <c r="H441" s="8">
        <f>[1]ALL!G237</f>
        <v>34.290599999999998</v>
      </c>
      <c r="I441" s="11">
        <f>[1]ALL!H237</f>
        <v>31.085799999999999</v>
      </c>
      <c r="J441" s="11">
        <f>[1]ALL!I237</f>
        <v>34.290599999999998</v>
      </c>
      <c r="K441" s="11">
        <f>[1]ALL!J237</f>
        <v>17.877199999999998</v>
      </c>
      <c r="L441" s="11">
        <f>[1]ALL!K237</f>
        <v>5.9264299999999999</v>
      </c>
      <c r="M441" s="11">
        <f>[1]ALL!L237</f>
        <v>0</v>
      </c>
      <c r="N441" s="11">
        <f>[1]ALL!M237</f>
        <v>0</v>
      </c>
      <c r="O441" s="11">
        <f>[1]ALL!N237</f>
        <v>0</v>
      </c>
      <c r="P441" s="11">
        <f>[1]ALL!O237</f>
        <v>0</v>
      </c>
      <c r="Q441" s="11">
        <f>[1]ALL!P237</f>
        <v>0</v>
      </c>
      <c r="R441" s="11">
        <f>[1]ALL!Q237</f>
        <v>0</v>
      </c>
      <c r="S441" s="11">
        <f>[1]ALL!R437</f>
        <v>0</v>
      </c>
      <c r="T441" s="9"/>
      <c r="U441" s="9"/>
      <c r="V441" s="10"/>
    </row>
    <row r="442" spans="1:22">
      <c r="A442" s="2">
        <v>491</v>
      </c>
      <c r="B442" s="1" t="str">
        <f>[1]ALL!A492</f>
        <v>99288</v>
      </c>
      <c r="C442" s="2" t="str">
        <f>[1]ALL!B492</f>
        <v>MOT Charter School</v>
      </c>
      <c r="D442" s="2" t="str">
        <f>[1]ALL!C492</f>
        <v>MOT Charter School</v>
      </c>
      <c r="E442" s="2" t="str">
        <f>[1]ALL!D492</f>
        <v>Middletown, Delaware, United States</v>
      </c>
      <c r="F442" s="8">
        <f>[1]ALL!E492</f>
        <v>12</v>
      </c>
      <c r="G442" s="8">
        <f>[1]ALL!F492</f>
        <v>0</v>
      </c>
      <c r="H442" s="8">
        <f>[1]ALL!G492</f>
        <v>15.087400000000001</v>
      </c>
      <c r="I442" s="11">
        <f>[1]ALL!H492</f>
        <v>9.7326599999999992</v>
      </c>
      <c r="J442" s="11">
        <f>[1]ALL!I492</f>
        <v>15.087400000000001</v>
      </c>
      <c r="K442" s="11">
        <f>[1]ALL!J492</f>
        <v>0</v>
      </c>
      <c r="L442" s="11">
        <f>[1]ALL!K492</f>
        <v>0</v>
      </c>
      <c r="M442" s="11">
        <f>[1]ALL!L492</f>
        <v>0</v>
      </c>
      <c r="N442" s="11">
        <f>[1]ALL!M492</f>
        <v>0</v>
      </c>
      <c r="O442" s="11">
        <f>[1]ALL!N492</f>
        <v>0</v>
      </c>
      <c r="P442" s="11">
        <f>[1]ALL!O492</f>
        <v>0</v>
      </c>
      <c r="Q442" s="11">
        <f>[1]ALL!P492</f>
        <v>0</v>
      </c>
      <c r="R442" s="11">
        <f>[1]ALL!Q492</f>
        <v>0</v>
      </c>
      <c r="S442" s="11">
        <f>[1]ALL!R438</f>
        <v>0</v>
      </c>
      <c r="T442" s="9"/>
      <c r="U442" s="9"/>
      <c r="V442" s="10"/>
    </row>
    <row r="443" spans="1:22">
      <c r="A443" s="2">
        <v>132</v>
      </c>
      <c r="B443" s="1" t="str">
        <f>[1]ALL!A133</f>
        <v>1429P</v>
      </c>
      <c r="C443" s="2" t="str">
        <f>[1]ALL!B133</f>
        <v>KAOS   ►ö</v>
      </c>
      <c r="D443" s="2" t="str">
        <f>[1]ALL!C133</f>
        <v>Galena Park High School</v>
      </c>
      <c r="E443" s="2" t="str">
        <f>[1]ALL!D133</f>
        <v>Galena Park, Texas, United States</v>
      </c>
      <c r="F443" s="8">
        <f>[1]ALL!E133</f>
        <v>4</v>
      </c>
      <c r="G443" s="8">
        <f>[1]ALL!F133</f>
        <v>0</v>
      </c>
      <c r="H443" s="8">
        <f>[1]ALL!G133</f>
        <v>116.209</v>
      </c>
      <c r="I443" s="11">
        <f>[1]ALL!H133</f>
        <v>116.209</v>
      </c>
      <c r="J443" s="11">
        <f>[1]ALL!I133</f>
        <v>39.122500000000002</v>
      </c>
      <c r="K443" s="11">
        <f>[1]ALL!J133</f>
        <v>38.046700000000001</v>
      </c>
      <c r="L443" s="11">
        <f>[1]ALL!K133</f>
        <v>11.446</v>
      </c>
      <c r="M443" s="11">
        <f>[1]ALL!L133</f>
        <v>0</v>
      </c>
      <c r="N443" s="11">
        <f>[1]ALL!M133</f>
        <v>0</v>
      </c>
      <c r="O443" s="11">
        <f>[1]ALL!N133</f>
        <v>0</v>
      </c>
      <c r="P443" s="11">
        <f>[1]ALL!O133</f>
        <v>0</v>
      </c>
      <c r="Q443" s="11">
        <f>[1]ALL!P133</f>
        <v>0</v>
      </c>
      <c r="R443" s="11">
        <f>[1]ALL!Q133</f>
        <v>0</v>
      </c>
      <c r="S443" s="11">
        <f>[1]ALL!R439</f>
        <v>0</v>
      </c>
      <c r="T443" s="9"/>
      <c r="U443" s="9"/>
      <c r="V443" s="10"/>
    </row>
    <row r="444" spans="1:22">
      <c r="A444" s="2">
        <v>399</v>
      </c>
      <c r="B444" s="1" t="str">
        <f>[1]ALL!A400</f>
        <v>8000B</v>
      </c>
      <c r="C444" s="2" t="str">
        <f>[1]ALL!B400</f>
        <v>HRS Robohawks</v>
      </c>
      <c r="D444" s="2" t="str">
        <f>[1]ALL!C400</f>
        <v>Head-Royce School</v>
      </c>
      <c r="E444" s="2" t="str">
        <f>[1]ALL!D400</f>
        <v>Oakland, California, United States</v>
      </c>
      <c r="F444" s="8">
        <f>[1]ALL!E400</f>
        <v>0</v>
      </c>
      <c r="G444" s="8">
        <f>[1]ALL!F400</f>
        <v>0</v>
      </c>
      <c r="H444" s="8">
        <f>[1]ALL!G400</f>
        <v>147.84700000000001</v>
      </c>
      <c r="I444" s="11">
        <f>[1]ALL!H400</f>
        <v>147.84700000000001</v>
      </c>
      <c r="J444" s="11">
        <f>[1]ALL!I400</f>
        <v>90.450400000000002</v>
      </c>
      <c r="K444" s="11">
        <f>[1]ALL!J400</f>
        <v>81.610100000000003</v>
      </c>
      <c r="L444" s="11">
        <f>[1]ALL!K400</f>
        <v>59.305900000000001</v>
      </c>
      <c r="M444" s="11">
        <f>[1]ALL!L400</f>
        <v>89.639300000000006</v>
      </c>
      <c r="N444" s="11">
        <f>[1]ALL!M400</f>
        <v>109.363</v>
      </c>
      <c r="O444" s="11">
        <f>[1]ALL!N400</f>
        <v>73.1541</v>
      </c>
      <c r="P444" s="11">
        <f>[1]ALL!O400</f>
        <v>70.906700000000001</v>
      </c>
      <c r="Q444" s="11">
        <f>[1]ALL!P400</f>
        <v>0</v>
      </c>
      <c r="R444" s="11">
        <f>[1]ALL!Q400</f>
        <v>0</v>
      </c>
      <c r="S444" s="11">
        <f>[1]ALL!R440</f>
        <v>0</v>
      </c>
      <c r="T444" s="9"/>
      <c r="U444" s="9"/>
      <c r="V444" s="10"/>
    </row>
    <row r="445" spans="1:22">
      <c r="A445" s="2">
        <v>97</v>
      </c>
      <c r="B445" s="1" t="str">
        <f>[1]ALL!A98</f>
        <v>1007H</v>
      </c>
      <c r="C445" s="2" t="str">
        <f>[1]ALL!B98</f>
        <v>VARC High School</v>
      </c>
      <c r="D445" s="2" t="str">
        <f>[1]ALL!C98</f>
        <v>Vermillion Area Robotics Club</v>
      </c>
      <c r="E445" s="2" t="str">
        <f>[1]ALL!D98</f>
        <v>Vermillion, South Dakota, United States</v>
      </c>
      <c r="F445" s="8">
        <f>[1]ALL!E98</f>
        <v>0</v>
      </c>
      <c r="G445" s="8">
        <f>[1]ALL!F98</f>
        <v>0</v>
      </c>
      <c r="H445" s="8">
        <f>[1]ALL!G98</f>
        <v>136.34299999999999</v>
      </c>
      <c r="I445" s="11">
        <f>[1]ALL!H98</f>
        <v>97.197699999999998</v>
      </c>
      <c r="J445" s="11">
        <f>[1]ALL!I98</f>
        <v>136.34299999999999</v>
      </c>
      <c r="K445" s="11">
        <f>[1]ALL!J98</f>
        <v>0</v>
      </c>
      <c r="L445" s="11">
        <f>[1]ALL!K98</f>
        <v>0</v>
      </c>
      <c r="M445" s="11">
        <f>[1]ALL!L98</f>
        <v>0</v>
      </c>
      <c r="N445" s="11">
        <f>[1]ALL!M98</f>
        <v>0</v>
      </c>
      <c r="O445" s="11">
        <f>[1]ALL!N98</f>
        <v>0</v>
      </c>
      <c r="P445" s="11">
        <f>[1]ALL!O98</f>
        <v>0</v>
      </c>
      <c r="Q445" s="11">
        <f>[1]ALL!P98</f>
        <v>0</v>
      </c>
      <c r="R445" s="11">
        <f>[1]ALL!Q98</f>
        <v>0</v>
      </c>
      <c r="S445" s="59">
        <f>[1]ALL!R441</f>
        <v>0</v>
      </c>
      <c r="T445" s="9"/>
      <c r="U445" s="9"/>
      <c r="V445" s="10"/>
    </row>
    <row r="446" spans="1:22">
      <c r="A446" s="2">
        <v>395</v>
      </c>
      <c r="B446" s="1" t="str">
        <f>[1]ALL!A396</f>
        <v>7972C</v>
      </c>
      <c r="C446" s="2" t="str">
        <f>[1]ALL!B396</f>
        <v>Gaoxin NO.1 HSch C</v>
      </c>
      <c r="D446" s="2" t="str">
        <f>[1]ALL!C396</f>
        <v>Xi'an Gaoxin NO.1 High School</v>
      </c>
      <c r="E446" s="2" t="str">
        <f>[1]ALL!D396</f>
        <v>xi'an, Not Applicable or Not Listed, China</v>
      </c>
      <c r="F446" s="8">
        <f>[1]ALL!E396</f>
        <v>0</v>
      </c>
      <c r="G446" s="8">
        <f>[1]ALL!F396</f>
        <v>0</v>
      </c>
      <c r="H446" s="8">
        <f>[1]ALL!G396</f>
        <v>131.84</v>
      </c>
      <c r="I446" s="11">
        <f>[1]ALL!H396</f>
        <v>131.84</v>
      </c>
      <c r="J446" s="11">
        <f>[1]ALL!I396</f>
        <v>0</v>
      </c>
      <c r="K446" s="11">
        <f>[1]ALL!J396</f>
        <v>0</v>
      </c>
      <c r="L446" s="11">
        <f>[1]ALL!K396</f>
        <v>0</v>
      </c>
      <c r="M446" s="11">
        <f>[1]ALL!L396</f>
        <v>0</v>
      </c>
      <c r="N446" s="11">
        <f>[1]ALL!M396</f>
        <v>0</v>
      </c>
      <c r="O446" s="11">
        <f>[1]ALL!N396</f>
        <v>0</v>
      </c>
      <c r="P446" s="11">
        <f>[1]ALL!O396</f>
        <v>0</v>
      </c>
      <c r="Q446" s="11">
        <f>[1]ALL!P396</f>
        <v>0</v>
      </c>
      <c r="R446" s="11">
        <f>[1]ALL!Q396</f>
        <v>0</v>
      </c>
      <c r="S446" s="11">
        <f>[1]ALL!R442</f>
        <v>0</v>
      </c>
      <c r="T446" s="9"/>
      <c r="U446" s="9"/>
      <c r="V446" s="10"/>
    </row>
    <row r="447" spans="1:22">
      <c r="A447" s="2">
        <v>412</v>
      </c>
      <c r="B447" s="1" t="str">
        <f>[1]ALL!A413</f>
        <v>8229</v>
      </c>
      <c r="C447" s="2" t="str">
        <f>[1]ALL!B413</f>
        <v>NO.1 HS AT ECNU A</v>
      </c>
      <c r="D447" s="2" t="str">
        <f>[1]ALL!C413</f>
        <v>NO.1 High School Affiliated to East China Normal U</v>
      </c>
      <c r="E447" s="2" t="str">
        <f>[1]ALL!D413</f>
        <v>Shanghai, Not Applicable or Not Listed, China</v>
      </c>
      <c r="F447" s="8">
        <f>[1]ALL!E413</f>
        <v>0</v>
      </c>
      <c r="G447" s="8">
        <f>[1]ALL!F413</f>
        <v>0</v>
      </c>
      <c r="H447" s="8">
        <f>[1]ALL!G413</f>
        <v>128.98599999999999</v>
      </c>
      <c r="I447" s="11">
        <f>[1]ALL!H413</f>
        <v>128.98599999999999</v>
      </c>
      <c r="J447" s="11">
        <f>[1]ALL!I413</f>
        <v>0</v>
      </c>
      <c r="K447" s="11">
        <f>[1]ALL!J413</f>
        <v>0</v>
      </c>
      <c r="L447" s="11">
        <f>[1]ALL!K413</f>
        <v>0</v>
      </c>
      <c r="M447" s="11">
        <f>[1]ALL!L413</f>
        <v>0</v>
      </c>
      <c r="N447" s="11">
        <f>[1]ALL!M413</f>
        <v>0</v>
      </c>
      <c r="O447" s="11">
        <f>[1]ALL!N413</f>
        <v>0</v>
      </c>
      <c r="P447" s="11">
        <f>[1]ALL!O413</f>
        <v>0</v>
      </c>
      <c r="Q447" s="11">
        <f>[1]ALL!P413</f>
        <v>0</v>
      </c>
      <c r="R447" s="11">
        <f>[1]ALL!Q413</f>
        <v>0</v>
      </c>
      <c r="S447" s="11">
        <f>[1]ALL!R443</f>
        <v>0</v>
      </c>
      <c r="T447" s="9"/>
      <c r="U447" s="9"/>
      <c r="V447" s="10"/>
    </row>
    <row r="448" spans="1:22">
      <c r="A448" s="2">
        <v>146</v>
      </c>
      <c r="B448" s="1" t="str">
        <f>[1]ALL!A147</f>
        <v>1588B</v>
      </c>
      <c r="C448" s="2" t="str">
        <f>[1]ALL!B147</f>
        <v>Wayne Enterprises</v>
      </c>
      <c r="D448" s="2" t="str">
        <f>[1]ALL!C147</f>
        <v>Wood River High School</v>
      </c>
      <c r="E448" s="2" t="str">
        <f>[1]ALL!D147</f>
        <v>Hailey, Idaho, United States</v>
      </c>
      <c r="F448" s="8">
        <f>[1]ALL!E147</f>
        <v>0</v>
      </c>
      <c r="G448" s="8">
        <f>[1]ALL!F147</f>
        <v>0</v>
      </c>
      <c r="H448" s="8">
        <f>[1]ALL!G147</f>
        <v>118.71899999999999</v>
      </c>
      <c r="I448" s="11">
        <f>[1]ALL!H147</f>
        <v>91.709299999999999</v>
      </c>
      <c r="J448" s="11">
        <f>[1]ALL!I147</f>
        <v>103.608</v>
      </c>
      <c r="K448" s="11">
        <f>[1]ALL!J147</f>
        <v>118.71899999999999</v>
      </c>
      <c r="L448" s="11">
        <f>[1]ALL!K147</f>
        <v>76.202699999999993</v>
      </c>
      <c r="M448" s="11">
        <f>[1]ALL!L147</f>
        <v>91.826700000000002</v>
      </c>
      <c r="N448" s="11">
        <f>[1]ALL!M147</f>
        <v>38.032400000000003</v>
      </c>
      <c r="O448" s="11">
        <f>[1]ALL!N147</f>
        <v>0</v>
      </c>
      <c r="P448" s="11">
        <f>[1]ALL!O147</f>
        <v>0</v>
      </c>
      <c r="Q448" s="11">
        <f>[1]ALL!P147</f>
        <v>0</v>
      </c>
      <c r="R448" s="11">
        <f>[1]ALL!Q147</f>
        <v>0</v>
      </c>
      <c r="S448" s="11">
        <f>[1]ALL!R444</f>
        <v>0</v>
      </c>
      <c r="T448" s="9"/>
      <c r="U448" s="9"/>
      <c r="V448" s="10"/>
    </row>
    <row r="449" spans="1:22">
      <c r="A449" s="2">
        <v>377</v>
      </c>
      <c r="B449" s="1" t="str">
        <f>[1]ALL!A378</f>
        <v>7618A</v>
      </c>
      <c r="C449" s="2" t="str">
        <f>[1]ALL!B378</f>
        <v>Xiangming HSch A</v>
      </c>
      <c r="D449" s="2" t="str">
        <f>[1]ALL!C378</f>
        <v>Shanghai Xiangming High School</v>
      </c>
      <c r="E449" s="2" t="str">
        <f>[1]ALL!D378</f>
        <v>Shanghai, Not Applicable or Not Listed, China</v>
      </c>
      <c r="F449" s="8">
        <f>[1]ALL!E378</f>
        <v>0</v>
      </c>
      <c r="G449" s="8">
        <f>[1]ALL!F378</f>
        <v>0</v>
      </c>
      <c r="H449" s="8">
        <f>[1]ALL!G378</f>
        <v>109.654</v>
      </c>
      <c r="I449" s="11">
        <f>[1]ALL!H378</f>
        <v>109.654</v>
      </c>
      <c r="J449" s="11">
        <f>[1]ALL!I378</f>
        <v>0</v>
      </c>
      <c r="K449" s="11">
        <f>[1]ALL!J378</f>
        <v>0</v>
      </c>
      <c r="L449" s="11">
        <f>[1]ALL!K378</f>
        <v>0</v>
      </c>
      <c r="M449" s="11">
        <f>[1]ALL!L378</f>
        <v>0</v>
      </c>
      <c r="N449" s="11">
        <f>[1]ALL!M378</f>
        <v>0</v>
      </c>
      <c r="O449" s="11">
        <f>[1]ALL!N378</f>
        <v>0</v>
      </c>
      <c r="P449" s="11">
        <f>[1]ALL!O378</f>
        <v>0</v>
      </c>
      <c r="Q449" s="11">
        <f>[1]ALL!P378</f>
        <v>0</v>
      </c>
      <c r="R449" s="11">
        <f>[1]ALL!Q378</f>
        <v>0</v>
      </c>
      <c r="S449" s="11">
        <f>[1]ALL!R445</f>
        <v>0</v>
      </c>
      <c r="T449" s="9"/>
      <c r="U449" s="9"/>
      <c r="V449" s="10"/>
    </row>
    <row r="450" spans="1:22">
      <c r="A450" s="2">
        <v>139</v>
      </c>
      <c r="B450" s="1" t="str">
        <f>[1]ALL!A140</f>
        <v>1497W</v>
      </c>
      <c r="C450" s="2" t="str">
        <f>[1]ALL!B140</f>
        <v>Design Academy</v>
      </c>
      <c r="D450" s="2" t="str">
        <f>[1]ALL!C140</f>
        <v>Utah State University//Design Academy</v>
      </c>
      <c r="E450" s="2" t="str">
        <f>[1]ALL!D140</f>
        <v>Logan, Utah, United States</v>
      </c>
      <c r="F450" s="8">
        <f>[1]ALL!E140</f>
        <v>0</v>
      </c>
      <c r="G450" s="8">
        <f>[1]ALL!F140</f>
        <v>0</v>
      </c>
      <c r="H450" s="8">
        <f>[1]ALL!G140</f>
        <v>108.61199999999999</v>
      </c>
      <c r="I450" s="11">
        <f>[1]ALL!H140</f>
        <v>59.892600000000002</v>
      </c>
      <c r="J450" s="11">
        <f>[1]ALL!I140</f>
        <v>105.264</v>
      </c>
      <c r="K450" s="11">
        <f>[1]ALL!J140</f>
        <v>89.701800000000006</v>
      </c>
      <c r="L450" s="11">
        <f>[1]ALL!K140</f>
        <v>64.759299999999996</v>
      </c>
      <c r="M450" s="11">
        <f>[1]ALL!L140</f>
        <v>82.325100000000006</v>
      </c>
      <c r="N450" s="11">
        <f>[1]ALL!M140</f>
        <v>108.61199999999999</v>
      </c>
      <c r="O450" s="11">
        <f>[1]ALL!N140</f>
        <v>44.564900000000002</v>
      </c>
      <c r="P450" s="11">
        <f>[1]ALL!O140</f>
        <v>0</v>
      </c>
      <c r="Q450" s="11">
        <f>[1]ALL!P140</f>
        <v>0</v>
      </c>
      <c r="R450" s="11">
        <f>[1]ALL!Q140</f>
        <v>0</v>
      </c>
      <c r="S450" s="11">
        <f>[1]ALL!R446</f>
        <v>0</v>
      </c>
      <c r="T450" s="9"/>
      <c r="U450" s="9"/>
      <c r="V450" s="10"/>
    </row>
    <row r="451" spans="1:22">
      <c r="A451" s="2">
        <v>428</v>
      </c>
      <c r="B451" s="1" t="str">
        <f>[1]ALL!A429</f>
        <v>8691D</v>
      </c>
      <c r="C451" s="2" t="str">
        <f>[1]ALL!B429</f>
        <v>hefei NO.8 SMSch D</v>
      </c>
      <c r="D451" s="2" t="str">
        <f>[1]ALL!C429</f>
        <v>Hefei No.8 Senior Middle School</v>
      </c>
      <c r="E451" s="2" t="str">
        <f>[1]ALL!D429</f>
        <v>hefei, Not Applicable or Not Listed, China</v>
      </c>
      <c r="F451" s="8">
        <f>[1]ALL!E429</f>
        <v>0</v>
      </c>
      <c r="G451" s="8">
        <f>[1]ALL!F429</f>
        <v>0</v>
      </c>
      <c r="H451" s="8">
        <f>[1]ALL!G429</f>
        <v>108.545</v>
      </c>
      <c r="I451" s="11">
        <f>[1]ALL!H429</f>
        <v>108.545</v>
      </c>
      <c r="J451" s="11">
        <f>[1]ALL!I429</f>
        <v>0</v>
      </c>
      <c r="K451" s="11">
        <f>[1]ALL!J429</f>
        <v>0</v>
      </c>
      <c r="L451" s="11">
        <f>[1]ALL!K429</f>
        <v>0</v>
      </c>
      <c r="M451" s="11">
        <f>[1]ALL!L429</f>
        <v>0</v>
      </c>
      <c r="N451" s="11">
        <f>[1]ALL!M429</f>
        <v>0</v>
      </c>
      <c r="O451" s="11">
        <f>[1]ALL!N429</f>
        <v>0</v>
      </c>
      <c r="P451" s="11">
        <f>[1]ALL!O429</f>
        <v>0</v>
      </c>
      <c r="Q451" s="11">
        <f>[1]ALL!P429</f>
        <v>0</v>
      </c>
      <c r="R451" s="11">
        <f>[1]ALL!Q429</f>
        <v>0</v>
      </c>
      <c r="S451" s="11">
        <f>[1]ALL!R447</f>
        <v>0</v>
      </c>
      <c r="T451" s="9"/>
      <c r="U451" s="9"/>
      <c r="V451" s="10"/>
    </row>
    <row r="452" spans="1:22">
      <c r="A452" s="2">
        <v>196</v>
      </c>
      <c r="B452" s="1" t="str">
        <f>[1]ALL!A197</f>
        <v>2918A</v>
      </c>
      <c r="C452" s="2" t="str">
        <f>[1]ALL!B197</f>
        <v>GCEC A</v>
      </c>
      <c r="D452" s="2" t="str">
        <f>[1]ALL!C197</f>
        <v>Glenfield College</v>
      </c>
      <c r="E452" s="2" t="str">
        <f>[1]ALL!D197</f>
        <v>Glenfield, Not Applicable or Not Listed, New Zealand</v>
      </c>
      <c r="F452" s="8">
        <f>[1]ALL!E197</f>
        <v>0</v>
      </c>
      <c r="G452" s="8">
        <f>[1]ALL!F197</f>
        <v>0</v>
      </c>
      <c r="H452" s="8">
        <f>[1]ALL!G197</f>
        <v>107.33199999999999</v>
      </c>
      <c r="I452" s="11">
        <f>[1]ALL!H197</f>
        <v>83.511099999999999</v>
      </c>
      <c r="J452" s="11">
        <f>[1]ALL!I197</f>
        <v>107.33199999999999</v>
      </c>
      <c r="K452" s="11">
        <f>[1]ALL!J197</f>
        <v>74.302800000000005</v>
      </c>
      <c r="L452" s="11">
        <f>[1]ALL!K197</f>
        <v>0</v>
      </c>
      <c r="M452" s="11">
        <f>[1]ALL!L197</f>
        <v>0</v>
      </c>
      <c r="N452" s="11">
        <f>[1]ALL!M197</f>
        <v>0</v>
      </c>
      <c r="O452" s="11">
        <f>[1]ALL!N197</f>
        <v>0</v>
      </c>
      <c r="P452" s="11">
        <f>[1]ALL!O197</f>
        <v>0</v>
      </c>
      <c r="Q452" s="11">
        <f>[1]ALL!P197</f>
        <v>0</v>
      </c>
      <c r="R452" s="11">
        <f>[1]ALL!Q197</f>
        <v>0</v>
      </c>
      <c r="S452" s="11">
        <f>[1]ALL!R448</f>
        <v>0</v>
      </c>
      <c r="T452" s="9"/>
      <c r="U452" s="9"/>
      <c r="V452" s="10"/>
    </row>
    <row r="453" spans="1:22">
      <c r="A453" s="2">
        <v>93</v>
      </c>
      <c r="B453" s="1" t="str">
        <f>[1]ALL!A94</f>
        <v>973G</v>
      </c>
      <c r="C453" s="2" t="str">
        <f>[1]ALL!B94</f>
        <v>GreyDoges</v>
      </c>
      <c r="D453" s="2" t="str">
        <f>[1]ALL!C94</f>
        <v>Atascadero Robotics</v>
      </c>
      <c r="E453" s="2" t="str">
        <f>[1]ALL!D94</f>
        <v>Atascadero, California, United States</v>
      </c>
      <c r="F453" s="8">
        <f>[1]ALL!E94</f>
        <v>0</v>
      </c>
      <c r="G453" s="8">
        <f>[1]ALL!F94</f>
        <v>0</v>
      </c>
      <c r="H453" s="8">
        <f>[1]ALL!G94</f>
        <v>105.39400000000001</v>
      </c>
      <c r="I453" s="11">
        <f>[1]ALL!H94</f>
        <v>105.39400000000001</v>
      </c>
      <c r="J453" s="11">
        <f>[1]ALL!I94</f>
        <v>5.7781900000000004</v>
      </c>
      <c r="K453" s="11">
        <f>[1]ALL!J94</f>
        <v>66.602000000000004</v>
      </c>
      <c r="L453" s="11">
        <f>[1]ALL!K94</f>
        <v>68.020200000000003</v>
      </c>
      <c r="M453" s="11">
        <f>[1]ALL!L94</f>
        <v>30.698699999999999</v>
      </c>
      <c r="N453" s="11">
        <f>[1]ALL!M94</f>
        <v>27.466200000000001</v>
      </c>
      <c r="O453" s="11">
        <f>[1]ALL!N94</f>
        <v>0</v>
      </c>
      <c r="P453" s="11">
        <f>[1]ALL!O94</f>
        <v>0</v>
      </c>
      <c r="Q453" s="11">
        <f>[1]ALL!P94</f>
        <v>0</v>
      </c>
      <c r="R453" s="11">
        <f>[1]ALL!Q94</f>
        <v>0</v>
      </c>
      <c r="S453" s="11">
        <f>[1]ALL!R449</f>
        <v>0</v>
      </c>
      <c r="T453" s="9"/>
      <c r="U453" s="9"/>
      <c r="V453" s="10"/>
    </row>
    <row r="454" spans="1:22">
      <c r="A454" s="2">
        <v>327</v>
      </c>
      <c r="B454" s="1" t="str">
        <f>[1]ALL!A328</f>
        <v>6165S</v>
      </c>
      <c r="C454" s="2" t="str">
        <f>[1]ALL!B328</f>
        <v>Salvauth Park</v>
      </c>
      <c r="D454" s="2" t="str">
        <f>[1]ALL!C328</f>
        <v>El Raco dels Robotaires</v>
      </c>
      <c r="E454" s="2" t="str">
        <f>[1]ALL!D328</f>
        <v>Girona, Girona, Spain</v>
      </c>
      <c r="F454" s="8">
        <f>[1]ALL!E328</f>
        <v>0</v>
      </c>
      <c r="G454" s="8">
        <f>[1]ALL!F328</f>
        <v>0</v>
      </c>
      <c r="H454" s="8">
        <f>[1]ALL!G328</f>
        <v>104.044</v>
      </c>
      <c r="I454" s="11">
        <f>[1]ALL!H328</f>
        <v>104.044</v>
      </c>
      <c r="J454" s="11">
        <f>[1]ALL!I328</f>
        <v>0</v>
      </c>
      <c r="K454" s="11">
        <f>[1]ALL!J328</f>
        <v>0</v>
      </c>
      <c r="L454" s="11">
        <f>[1]ALL!K328</f>
        <v>0</v>
      </c>
      <c r="M454" s="11">
        <f>[1]ALL!L328</f>
        <v>0</v>
      </c>
      <c r="N454" s="11">
        <f>[1]ALL!M328</f>
        <v>0</v>
      </c>
      <c r="O454" s="11">
        <f>[1]ALL!N328</f>
        <v>0</v>
      </c>
      <c r="P454" s="11">
        <f>[1]ALL!O328</f>
        <v>0</v>
      </c>
      <c r="Q454" s="11">
        <f>[1]ALL!P328</f>
        <v>0</v>
      </c>
      <c r="R454" s="11">
        <f>[1]ALL!Q328</f>
        <v>0</v>
      </c>
      <c r="S454" s="11">
        <f>[1]ALL!R450</f>
        <v>0</v>
      </c>
      <c r="T454" s="9"/>
      <c r="U454" s="9"/>
      <c r="V454" s="10"/>
    </row>
    <row r="455" spans="1:22">
      <c r="A455" s="2">
        <v>378</v>
      </c>
      <c r="B455" s="1" t="str">
        <f>[1]ALL!A379</f>
        <v>7627A</v>
      </c>
      <c r="C455" s="2" t="str">
        <f>[1]ALL!B379</f>
        <v>Gaoxin A</v>
      </c>
      <c r="D455" s="2" t="str">
        <f>[1]ALL!C379</f>
        <v>Chengdu NO.7 High School Gaoxin Branch</v>
      </c>
      <c r="E455" s="2" t="str">
        <f>[1]ALL!D379</f>
        <v>chengdu, Not Applicable or Not Listed, China</v>
      </c>
      <c r="F455" s="8">
        <f>[1]ALL!E379</f>
        <v>0</v>
      </c>
      <c r="G455" s="8">
        <f>[1]ALL!F379</f>
        <v>0</v>
      </c>
      <c r="H455" s="8">
        <f>[1]ALL!G379</f>
        <v>101.46599999999999</v>
      </c>
      <c r="I455" s="11">
        <f>[1]ALL!H379</f>
        <v>101.46599999999999</v>
      </c>
      <c r="J455" s="11">
        <f>[1]ALL!I379</f>
        <v>0</v>
      </c>
      <c r="K455" s="11">
        <f>[1]ALL!J379</f>
        <v>0</v>
      </c>
      <c r="L455" s="11">
        <f>[1]ALL!K379</f>
        <v>0</v>
      </c>
      <c r="M455" s="11">
        <f>[1]ALL!L379</f>
        <v>0</v>
      </c>
      <c r="N455" s="11">
        <f>[1]ALL!M379</f>
        <v>0</v>
      </c>
      <c r="O455" s="11">
        <f>[1]ALL!N379</f>
        <v>0</v>
      </c>
      <c r="P455" s="11">
        <f>[1]ALL!O379</f>
        <v>0</v>
      </c>
      <c r="Q455" s="11">
        <f>[1]ALL!P379</f>
        <v>0</v>
      </c>
      <c r="R455" s="11">
        <f>[1]ALL!Q379</f>
        <v>0</v>
      </c>
      <c r="S455" s="11">
        <f>[1]ALL!R451</f>
        <v>0</v>
      </c>
      <c r="T455" s="9"/>
      <c r="U455" s="9"/>
      <c r="V455" s="10"/>
    </row>
    <row r="456" spans="1:22">
      <c r="A456" s="2">
        <v>291</v>
      </c>
      <c r="B456" s="1" t="str">
        <f>[1]ALL!A292</f>
        <v>5482C</v>
      </c>
      <c r="C456" s="2" t="str">
        <f>[1]ALL!B292</f>
        <v>CECyTEH Huejutla 3</v>
      </c>
      <c r="D456" s="2" t="str">
        <f>[1]ALL!C292</f>
        <v>CECyTEH Plantel Huejutla</v>
      </c>
      <c r="E456" s="2" t="str">
        <f>[1]ALL!D292</f>
        <v>Huejutla de Reyes, Hgo., Hidalgo, Mexico</v>
      </c>
      <c r="F456" s="8">
        <f>[1]ALL!E292</f>
        <v>0</v>
      </c>
      <c r="G456" s="8">
        <f>[1]ALL!F292</f>
        <v>0</v>
      </c>
      <c r="H456" s="8">
        <f>[1]ALL!G292</f>
        <v>100.53700000000001</v>
      </c>
      <c r="I456" s="11">
        <f>[1]ALL!H292</f>
        <v>94.0441</v>
      </c>
      <c r="J456" s="11">
        <f>[1]ALL!I292</f>
        <v>100.53700000000001</v>
      </c>
      <c r="K456" s="11">
        <f>[1]ALL!J292</f>
        <v>41.381700000000002</v>
      </c>
      <c r="L456" s="11">
        <f>[1]ALL!K292</f>
        <v>10.329599999999999</v>
      </c>
      <c r="M456" s="11">
        <f>[1]ALL!L292</f>
        <v>0</v>
      </c>
      <c r="N456" s="11">
        <f>[1]ALL!M292</f>
        <v>0</v>
      </c>
      <c r="O456" s="11">
        <f>[1]ALL!N292</f>
        <v>0</v>
      </c>
      <c r="P456" s="11">
        <f>[1]ALL!O292</f>
        <v>0</v>
      </c>
      <c r="Q456" s="11">
        <f>[1]ALL!P292</f>
        <v>0</v>
      </c>
      <c r="R456" s="11">
        <f>[1]ALL!Q292</f>
        <v>0</v>
      </c>
      <c r="S456" s="11">
        <f>[1]ALL!R452</f>
        <v>0</v>
      </c>
      <c r="T456" s="9"/>
      <c r="U456" s="9"/>
      <c r="V456" s="10"/>
    </row>
    <row r="457" spans="1:22">
      <c r="A457" s="2">
        <v>430</v>
      </c>
      <c r="B457" s="1" t="str">
        <f>[1]ALL!A431</f>
        <v>8739A</v>
      </c>
      <c r="C457" s="2" t="str">
        <f>[1]ALL!B431</f>
        <v>A. Robot. lagos de Moreno</v>
      </c>
      <c r="D457" s="2" t="str">
        <f>[1]ALL!C431</f>
        <v>ACADEMIA DE ROBOTICA DE LAGO DE MORENO</v>
      </c>
      <c r="E457" s="2" t="str">
        <f>[1]ALL!D431</f>
        <v>LAGOS DE MORENO, Jalisco, Mexico</v>
      </c>
      <c r="F457" s="8">
        <f>[1]ALL!E431</f>
        <v>0</v>
      </c>
      <c r="G457" s="8">
        <f>[1]ALL!F431</f>
        <v>0</v>
      </c>
      <c r="H457" s="8">
        <f>[1]ALL!G431</f>
        <v>99.167299999999997</v>
      </c>
      <c r="I457" s="11">
        <f>[1]ALL!H431</f>
        <v>87.85</v>
      </c>
      <c r="J457" s="11">
        <f>[1]ALL!I431</f>
        <v>95.264899999999997</v>
      </c>
      <c r="K457" s="11">
        <f>[1]ALL!J431</f>
        <v>97.072500000000005</v>
      </c>
      <c r="L457" s="11">
        <f>[1]ALL!K431</f>
        <v>99.167299999999997</v>
      </c>
      <c r="M457" s="11">
        <f>[1]ALL!L431</f>
        <v>63.256700000000002</v>
      </c>
      <c r="N457" s="11">
        <f>[1]ALL!M431</f>
        <v>15.509</v>
      </c>
      <c r="O457" s="11">
        <f>[1]ALL!N431</f>
        <v>68.3292</v>
      </c>
      <c r="P457" s="11">
        <f>[1]ALL!O431</f>
        <v>0</v>
      </c>
      <c r="Q457" s="11">
        <f>[1]ALL!P431</f>
        <v>0</v>
      </c>
      <c r="R457" s="11">
        <f>[1]ALL!Q431</f>
        <v>0</v>
      </c>
      <c r="S457" s="11">
        <f>[1]ALL!R453</f>
        <v>0</v>
      </c>
      <c r="T457" s="9"/>
      <c r="U457" s="9"/>
      <c r="V457" s="10"/>
    </row>
    <row r="458" spans="1:22">
      <c r="A458" s="2">
        <v>290</v>
      </c>
      <c r="B458" s="1" t="str">
        <f>[1]ALL!A291</f>
        <v>5482B</v>
      </c>
      <c r="C458" s="2" t="str">
        <f>[1]ALL!B291</f>
        <v>CECyTEH Huejutla 2</v>
      </c>
      <c r="D458" s="2" t="str">
        <f>[1]ALL!C291</f>
        <v>CECyTEH Plantel Huejutla</v>
      </c>
      <c r="E458" s="2" t="str">
        <f>[1]ALL!D291</f>
        <v>Huejutla de Reyes, Hgo., Hidalgo, Mexico</v>
      </c>
      <c r="F458" s="8">
        <f>[1]ALL!E291</f>
        <v>0</v>
      </c>
      <c r="G458" s="8">
        <f>[1]ALL!F291</f>
        <v>0</v>
      </c>
      <c r="H458" s="8">
        <f>[1]ALL!G291</f>
        <v>98.714200000000005</v>
      </c>
      <c r="I458" s="11">
        <f>[1]ALL!H291</f>
        <v>98.714200000000005</v>
      </c>
      <c r="J458" s="11">
        <f>[1]ALL!I291</f>
        <v>22.026499999999999</v>
      </c>
      <c r="K458" s="11">
        <f>[1]ALL!J291</f>
        <v>18.474599999999999</v>
      </c>
      <c r="L458" s="11">
        <f>[1]ALL!K291</f>
        <v>0</v>
      </c>
      <c r="M458" s="11">
        <f>[1]ALL!L291</f>
        <v>0</v>
      </c>
      <c r="N458" s="11">
        <f>[1]ALL!M291</f>
        <v>0</v>
      </c>
      <c r="O458" s="11">
        <f>[1]ALL!N291</f>
        <v>0</v>
      </c>
      <c r="P458" s="11">
        <f>[1]ALL!O291</f>
        <v>0</v>
      </c>
      <c r="Q458" s="11">
        <f>[1]ALL!P291</f>
        <v>0</v>
      </c>
      <c r="R458" s="11">
        <f>[1]ALL!Q291</f>
        <v>0</v>
      </c>
      <c r="S458" s="11">
        <f>[1]ALL!R454</f>
        <v>0</v>
      </c>
      <c r="T458" s="9"/>
      <c r="U458" s="9"/>
      <c r="V458" s="10"/>
    </row>
    <row r="459" spans="1:22">
      <c r="A459" s="2">
        <v>384</v>
      </c>
      <c r="B459" s="1" t="str">
        <f>[1]ALL!A385</f>
        <v>7786C</v>
      </c>
      <c r="C459" s="2" t="str">
        <f>[1]ALL!B385</f>
        <v>Xicheng FSCP&amp;BJUT</v>
      </c>
      <c r="D459" s="2" t="str">
        <f>[1]ALL!C385</f>
        <v>Xicheng District of Beijing Financial Street Child</v>
      </c>
      <c r="E459" s="2" t="str">
        <f>[1]ALL!D385</f>
        <v>beijing, Not Applicable or Not Listed, China</v>
      </c>
      <c r="F459" s="8">
        <f>[1]ALL!E385</f>
        <v>0</v>
      </c>
      <c r="G459" s="8">
        <f>[1]ALL!F385</f>
        <v>0</v>
      </c>
      <c r="H459" s="8">
        <f>[1]ALL!G385</f>
        <v>96.761799999999994</v>
      </c>
      <c r="I459" s="11">
        <f>[1]ALL!H385</f>
        <v>96.761799999999994</v>
      </c>
      <c r="J459" s="11">
        <f>[1]ALL!I385</f>
        <v>0</v>
      </c>
      <c r="K459" s="11">
        <f>[1]ALL!J385</f>
        <v>0</v>
      </c>
      <c r="L459" s="11">
        <f>[1]ALL!K385</f>
        <v>0</v>
      </c>
      <c r="M459" s="11">
        <f>[1]ALL!L385</f>
        <v>0</v>
      </c>
      <c r="N459" s="11">
        <f>[1]ALL!M385</f>
        <v>0</v>
      </c>
      <c r="O459" s="11">
        <f>[1]ALL!N385</f>
        <v>0</v>
      </c>
      <c r="P459" s="11">
        <f>[1]ALL!O385</f>
        <v>0</v>
      </c>
      <c r="Q459" s="11">
        <f>[1]ALL!P385</f>
        <v>0</v>
      </c>
      <c r="R459" s="11">
        <f>[1]ALL!Q385</f>
        <v>0</v>
      </c>
      <c r="S459" s="11">
        <f>[1]ALL!R455</f>
        <v>0</v>
      </c>
      <c r="T459" s="9"/>
      <c r="U459" s="9"/>
      <c r="V459" s="10"/>
    </row>
    <row r="460" spans="1:22">
      <c r="A460" s="2">
        <v>271</v>
      </c>
      <c r="B460" s="1" t="str">
        <f>[1]ALL!A272</f>
        <v>5107C</v>
      </c>
      <c r="C460" s="2" t="str">
        <f>[1]ALL!B272</f>
        <v>Independencia C</v>
      </c>
      <c r="D460" s="2" t="str">
        <f>[1]ALL!C272</f>
        <v>CECYTECH PLANTEL 31 La Independencia</v>
      </c>
      <c r="E460" s="2" t="str">
        <f>[1]ALL!D272</f>
        <v>La Concordia, Chiapas, Chiapas, Mexico</v>
      </c>
      <c r="F460" s="8">
        <f>[1]ALL!E272</f>
        <v>0</v>
      </c>
      <c r="G460" s="8">
        <f>[1]ALL!F272</f>
        <v>0</v>
      </c>
      <c r="H460" s="8">
        <f>[1]ALL!G272</f>
        <v>95.600300000000004</v>
      </c>
      <c r="I460" s="11">
        <f>[1]ALL!H272</f>
        <v>95.600300000000004</v>
      </c>
      <c r="J460" s="11">
        <f>[1]ALL!I272</f>
        <v>37.488900000000001</v>
      </c>
      <c r="K460" s="11">
        <f>[1]ALL!J272</f>
        <v>-11.188700000000001</v>
      </c>
      <c r="L460" s="11">
        <f>[1]ALL!K272</f>
        <v>0</v>
      </c>
      <c r="M460" s="11">
        <f>[1]ALL!L272</f>
        <v>0</v>
      </c>
      <c r="N460" s="11">
        <f>[1]ALL!M272</f>
        <v>0</v>
      </c>
      <c r="O460" s="11">
        <f>[1]ALL!N272</f>
        <v>0</v>
      </c>
      <c r="P460" s="11">
        <f>[1]ALL!O272</f>
        <v>0</v>
      </c>
      <c r="Q460" s="11">
        <f>[1]ALL!P272</f>
        <v>0</v>
      </c>
      <c r="R460" s="11">
        <f>[1]ALL!Q272</f>
        <v>0</v>
      </c>
      <c r="S460" s="11">
        <f>[1]ALL!R456</f>
        <v>0</v>
      </c>
      <c r="T460" s="9"/>
      <c r="U460" s="9"/>
      <c r="V460" s="10"/>
    </row>
    <row r="461" spans="1:22">
      <c r="A461" s="2">
        <v>78</v>
      </c>
      <c r="B461" s="1" t="str">
        <f>[1]ALL!A79</f>
        <v>675D</v>
      </c>
      <c r="C461" s="2" t="str">
        <f>[1]ALL!B79</f>
        <v>RoboDragons D</v>
      </c>
      <c r="D461" s="2" t="str">
        <f>[1]ALL!C79</f>
        <v>Gwinnett School of Mathem, Science, and Technology</v>
      </c>
      <c r="E461" s="2" t="str">
        <f>[1]ALL!D79</f>
        <v>Lawrenceville, Georgia, United States</v>
      </c>
      <c r="F461" s="8">
        <f>[1]ALL!E79</f>
        <v>0</v>
      </c>
      <c r="G461" s="8">
        <f>[1]ALL!F79</f>
        <v>0</v>
      </c>
      <c r="H461" s="8">
        <f>[1]ALL!G79</f>
        <v>94.185000000000002</v>
      </c>
      <c r="I461" s="11">
        <f>[1]ALL!H79</f>
        <v>94.185000000000002</v>
      </c>
      <c r="J461" s="11">
        <f>[1]ALL!I79</f>
        <v>62.691899999999997</v>
      </c>
      <c r="K461" s="11">
        <f>[1]ALL!J79</f>
        <v>50.228099999999998</v>
      </c>
      <c r="L461" s="11">
        <f>[1]ALL!K79</f>
        <v>20.548300000000001</v>
      </c>
      <c r="M461" s="11">
        <f>[1]ALL!L79</f>
        <v>0</v>
      </c>
      <c r="N461" s="11">
        <f>[1]ALL!M79</f>
        <v>0</v>
      </c>
      <c r="O461" s="11">
        <f>[1]ALL!N79</f>
        <v>0</v>
      </c>
      <c r="P461" s="11">
        <f>[1]ALL!O79</f>
        <v>0</v>
      </c>
      <c r="Q461" s="11">
        <f>[1]ALL!P79</f>
        <v>0</v>
      </c>
      <c r="R461" s="11">
        <f>[1]ALL!Q79</f>
        <v>0</v>
      </c>
      <c r="S461" s="11">
        <f>[1]ALL!R457</f>
        <v>0</v>
      </c>
      <c r="T461" s="9"/>
      <c r="U461" s="9"/>
      <c r="V461" s="10"/>
    </row>
    <row r="462" spans="1:22">
      <c r="A462" s="2">
        <v>155</v>
      </c>
      <c r="B462" s="1" t="str">
        <f>[1]ALL!A156</f>
        <v>1925E</v>
      </c>
      <c r="C462" s="2" t="str">
        <f>[1]ALL!B156</f>
        <v>COBACH</v>
      </c>
      <c r="D462" s="2" t="str">
        <f>[1]ALL!C156</f>
        <v>COBACH CHIHUAHUA</v>
      </c>
      <c r="E462" s="2" t="str">
        <f>[1]ALL!D156</f>
        <v>chihuahua, Chihuahua, Mexico</v>
      </c>
      <c r="F462" s="8">
        <f>[1]ALL!E156</f>
        <v>0</v>
      </c>
      <c r="G462" s="8">
        <f>[1]ALL!F156</f>
        <v>0</v>
      </c>
      <c r="H462" s="8">
        <f>[1]ALL!G156</f>
        <v>84.709100000000007</v>
      </c>
      <c r="I462" s="11">
        <f>[1]ALL!H156</f>
        <v>84.709100000000007</v>
      </c>
      <c r="J462" s="11">
        <f>[1]ALL!I156</f>
        <v>78.248900000000006</v>
      </c>
      <c r="K462" s="11">
        <f>[1]ALL!J156</f>
        <v>0</v>
      </c>
      <c r="L462" s="11">
        <f>[1]ALL!K156</f>
        <v>0</v>
      </c>
      <c r="M462" s="11">
        <f>[1]ALL!L156</f>
        <v>0</v>
      </c>
      <c r="N462" s="11">
        <f>[1]ALL!M156</f>
        <v>0</v>
      </c>
      <c r="O462" s="11">
        <f>[1]ALL!N156</f>
        <v>0</v>
      </c>
      <c r="P462" s="11">
        <f>[1]ALL!O156</f>
        <v>0</v>
      </c>
      <c r="Q462" s="11">
        <f>[1]ALL!P156</f>
        <v>0</v>
      </c>
      <c r="R462" s="11">
        <f>[1]ALL!Q156</f>
        <v>0</v>
      </c>
      <c r="S462" s="11">
        <f>[1]ALL!R458</f>
        <v>0</v>
      </c>
      <c r="T462" s="9"/>
      <c r="U462" s="9"/>
      <c r="V462" s="10"/>
    </row>
    <row r="463" spans="1:22">
      <c r="A463" s="2">
        <v>150</v>
      </c>
      <c r="B463" s="1" t="str">
        <f>[1]ALL!A151</f>
        <v>1750</v>
      </c>
      <c r="C463" s="2" t="str">
        <f>[1]ALL!B151</f>
        <v>Thunderstorm Robotics</v>
      </c>
      <c r="D463" s="2" t="str">
        <f>[1]ALL!C151</f>
        <v>Thunderstorm Robotics</v>
      </c>
      <c r="E463" s="2" t="str">
        <f>[1]ALL!D151</f>
        <v>Stillwater, Oklahoma, United States</v>
      </c>
      <c r="F463" s="8">
        <f>[1]ALL!E151</f>
        <v>0</v>
      </c>
      <c r="G463" s="8">
        <f>[1]ALL!F151</f>
        <v>0</v>
      </c>
      <c r="H463" s="8">
        <f>[1]ALL!G151</f>
        <v>80.271000000000001</v>
      </c>
      <c r="I463" s="11">
        <f>[1]ALL!H151</f>
        <v>60.142200000000003</v>
      </c>
      <c r="J463" s="11">
        <f>[1]ALL!I151</f>
        <v>80.271000000000001</v>
      </c>
      <c r="K463" s="11">
        <f>[1]ALL!J151</f>
        <v>73.493399999999994</v>
      </c>
      <c r="L463" s="11">
        <f>[1]ALL!K151</f>
        <v>33.240299999999998</v>
      </c>
      <c r="M463" s="11">
        <f>[1]ALL!L151</f>
        <v>18.136399999999998</v>
      </c>
      <c r="N463" s="11">
        <f>[1]ALL!M151</f>
        <v>0</v>
      </c>
      <c r="O463" s="11">
        <f>[1]ALL!N151</f>
        <v>0</v>
      </c>
      <c r="P463" s="11">
        <f>[1]ALL!O151</f>
        <v>0</v>
      </c>
      <c r="Q463" s="11">
        <f>[1]ALL!P151</f>
        <v>0</v>
      </c>
      <c r="R463" s="11">
        <f>[1]ALL!Q151</f>
        <v>0</v>
      </c>
      <c r="S463" s="11">
        <f>[1]ALL!R459</f>
        <v>0</v>
      </c>
      <c r="T463" s="9"/>
      <c r="U463" s="9"/>
      <c r="V463" s="10"/>
    </row>
    <row r="464" spans="1:22">
      <c r="A464" s="2">
        <v>413</v>
      </c>
      <c r="B464" s="1" t="str">
        <f>[1]ALL!A414</f>
        <v>8353A</v>
      </c>
      <c r="C464" s="2" t="str">
        <f>[1]ALL!B414</f>
        <v>CECyTEH Santiago 1</v>
      </c>
      <c r="D464" s="2" t="str">
        <f>[1]ALL!C414</f>
        <v>CECyTEH Plantel Santiago de Anaya</v>
      </c>
      <c r="E464" s="2" t="str">
        <f>[1]ALL!D414</f>
        <v>Santiago de Anaya, Hidalgo, Mexico</v>
      </c>
      <c r="F464" s="8">
        <f>[1]ALL!E414</f>
        <v>0</v>
      </c>
      <c r="G464" s="8">
        <f>[1]ALL!F414</f>
        <v>0</v>
      </c>
      <c r="H464" s="8">
        <f>[1]ALL!G414</f>
        <v>76.379300000000001</v>
      </c>
      <c r="I464" s="11">
        <f>[1]ALL!H414</f>
        <v>76.379300000000001</v>
      </c>
      <c r="J464" s="11">
        <f>[1]ALL!I414</f>
        <v>64.084000000000003</v>
      </c>
      <c r="K464" s="11">
        <f>[1]ALL!J414</f>
        <v>72.259699999999995</v>
      </c>
      <c r="L464" s="11">
        <f>[1]ALL!K414</f>
        <v>73.882800000000003</v>
      </c>
      <c r="M464" s="11">
        <f>[1]ALL!L414</f>
        <v>17.8582</v>
      </c>
      <c r="N464" s="11">
        <f>[1]ALL!M414</f>
        <v>0</v>
      </c>
      <c r="O464" s="11">
        <f>[1]ALL!N414</f>
        <v>0</v>
      </c>
      <c r="P464" s="11">
        <f>[1]ALL!O414</f>
        <v>0</v>
      </c>
      <c r="Q464" s="11">
        <f>[1]ALL!P414</f>
        <v>0</v>
      </c>
      <c r="R464" s="11">
        <f>[1]ALL!Q414</f>
        <v>0</v>
      </c>
      <c r="S464" s="11">
        <f>[1]ALL!R460</f>
        <v>0</v>
      </c>
      <c r="T464" s="9"/>
      <c r="U464" s="9"/>
      <c r="V464" s="10"/>
    </row>
    <row r="465" spans="1:22">
      <c r="A465" s="2">
        <v>74</v>
      </c>
      <c r="B465" s="1" t="str">
        <f>[1]ALL!A75</f>
        <v>605F</v>
      </c>
      <c r="C465" s="2" t="str">
        <f>[1]ALL!B75</f>
        <v>CECyTEH San Luis 6</v>
      </c>
      <c r="D465" s="2" t="str">
        <f>[1]ALL!C75</f>
        <v>CECyTEH San Luis</v>
      </c>
      <c r="E465" s="2" t="str">
        <f>[1]ALL!D75</f>
        <v>San Luis Potosí, San Luis Potosí, Mexico</v>
      </c>
      <c r="F465" s="8">
        <f>[1]ALL!E75</f>
        <v>0</v>
      </c>
      <c r="G465" s="8">
        <f>[1]ALL!F75</f>
        <v>0</v>
      </c>
      <c r="H465" s="8">
        <f>[1]ALL!G75</f>
        <v>74.343599999999995</v>
      </c>
      <c r="I465" s="11">
        <f>[1]ALL!H75</f>
        <v>37.9833</v>
      </c>
      <c r="J465" s="11">
        <f>[1]ALL!I75</f>
        <v>34.363799999999998</v>
      </c>
      <c r="K465" s="11">
        <f>[1]ALL!J75</f>
        <v>74.343599999999995</v>
      </c>
      <c r="L465" s="11">
        <f>[1]ALL!K75</f>
        <v>0</v>
      </c>
      <c r="M465" s="11">
        <f>[1]ALL!L75</f>
        <v>0</v>
      </c>
      <c r="N465" s="11">
        <f>[1]ALL!M75</f>
        <v>0</v>
      </c>
      <c r="O465" s="11">
        <f>[1]ALL!N75</f>
        <v>0</v>
      </c>
      <c r="P465" s="11">
        <f>[1]ALL!O75</f>
        <v>0</v>
      </c>
      <c r="Q465" s="11">
        <f>[1]ALL!P75</f>
        <v>0</v>
      </c>
      <c r="R465" s="11">
        <f>[1]ALL!Q75</f>
        <v>0</v>
      </c>
      <c r="S465" s="11">
        <f>[1]ALL!R461</f>
        <v>0</v>
      </c>
      <c r="T465" s="9"/>
      <c r="U465" s="9"/>
      <c r="V465" s="10"/>
    </row>
    <row r="466" spans="1:22">
      <c r="A466" s="2">
        <v>63</v>
      </c>
      <c r="B466" s="1" t="str">
        <f>[1]ALL!A64</f>
        <v>464F</v>
      </c>
      <c r="C466" s="2" t="str">
        <f>[1]ALL!B64</f>
        <v>Bad Mama Jama</v>
      </c>
      <c r="D466" s="2" t="str">
        <f>[1]ALL!C64</f>
        <v>Forest Hills High School</v>
      </c>
      <c r="E466" s="2" t="str">
        <f>[1]ALL!D64</f>
        <v>Sidman, Pennsylvania, United States</v>
      </c>
      <c r="F466" s="8">
        <f>[1]ALL!E64</f>
        <v>0</v>
      </c>
      <c r="G466" s="8">
        <f>[1]ALL!F64</f>
        <v>0</v>
      </c>
      <c r="H466" s="8">
        <f>[1]ALL!G64</f>
        <v>73.130700000000004</v>
      </c>
      <c r="I466" s="11">
        <f>[1]ALL!H64</f>
        <v>73.130700000000004</v>
      </c>
      <c r="J466" s="11">
        <f>[1]ALL!I64</f>
        <v>0</v>
      </c>
      <c r="K466" s="11">
        <f>[1]ALL!J64</f>
        <v>0</v>
      </c>
      <c r="L466" s="11">
        <f>[1]ALL!K64</f>
        <v>0</v>
      </c>
      <c r="M466" s="11">
        <f>[1]ALL!L64</f>
        <v>0</v>
      </c>
      <c r="N466" s="11">
        <f>[1]ALL!M64</f>
        <v>0</v>
      </c>
      <c r="O466" s="11">
        <f>[1]ALL!N64</f>
        <v>0</v>
      </c>
      <c r="P466" s="11">
        <f>[1]ALL!O64</f>
        <v>0</v>
      </c>
      <c r="Q466" s="11">
        <f>[1]ALL!P64</f>
        <v>0</v>
      </c>
      <c r="R466" s="11">
        <f>[1]ALL!Q64</f>
        <v>0</v>
      </c>
      <c r="S466" s="11">
        <f>[1]ALL!R462</f>
        <v>0</v>
      </c>
      <c r="T466" s="9"/>
      <c r="U466" s="9"/>
      <c r="V466" s="10"/>
    </row>
    <row r="467" spans="1:22">
      <c r="A467" s="2">
        <v>60</v>
      </c>
      <c r="B467" s="1" t="str">
        <f>[1]ALL!A61</f>
        <v>400R</v>
      </c>
      <c r="C467" s="2" t="str">
        <f>[1]ALL!B61</f>
        <v>Galveston I.S.D. Robotics</v>
      </c>
      <c r="D467" s="2" t="str">
        <f>[1]ALL!C61</f>
        <v>Galveston I.S.D. Robotics</v>
      </c>
      <c r="E467" s="2" t="str">
        <f>[1]ALL!D61</f>
        <v>Galveston, Texas, United States</v>
      </c>
      <c r="F467" s="8">
        <f>[1]ALL!E61</f>
        <v>0</v>
      </c>
      <c r="G467" s="8">
        <f>[1]ALL!F61</f>
        <v>0</v>
      </c>
      <c r="H467" s="8">
        <f>[1]ALL!G61</f>
        <v>72.279899999999998</v>
      </c>
      <c r="I467" s="11">
        <f>[1]ALL!H61</f>
        <v>56.136400000000002</v>
      </c>
      <c r="J467" s="11">
        <f>[1]ALL!I61</f>
        <v>72.279899999999998</v>
      </c>
      <c r="K467" s="11">
        <f>[1]ALL!J61</f>
        <v>0</v>
      </c>
      <c r="L467" s="11">
        <f>[1]ALL!K61</f>
        <v>0</v>
      </c>
      <c r="M467" s="11">
        <f>[1]ALL!L61</f>
        <v>0</v>
      </c>
      <c r="N467" s="11">
        <f>[1]ALL!M61</f>
        <v>0</v>
      </c>
      <c r="O467" s="11">
        <f>[1]ALL!N61</f>
        <v>0</v>
      </c>
      <c r="P467" s="11">
        <f>[1]ALL!O61</f>
        <v>0</v>
      </c>
      <c r="Q467" s="11">
        <f>[1]ALL!P61</f>
        <v>0</v>
      </c>
      <c r="R467" s="11">
        <f>[1]ALL!Q61</f>
        <v>0</v>
      </c>
      <c r="S467" s="11">
        <f>[1]ALL!R463</f>
        <v>0</v>
      </c>
      <c r="T467" s="9"/>
      <c r="U467" s="9"/>
      <c r="V467" s="10"/>
    </row>
    <row r="468" spans="1:22">
      <c r="A468" s="2">
        <v>268</v>
      </c>
      <c r="B468" s="1" t="str">
        <f>[1]ALL!A269</f>
        <v>5081C</v>
      </c>
      <c r="C468" s="2" t="str">
        <f>[1]ALL!B269</f>
        <v>ZABRISKIE</v>
      </c>
      <c r="D468" s="2" t="str">
        <f>[1]ALL!C269</f>
        <v>Institución Educativa Roberto Velandia</v>
      </c>
      <c r="E468" s="2" t="str">
        <f>[1]ALL!D269</f>
        <v>Mosquera, Cundinamarca, Colombia</v>
      </c>
      <c r="F468" s="8">
        <f>[1]ALL!E269</f>
        <v>0</v>
      </c>
      <c r="G468" s="8">
        <f>[1]ALL!F269</f>
        <v>0</v>
      </c>
      <c r="H468" s="8">
        <f>[1]ALL!G269</f>
        <v>71.8065</v>
      </c>
      <c r="I468" s="11">
        <f>[1]ALL!H269</f>
        <v>71.8065</v>
      </c>
      <c r="J468" s="11">
        <f>[1]ALL!I269</f>
        <v>0</v>
      </c>
      <c r="K468" s="11">
        <f>[1]ALL!J269</f>
        <v>0</v>
      </c>
      <c r="L468" s="11">
        <f>[1]ALL!K269</f>
        <v>0</v>
      </c>
      <c r="M468" s="11">
        <f>[1]ALL!L269</f>
        <v>0</v>
      </c>
      <c r="N468" s="11">
        <f>[1]ALL!M269</f>
        <v>0</v>
      </c>
      <c r="O468" s="11">
        <f>[1]ALL!N269</f>
        <v>0</v>
      </c>
      <c r="P468" s="11">
        <f>[1]ALL!O269</f>
        <v>0</v>
      </c>
      <c r="Q468" s="11">
        <f>[1]ALL!P269</f>
        <v>0</v>
      </c>
      <c r="R468" s="11">
        <f>[1]ALL!Q269</f>
        <v>0</v>
      </c>
      <c r="S468" s="11">
        <f>[1]ALL!R464</f>
        <v>0</v>
      </c>
      <c r="T468" s="9"/>
      <c r="U468" s="9"/>
      <c r="V468" s="10"/>
    </row>
    <row r="469" spans="1:22">
      <c r="A469" s="2">
        <v>322</v>
      </c>
      <c r="B469" s="1" t="str">
        <f>[1]ALL!A323</f>
        <v>6116D</v>
      </c>
      <c r="C469" s="2" t="str">
        <f>[1]ALL!B323</f>
        <v>Fluffy</v>
      </c>
      <c r="D469" s="2" t="str">
        <f>[1]ALL!C323</f>
        <v>Star Valley High School</v>
      </c>
      <c r="E469" s="2" t="str">
        <f>[1]ALL!D323</f>
        <v>Afton, Wyoming, United States</v>
      </c>
      <c r="F469" s="8">
        <f>[1]ALL!E323</f>
        <v>0</v>
      </c>
      <c r="G469" s="8">
        <f>[1]ALL!F323</f>
        <v>0</v>
      </c>
      <c r="H469" s="8">
        <f>[1]ALL!G323</f>
        <v>71.0608</v>
      </c>
      <c r="I469" s="11">
        <f>[1]ALL!H323</f>
        <v>54.820700000000002</v>
      </c>
      <c r="J469" s="11">
        <f>[1]ALL!I323</f>
        <v>71.0608</v>
      </c>
      <c r="K469" s="11">
        <f>[1]ALL!J323</f>
        <v>0</v>
      </c>
      <c r="L469" s="11">
        <f>[1]ALL!K323</f>
        <v>0</v>
      </c>
      <c r="M469" s="11">
        <f>[1]ALL!L323</f>
        <v>0</v>
      </c>
      <c r="N469" s="11">
        <f>[1]ALL!M323</f>
        <v>0</v>
      </c>
      <c r="O469" s="11">
        <f>[1]ALL!N323</f>
        <v>0</v>
      </c>
      <c r="P469" s="11">
        <f>[1]ALL!O323</f>
        <v>0</v>
      </c>
      <c r="Q469" s="11">
        <f>[1]ALL!P323</f>
        <v>0</v>
      </c>
      <c r="R469" s="11">
        <f>[1]ALL!Q323</f>
        <v>0</v>
      </c>
      <c r="S469" s="11">
        <f>[1]ALL!R465</f>
        <v>0</v>
      </c>
      <c r="T469" s="9"/>
      <c r="U469" s="9"/>
      <c r="V469" s="10"/>
    </row>
    <row r="470" spans="1:22">
      <c r="A470" s="2">
        <v>240</v>
      </c>
      <c r="B470" s="1" t="str">
        <f>[1]ALL!A241</f>
        <v>4306A</v>
      </c>
      <c r="C470" s="2" t="str">
        <f>[1]ALL!B241</f>
        <v>Sheikh Abdullah 1</v>
      </c>
      <c r="D470" s="2" t="str">
        <f>[1]ALL!C241</f>
        <v>Sheikh Abdullah bin Isa Al Khalifa Secondary Schoo</v>
      </c>
      <c r="E470" s="2" t="str">
        <f>[1]ALL!D241</f>
        <v>Isa Town, Not Applicable or Not Listed, Bahrain</v>
      </c>
      <c r="F470" s="8">
        <f>[1]ALL!E241</f>
        <v>0</v>
      </c>
      <c r="G470" s="8">
        <f>[1]ALL!F241</f>
        <v>0</v>
      </c>
      <c r="H470" s="8">
        <f>[1]ALL!G241</f>
        <v>70.214799999999997</v>
      </c>
      <c r="I470" s="11">
        <f>[1]ALL!H241</f>
        <v>70.214799999999997</v>
      </c>
      <c r="J470" s="11">
        <f>[1]ALL!I241</f>
        <v>0</v>
      </c>
      <c r="K470" s="11">
        <f>[1]ALL!J241</f>
        <v>0</v>
      </c>
      <c r="L470" s="11">
        <f>[1]ALL!K241</f>
        <v>0</v>
      </c>
      <c r="M470" s="11">
        <f>[1]ALL!L241</f>
        <v>0</v>
      </c>
      <c r="N470" s="11">
        <f>[1]ALL!M241</f>
        <v>0</v>
      </c>
      <c r="O470" s="11">
        <f>[1]ALL!N241</f>
        <v>0</v>
      </c>
      <c r="P470" s="11">
        <f>[1]ALL!O241</f>
        <v>0</v>
      </c>
      <c r="Q470" s="11">
        <f>[1]ALL!P241</f>
        <v>0</v>
      </c>
      <c r="R470" s="11">
        <f>[1]ALL!Q241</f>
        <v>0</v>
      </c>
      <c r="S470" s="11">
        <f>[1]ALL!R466</f>
        <v>0</v>
      </c>
      <c r="T470" s="9"/>
      <c r="U470" s="9"/>
      <c r="V470" s="10"/>
    </row>
    <row r="471" spans="1:22">
      <c r="A471" s="2">
        <v>289</v>
      </c>
      <c r="B471" s="1" t="str">
        <f>[1]ALL!A290</f>
        <v>5482A</v>
      </c>
      <c r="C471" s="2" t="str">
        <f>[1]ALL!B290</f>
        <v>CECyTEH Huejutla 1</v>
      </c>
      <c r="D471" s="2" t="str">
        <f>[1]ALL!C290</f>
        <v>CECyTEH Plantel Huejutla</v>
      </c>
      <c r="E471" s="2" t="str">
        <f>[1]ALL!D290</f>
        <v>Huejutla de Reyes, Hgo., Hidalgo, Mexico</v>
      </c>
      <c r="F471" s="8">
        <f>[1]ALL!E290</f>
        <v>0</v>
      </c>
      <c r="G471" s="8">
        <f>[1]ALL!F290</f>
        <v>0</v>
      </c>
      <c r="H471" s="8">
        <f>[1]ALL!G290</f>
        <v>63.1464</v>
      </c>
      <c r="I471" s="11">
        <f>[1]ALL!H290</f>
        <v>44.030700000000003</v>
      </c>
      <c r="J471" s="11">
        <f>[1]ALL!I290</f>
        <v>63.1464</v>
      </c>
      <c r="K471" s="11">
        <f>[1]ALL!J290</f>
        <v>34.0886</v>
      </c>
      <c r="L471" s="11">
        <f>[1]ALL!K290</f>
        <v>40.853499999999997</v>
      </c>
      <c r="M471" s="11">
        <f>[1]ALL!L290</f>
        <v>0</v>
      </c>
      <c r="N471" s="11">
        <f>[1]ALL!M290</f>
        <v>0</v>
      </c>
      <c r="O471" s="11">
        <f>[1]ALL!N290</f>
        <v>0</v>
      </c>
      <c r="P471" s="11">
        <f>[1]ALL!O290</f>
        <v>0</v>
      </c>
      <c r="Q471" s="11">
        <f>[1]ALL!P290</f>
        <v>0</v>
      </c>
      <c r="R471" s="11">
        <f>[1]ALL!Q290</f>
        <v>0</v>
      </c>
      <c r="S471" s="11">
        <f>[1]ALL!R467</f>
        <v>0</v>
      </c>
      <c r="T471" s="9"/>
      <c r="U471" s="9"/>
      <c r="V471" s="10"/>
    </row>
    <row r="472" spans="1:22">
      <c r="A472" s="2">
        <v>367</v>
      </c>
      <c r="B472" s="1" t="str">
        <f>[1]ALL!A368</f>
        <v>7238</v>
      </c>
      <c r="C472" s="2" t="str">
        <f>[1]ALL!B368</f>
        <v>Xiamen FLSch A</v>
      </c>
      <c r="D472" s="2" t="str">
        <f>[1]ALL!C368</f>
        <v>Xiamen Foreign Language School</v>
      </c>
      <c r="E472" s="2" t="str">
        <f>[1]ALL!D368</f>
        <v>xiamen, Not Applicable or Not Listed, China</v>
      </c>
      <c r="F472" s="8">
        <f>[1]ALL!E368</f>
        <v>0</v>
      </c>
      <c r="G472" s="8">
        <f>[1]ALL!F368</f>
        <v>0</v>
      </c>
      <c r="H472" s="8">
        <f>[1]ALL!G368</f>
        <v>58.991799999999998</v>
      </c>
      <c r="I472" s="11">
        <f>[1]ALL!H368</f>
        <v>58.991799999999998</v>
      </c>
      <c r="J472" s="11">
        <f>[1]ALL!I368</f>
        <v>0</v>
      </c>
      <c r="K472" s="11">
        <f>[1]ALL!J368</f>
        <v>0</v>
      </c>
      <c r="L472" s="11">
        <f>[1]ALL!K368</f>
        <v>0</v>
      </c>
      <c r="M472" s="11">
        <f>[1]ALL!L368</f>
        <v>0</v>
      </c>
      <c r="N472" s="11">
        <f>[1]ALL!M368</f>
        <v>0</v>
      </c>
      <c r="O472" s="11">
        <f>[1]ALL!N368</f>
        <v>0</v>
      </c>
      <c r="P472" s="11">
        <f>[1]ALL!O368</f>
        <v>0</v>
      </c>
      <c r="Q472" s="11">
        <f>[1]ALL!P368</f>
        <v>0</v>
      </c>
      <c r="R472" s="11">
        <f>[1]ALL!Q368</f>
        <v>0</v>
      </c>
      <c r="S472" s="11">
        <f>[1]ALL!R468</f>
        <v>0</v>
      </c>
      <c r="T472" s="9"/>
      <c r="U472" s="9"/>
      <c r="V472" s="10"/>
    </row>
    <row r="473" spans="1:22">
      <c r="A473" s="2">
        <v>416</v>
      </c>
      <c r="B473" s="1" t="str">
        <f>[1]ALL!A417</f>
        <v>8468B</v>
      </c>
      <c r="C473" s="2" t="str">
        <f>[1]ALL!B417</f>
        <v>Urumqi NO.8 MS B</v>
      </c>
      <c r="D473" s="2" t="str">
        <f>[1]ALL!C417</f>
        <v>Urumqi NO.8 Middle School</v>
      </c>
      <c r="E473" s="2" t="str">
        <f>[1]ALL!D417</f>
        <v>Urumqi, Not Applicable or Not Listed, China</v>
      </c>
      <c r="F473" s="8">
        <f>[1]ALL!E417</f>
        <v>0</v>
      </c>
      <c r="G473" s="8">
        <f>[1]ALL!F417</f>
        <v>0</v>
      </c>
      <c r="H473" s="8">
        <f>[1]ALL!G417</f>
        <v>57.392600000000002</v>
      </c>
      <c r="I473" s="11">
        <f>[1]ALL!H417</f>
        <v>57.392600000000002</v>
      </c>
      <c r="J473" s="11">
        <f>[1]ALL!I417</f>
        <v>0</v>
      </c>
      <c r="K473" s="11">
        <f>[1]ALL!J417</f>
        <v>0</v>
      </c>
      <c r="L473" s="11">
        <f>[1]ALL!K417</f>
        <v>0</v>
      </c>
      <c r="M473" s="11">
        <f>[1]ALL!L417</f>
        <v>0</v>
      </c>
      <c r="N473" s="11">
        <f>[1]ALL!M417</f>
        <v>0</v>
      </c>
      <c r="O473" s="11">
        <f>[1]ALL!N417</f>
        <v>0</v>
      </c>
      <c r="P473" s="11">
        <f>[1]ALL!O417</f>
        <v>0</v>
      </c>
      <c r="Q473" s="11">
        <f>[1]ALL!P417</f>
        <v>0</v>
      </c>
      <c r="R473" s="11">
        <f>[1]ALL!Q417</f>
        <v>0</v>
      </c>
      <c r="S473" s="11">
        <f>[1]ALL!R469</f>
        <v>0</v>
      </c>
      <c r="T473" s="9"/>
      <c r="U473" s="9"/>
      <c r="V473" s="10"/>
    </row>
    <row r="474" spans="1:22">
      <c r="A474" s="2">
        <v>415</v>
      </c>
      <c r="B474" s="1" t="str">
        <f>[1]ALL!A416</f>
        <v>8430</v>
      </c>
      <c r="C474" s="2" t="str">
        <f>[1]ALL!B416</f>
        <v>DandyHighRobot</v>
      </c>
      <c r="D474" s="2" t="str">
        <f>[1]ALL!C416</f>
        <v>Dandenong High School</v>
      </c>
      <c r="E474" s="2" t="str">
        <f>[1]ALL!D416</f>
        <v>Dandenong, N/A, Australia</v>
      </c>
      <c r="F474" s="8">
        <f>[1]ALL!E416</f>
        <v>0</v>
      </c>
      <c r="G474" s="8">
        <f>[1]ALL!F416</f>
        <v>0</v>
      </c>
      <c r="H474" s="8">
        <f>[1]ALL!G416</f>
        <v>56.165799999999997</v>
      </c>
      <c r="I474" s="11">
        <f>[1]ALL!H416</f>
        <v>56.165799999999997</v>
      </c>
      <c r="J474" s="11">
        <f>[1]ALL!I416</f>
        <v>0</v>
      </c>
      <c r="K474" s="11">
        <f>[1]ALL!J416</f>
        <v>0</v>
      </c>
      <c r="L474" s="11">
        <f>[1]ALL!K416</f>
        <v>0</v>
      </c>
      <c r="M474" s="11">
        <f>[1]ALL!L416</f>
        <v>0</v>
      </c>
      <c r="N474" s="11">
        <f>[1]ALL!M416</f>
        <v>0</v>
      </c>
      <c r="O474" s="11">
        <f>[1]ALL!N416</f>
        <v>0</v>
      </c>
      <c r="P474" s="11">
        <f>[1]ALL!O416</f>
        <v>0</v>
      </c>
      <c r="Q474" s="11">
        <f>[1]ALL!P416</f>
        <v>0</v>
      </c>
      <c r="R474" s="11">
        <f>[1]ALL!Q416</f>
        <v>0</v>
      </c>
      <c r="S474" s="11">
        <f>[1]ALL!R470</f>
        <v>0</v>
      </c>
      <c r="T474" s="9"/>
      <c r="U474" s="9"/>
      <c r="V474" s="10"/>
    </row>
    <row r="475" spans="1:22">
      <c r="A475" s="2">
        <v>330</v>
      </c>
      <c r="B475" s="1" t="str">
        <f>[1]ALL!A331</f>
        <v>6264D</v>
      </c>
      <c r="C475" s="2" t="str">
        <f>[1]ALL!B331</f>
        <v>The Shawkbots</v>
      </c>
      <c r="D475" s="2" t="str">
        <f>[1]ALL!C331</f>
        <v>Shawnigan Lake School</v>
      </c>
      <c r="E475" s="2" t="str">
        <f>[1]ALL!D331</f>
        <v>Shawnigan Lake, British Columbia, Canada</v>
      </c>
      <c r="F475" s="8">
        <f>[1]ALL!E331</f>
        <v>0</v>
      </c>
      <c r="G475" s="8">
        <f>[1]ALL!F331</f>
        <v>0</v>
      </c>
      <c r="H475" s="8">
        <f>[1]ALL!G331</f>
        <v>55.161499999999997</v>
      </c>
      <c r="I475" s="11">
        <f>[1]ALL!H331</f>
        <v>54.993899999999996</v>
      </c>
      <c r="J475" s="11">
        <f>[1]ALL!I331</f>
        <v>50.992400000000004</v>
      </c>
      <c r="K475" s="11">
        <f>[1]ALL!J331</f>
        <v>19.098700000000001</v>
      </c>
      <c r="L475" s="11">
        <f>[1]ALL!K331</f>
        <v>55.161499999999997</v>
      </c>
      <c r="M475" s="11">
        <f>[1]ALL!L331</f>
        <v>7.7772399999999999</v>
      </c>
      <c r="N475" s="11">
        <f>[1]ALL!M331</f>
        <v>0</v>
      </c>
      <c r="O475" s="11">
        <f>[1]ALL!N331</f>
        <v>0</v>
      </c>
      <c r="P475" s="11">
        <f>[1]ALL!O331</f>
        <v>0</v>
      </c>
      <c r="Q475" s="11">
        <f>[1]ALL!P331</f>
        <v>0</v>
      </c>
      <c r="R475" s="11">
        <f>[1]ALL!Q331</f>
        <v>0</v>
      </c>
      <c r="S475" s="11">
        <f>[1]ALL!R471</f>
        <v>0</v>
      </c>
      <c r="T475" s="9"/>
      <c r="U475" s="9"/>
      <c r="V475" s="10"/>
    </row>
    <row r="476" spans="1:22">
      <c r="A476" s="2">
        <v>355</v>
      </c>
      <c r="B476" s="1" t="str">
        <f>[1]ALL!A356</f>
        <v>6953B</v>
      </c>
      <c r="C476" s="2" t="str">
        <f>[1]ALL!B356</f>
        <v>PULGAS</v>
      </c>
      <c r="D476" s="2" t="str">
        <f>[1]ALL!C356</f>
        <v>Cecytech 22 Ricardo Flores Magon</v>
      </c>
      <c r="E476" s="2" t="str">
        <f>[1]ALL!D356</f>
        <v>Tuxtla Gutiérrez, Chiapas, Mexico</v>
      </c>
      <c r="F476" s="8">
        <f>[1]ALL!E356</f>
        <v>0</v>
      </c>
      <c r="G476" s="8">
        <f>[1]ALL!F356</f>
        <v>0</v>
      </c>
      <c r="H476" s="8">
        <f>[1]ALL!G356</f>
        <v>49.804099999999998</v>
      </c>
      <c r="I476" s="11">
        <f>[1]ALL!H356</f>
        <v>26.170999999999999</v>
      </c>
      <c r="J476" s="11">
        <f>[1]ALL!I356</f>
        <v>49.804099999999998</v>
      </c>
      <c r="K476" s="11">
        <f>[1]ALL!J356</f>
        <v>0</v>
      </c>
      <c r="L476" s="11">
        <f>[1]ALL!K356</f>
        <v>0</v>
      </c>
      <c r="M476" s="11">
        <f>[1]ALL!L356</f>
        <v>0</v>
      </c>
      <c r="N476" s="11">
        <f>[1]ALL!M356</f>
        <v>0</v>
      </c>
      <c r="O476" s="11">
        <f>[1]ALL!N356</f>
        <v>0</v>
      </c>
      <c r="P476" s="11">
        <f>[1]ALL!O356</f>
        <v>0</v>
      </c>
      <c r="Q476" s="11">
        <f>[1]ALL!P356</f>
        <v>0</v>
      </c>
      <c r="R476" s="11">
        <f>[1]ALL!Q356</f>
        <v>0</v>
      </c>
      <c r="S476" s="11">
        <f>[1]ALL!R472</f>
        <v>0</v>
      </c>
      <c r="T476" s="9"/>
      <c r="U476" s="9"/>
      <c r="V476" s="10"/>
    </row>
    <row r="477" spans="1:22">
      <c r="A477" s="2">
        <v>241</v>
      </c>
      <c r="B477" s="1" t="str">
        <f>[1]ALL!A242</f>
        <v>4334A</v>
      </c>
      <c r="C477" s="2" t="str">
        <f>[1]ALL!B242</f>
        <v>YIC 1</v>
      </c>
      <c r="D477" s="2" t="str">
        <f>[1]ALL!C242</f>
        <v>Youth Innovation Center</v>
      </c>
      <c r="E477" s="2" t="str">
        <f>[1]ALL!D242</f>
        <v>Manama, Not Applicable or Not Listed, Bahrain</v>
      </c>
      <c r="F477" s="8">
        <f>[1]ALL!E242</f>
        <v>0</v>
      </c>
      <c r="G477" s="8">
        <f>[1]ALL!F242</f>
        <v>0</v>
      </c>
      <c r="H477" s="8">
        <f>[1]ALL!G242</f>
        <v>49.713500000000003</v>
      </c>
      <c r="I477" s="11">
        <f>[1]ALL!H242</f>
        <v>49.713500000000003</v>
      </c>
      <c r="J477" s="11">
        <f>[1]ALL!I242</f>
        <v>0</v>
      </c>
      <c r="K477" s="11">
        <f>[1]ALL!J242</f>
        <v>0</v>
      </c>
      <c r="L477" s="11">
        <f>[1]ALL!K242</f>
        <v>0</v>
      </c>
      <c r="M477" s="11">
        <f>[1]ALL!L242</f>
        <v>0</v>
      </c>
      <c r="N477" s="11">
        <f>[1]ALL!M242</f>
        <v>0</v>
      </c>
      <c r="O477" s="11">
        <f>[1]ALL!N242</f>
        <v>0</v>
      </c>
      <c r="P477" s="11">
        <f>[1]ALL!O242</f>
        <v>0</v>
      </c>
      <c r="Q477" s="11">
        <f>[1]ALL!P242</f>
        <v>0</v>
      </c>
      <c r="R477" s="11">
        <f>[1]ALL!Q242</f>
        <v>0</v>
      </c>
      <c r="S477" s="11">
        <f>[1]ALL!R473</f>
        <v>0</v>
      </c>
      <c r="T477" s="9"/>
      <c r="U477" s="9"/>
      <c r="V477" s="10"/>
    </row>
    <row r="478" spans="1:22">
      <c r="A478" s="2">
        <v>4</v>
      </c>
      <c r="B478" s="1" t="str">
        <f>[1]ALL!A5</f>
        <v>10D</v>
      </c>
      <c r="C478" s="2" t="str">
        <f>[1]ALL!B5</f>
        <v>Exothermic Dichotomy</v>
      </c>
      <c r="D478" s="2" t="str">
        <f>[1]ALL!C5</f>
        <v>Exothermic Robotics</v>
      </c>
      <c r="E478" s="2" t="str">
        <f>[1]ALL!D5</f>
        <v>Redmond, Washington, United States</v>
      </c>
      <c r="F478" s="8">
        <f>[1]ALL!E5</f>
        <v>0</v>
      </c>
      <c r="G478" s="8">
        <f>[1]ALL!F5</f>
        <v>0</v>
      </c>
      <c r="H478" s="8">
        <f>[1]ALL!G5</f>
        <v>47.432299999999998</v>
      </c>
      <c r="I478" s="11">
        <f>[1]ALL!H5</f>
        <v>47.432299999999998</v>
      </c>
      <c r="J478" s="11">
        <f>[1]ALL!I5</f>
        <v>19.273900000000001</v>
      </c>
      <c r="K478" s="11">
        <f>[1]ALL!J5</f>
        <v>7.9199400000000004</v>
      </c>
      <c r="L478" s="11">
        <f>[1]ALL!K5</f>
        <v>20.750800000000002</v>
      </c>
      <c r="M478" s="11">
        <f>[1]ALL!L5</f>
        <v>16.109500000000001</v>
      </c>
      <c r="N478" s="11">
        <f>[1]ALL!M5</f>
        <v>3.98813</v>
      </c>
      <c r="O478" s="11">
        <f>[1]ALL!N5</f>
        <v>0</v>
      </c>
      <c r="P478" s="11">
        <f>[1]ALL!O5</f>
        <v>0</v>
      </c>
      <c r="Q478" s="11">
        <f>[1]ALL!P5</f>
        <v>0</v>
      </c>
      <c r="R478" s="11">
        <f>[1]ALL!Q5</f>
        <v>0</v>
      </c>
      <c r="S478" s="11">
        <f>[1]ALL!R474</f>
        <v>0</v>
      </c>
      <c r="T478" s="9"/>
      <c r="U478" s="9"/>
      <c r="V478" s="10"/>
    </row>
    <row r="479" spans="1:22">
      <c r="A479" s="2">
        <v>323</v>
      </c>
      <c r="B479" s="1" t="str">
        <f>[1]ALL!A324</f>
        <v>6127C</v>
      </c>
      <c r="C479" s="2" t="str">
        <f>[1]ALL!B324</f>
        <v>DV3</v>
      </c>
      <c r="D479" s="2" t="str">
        <f>[1]ALL!C324</f>
        <v>Del Valle High School</v>
      </c>
      <c r="E479" s="2" t="str">
        <f>[1]ALL!D324</f>
        <v>El Paso, Texas, United States</v>
      </c>
      <c r="F479" s="8">
        <f>[1]ALL!E324</f>
        <v>0</v>
      </c>
      <c r="G479" s="8">
        <f>[1]ALL!F324</f>
        <v>0</v>
      </c>
      <c r="H479" s="8">
        <f>[1]ALL!G324</f>
        <v>38.878300000000003</v>
      </c>
      <c r="I479" s="11">
        <f>[1]ALL!H324</f>
        <v>38.878300000000003</v>
      </c>
      <c r="J479" s="11">
        <f>[1]ALL!I324</f>
        <v>28.616299999999999</v>
      </c>
      <c r="K479" s="11">
        <f>[1]ALL!J324</f>
        <v>0</v>
      </c>
      <c r="L479" s="11">
        <f>[1]ALL!K324</f>
        <v>0</v>
      </c>
      <c r="M479" s="11">
        <f>[1]ALL!L324</f>
        <v>0</v>
      </c>
      <c r="N479" s="11">
        <f>[1]ALL!M324</f>
        <v>0</v>
      </c>
      <c r="O479" s="11">
        <f>[1]ALL!N324</f>
        <v>0</v>
      </c>
      <c r="P479" s="11">
        <f>[1]ALL!O324</f>
        <v>0</v>
      </c>
      <c r="Q479" s="11">
        <f>[1]ALL!P324</f>
        <v>0</v>
      </c>
      <c r="R479" s="11">
        <f>[1]ALL!Q324</f>
        <v>0</v>
      </c>
      <c r="S479" s="11">
        <f>[1]ALL!R475</f>
        <v>0</v>
      </c>
      <c r="T479" s="9"/>
      <c r="U479" s="9"/>
      <c r="V479" s="10"/>
    </row>
    <row r="480" spans="1:22">
      <c r="A480" s="2">
        <v>356</v>
      </c>
      <c r="B480" s="1" t="str">
        <f>[1]ALL!A357</f>
        <v>7001D</v>
      </c>
      <c r="C480" s="2" t="str">
        <f>[1]ALL!B357</f>
        <v>CECYTE CHIAPAS</v>
      </c>
      <c r="D480" s="2" t="str">
        <f>[1]ALL!C357</f>
        <v>CECYTE CHIAPAS</v>
      </c>
      <c r="E480" s="2" t="str">
        <f>[1]ALL!D357</f>
        <v>Tuxtla Gutierrez, Chiapas, Mexico</v>
      </c>
      <c r="F480" s="8">
        <f>[1]ALL!E357</f>
        <v>0</v>
      </c>
      <c r="G480" s="8">
        <f>[1]ALL!F357</f>
        <v>0</v>
      </c>
      <c r="H480" s="8">
        <f>[1]ALL!G357</f>
        <v>37.136800000000001</v>
      </c>
      <c r="I480" s="11">
        <f>[1]ALL!H357</f>
        <v>37.136800000000001</v>
      </c>
      <c r="J480" s="11">
        <f>[1]ALL!I357</f>
        <v>11.3995</v>
      </c>
      <c r="K480" s="11">
        <f>[1]ALL!J357</f>
        <v>27.732299999999999</v>
      </c>
      <c r="L480" s="11">
        <f>[1]ALL!K357</f>
        <v>0</v>
      </c>
      <c r="M480" s="11">
        <f>[1]ALL!L357</f>
        <v>0</v>
      </c>
      <c r="N480" s="11">
        <f>[1]ALL!M357</f>
        <v>0</v>
      </c>
      <c r="O480" s="11">
        <f>[1]ALL!N357</f>
        <v>0</v>
      </c>
      <c r="P480" s="11">
        <f>[1]ALL!O357</f>
        <v>0</v>
      </c>
      <c r="Q480" s="11">
        <f>[1]ALL!P357</f>
        <v>0</v>
      </c>
      <c r="R480" s="11">
        <f>[1]ALL!Q357</f>
        <v>0</v>
      </c>
      <c r="S480" s="11">
        <f>[1]ALL!R476</f>
        <v>0</v>
      </c>
      <c r="T480" s="9"/>
      <c r="U480" s="9"/>
      <c r="V480" s="10"/>
    </row>
    <row r="481" spans="1:22">
      <c r="A481" s="2">
        <v>87</v>
      </c>
      <c r="B481" s="1" t="str">
        <f>[1]ALL!A88</f>
        <v>889E</v>
      </c>
      <c r="C481" s="2" t="str">
        <f>[1]ALL!B88</f>
        <v>Sarah Heinz House</v>
      </c>
      <c r="D481" s="2" t="str">
        <f>[1]ALL!C88</f>
        <v>Sarah Heinz House</v>
      </c>
      <c r="E481" s="2" t="str">
        <f>[1]ALL!D88</f>
        <v>Pittsburgh, Pennsylvania, United States</v>
      </c>
      <c r="F481" s="8">
        <f>[1]ALL!E88</f>
        <v>0</v>
      </c>
      <c r="G481" s="8">
        <f>[1]ALL!F88</f>
        <v>0</v>
      </c>
      <c r="H481" s="8">
        <f>[1]ALL!G88</f>
        <v>34.009700000000002</v>
      </c>
      <c r="I481" s="11">
        <f>[1]ALL!H88</f>
        <v>34.009700000000002</v>
      </c>
      <c r="J481" s="11">
        <f>[1]ALL!I88</f>
        <v>32.383499999999998</v>
      </c>
      <c r="K481" s="11">
        <f>[1]ALL!J88</f>
        <v>0</v>
      </c>
      <c r="L481" s="11">
        <f>[1]ALL!K88</f>
        <v>0</v>
      </c>
      <c r="M481" s="11">
        <f>[1]ALL!L88</f>
        <v>0</v>
      </c>
      <c r="N481" s="11">
        <f>[1]ALL!M88</f>
        <v>0</v>
      </c>
      <c r="O481" s="11">
        <f>[1]ALL!N88</f>
        <v>0</v>
      </c>
      <c r="P481" s="11">
        <f>[1]ALL!O88</f>
        <v>0</v>
      </c>
      <c r="Q481" s="11">
        <f>[1]ALL!P88</f>
        <v>0</v>
      </c>
      <c r="R481" s="11">
        <f>[1]ALL!Q88</f>
        <v>0</v>
      </c>
      <c r="S481" s="11">
        <f>[1]ALL!R477</f>
        <v>0</v>
      </c>
      <c r="T481" s="9"/>
      <c r="U481" s="9"/>
      <c r="V481" s="10"/>
    </row>
    <row r="482" spans="1:22">
      <c r="A482" s="2">
        <v>313</v>
      </c>
      <c r="B482" s="1" t="str">
        <f>[1]ALL!A314</f>
        <v>5994B</v>
      </c>
      <c r="C482" s="2" t="str">
        <f>[1]ALL!B314</f>
        <v>Sancris B</v>
      </c>
      <c r="D482" s="2" t="str">
        <f>[1]ALL!C314</f>
        <v>CECYTECH PLANTEL 20 San Cristóbal</v>
      </c>
      <c r="E482" s="2" t="str">
        <f>[1]ALL!D314</f>
        <v>San Cristobal de las Casa, Chiapas, Chiapas, Mexico</v>
      </c>
      <c r="F482" s="8">
        <f>[1]ALL!E314</f>
        <v>0</v>
      </c>
      <c r="G482" s="8">
        <f>[1]ALL!F314</f>
        <v>0</v>
      </c>
      <c r="H482" s="8">
        <f>[1]ALL!G314</f>
        <v>27.488299999999999</v>
      </c>
      <c r="I482" s="11">
        <f>[1]ALL!H314</f>
        <v>27.488299999999999</v>
      </c>
      <c r="J482" s="11">
        <f>[1]ALL!I314</f>
        <v>0</v>
      </c>
      <c r="K482" s="11">
        <f>[1]ALL!J314</f>
        <v>0</v>
      </c>
      <c r="L482" s="11">
        <f>[1]ALL!K314</f>
        <v>0</v>
      </c>
      <c r="M482" s="11">
        <f>[1]ALL!L314</f>
        <v>0</v>
      </c>
      <c r="N482" s="11">
        <f>[1]ALL!M314</f>
        <v>0</v>
      </c>
      <c r="O482" s="11">
        <f>[1]ALL!N314</f>
        <v>0</v>
      </c>
      <c r="P482" s="11">
        <f>[1]ALL!O314</f>
        <v>0</v>
      </c>
      <c r="Q482" s="11">
        <f>[1]ALL!P314</f>
        <v>0</v>
      </c>
      <c r="R482" s="11">
        <f>[1]ALL!Q314</f>
        <v>0</v>
      </c>
      <c r="S482" s="11">
        <f>[1]ALL!R478</f>
        <v>0</v>
      </c>
      <c r="T482" s="9"/>
      <c r="U482" s="9"/>
      <c r="V482" s="10"/>
    </row>
    <row r="483" spans="1:22">
      <c r="A483" s="2">
        <v>133</v>
      </c>
      <c r="B483" s="1" t="str">
        <f>[1]ALL!A134</f>
        <v>1460A</v>
      </c>
      <c r="C483" s="2" t="str">
        <f>[1]ALL!B134</f>
        <v>THE LIBERATORRRR</v>
      </c>
      <c r="D483" s="2" t="str">
        <f>[1]ALL!C134</f>
        <v>Sandy Robotics Club</v>
      </c>
      <c r="E483" s="2" t="str">
        <f>[1]ALL!D134</f>
        <v>Sandy, Oregon, United States</v>
      </c>
      <c r="F483" s="8">
        <f>[1]ALL!E134</f>
        <v>0</v>
      </c>
      <c r="G483" s="8">
        <f>[1]ALL!F134</f>
        <v>0</v>
      </c>
      <c r="H483" s="8">
        <f>[1]ALL!G134</f>
        <v>24.678100000000001</v>
      </c>
      <c r="I483" s="11">
        <f>[1]ALL!H134</f>
        <v>12.748900000000001</v>
      </c>
      <c r="J483" s="11">
        <f>[1]ALL!I134</f>
        <v>24.678100000000001</v>
      </c>
      <c r="K483" s="11">
        <f>[1]ALL!J134</f>
        <v>17.5943</v>
      </c>
      <c r="L483" s="11">
        <f>[1]ALL!K134</f>
        <v>9.1215799999999998</v>
      </c>
      <c r="M483" s="11">
        <f>[1]ALL!L134</f>
        <v>0</v>
      </c>
      <c r="N483" s="11">
        <f>[1]ALL!M134</f>
        <v>0</v>
      </c>
      <c r="O483" s="11">
        <f>[1]ALL!N134</f>
        <v>0</v>
      </c>
      <c r="P483" s="11">
        <f>[1]ALL!O134</f>
        <v>0</v>
      </c>
      <c r="Q483" s="11">
        <f>[1]ALL!P134</f>
        <v>0</v>
      </c>
      <c r="R483" s="11">
        <f>[1]ALL!Q134</f>
        <v>0</v>
      </c>
      <c r="S483" s="11">
        <f>[1]ALL!R479</f>
        <v>0</v>
      </c>
      <c r="T483" s="9"/>
      <c r="U483" s="9"/>
      <c r="V483" s="10"/>
    </row>
    <row r="484" spans="1:22">
      <c r="A484" s="2">
        <v>198</v>
      </c>
      <c r="B484" s="1" t="str">
        <f>[1]ALL!A199</f>
        <v>2941A</v>
      </c>
      <c r="C484" s="2" t="str">
        <f>[1]ALL!B199</f>
        <v>Oats Robotics</v>
      </c>
      <c r="D484" s="2" t="str">
        <f>[1]ALL!C199</f>
        <v>Otumoetai College</v>
      </c>
      <c r="E484" s="2" t="str">
        <f>[1]ALL!D199</f>
        <v>Tauranga, Not Applicable or Not Listed, New Zealand</v>
      </c>
      <c r="F484" s="8">
        <f>[1]ALL!E199</f>
        <v>0</v>
      </c>
      <c r="G484" s="8">
        <f>[1]ALL!F199</f>
        <v>0</v>
      </c>
      <c r="H484" s="8">
        <f>[1]ALL!G199</f>
        <v>22.438199999999998</v>
      </c>
      <c r="I484" s="11">
        <f>[1]ALL!H199</f>
        <v>22.438199999999998</v>
      </c>
      <c r="J484" s="11">
        <f>[1]ALL!I199</f>
        <v>11.0185</v>
      </c>
      <c r="K484" s="11">
        <f>[1]ALL!J199</f>
        <v>0</v>
      </c>
      <c r="L484" s="11">
        <f>[1]ALL!K199</f>
        <v>0</v>
      </c>
      <c r="M484" s="11">
        <f>[1]ALL!L199</f>
        <v>0</v>
      </c>
      <c r="N484" s="11">
        <f>[1]ALL!M199</f>
        <v>0</v>
      </c>
      <c r="O484" s="11">
        <f>[1]ALL!N199</f>
        <v>0</v>
      </c>
      <c r="P484" s="11">
        <f>[1]ALL!O199</f>
        <v>0</v>
      </c>
      <c r="Q484" s="11">
        <f>[1]ALL!P199</f>
        <v>0</v>
      </c>
      <c r="R484" s="11">
        <f>[1]ALL!Q199</f>
        <v>0</v>
      </c>
      <c r="S484" s="11">
        <f>[1]ALL!R480</f>
        <v>0</v>
      </c>
      <c r="T484" s="9"/>
      <c r="U484" s="9"/>
      <c r="V484" s="10"/>
    </row>
    <row r="485" spans="1:22">
      <c r="A485" s="2">
        <v>469</v>
      </c>
      <c r="B485" s="1" t="str">
        <f>[1]ALL!A470</f>
        <v>9692A</v>
      </c>
      <c r="C485" s="2" t="str">
        <f>[1]ALL!B470</f>
        <v>TCIS1</v>
      </c>
      <c r="D485" s="2" t="str">
        <f>[1]ALL!C470</f>
        <v>Thai-Chinese International School</v>
      </c>
      <c r="E485" s="2" t="str">
        <f>[1]ALL!D470</f>
        <v>Bangkok, N/A, Thailand</v>
      </c>
      <c r="F485" s="8">
        <f>[1]ALL!E470</f>
        <v>0</v>
      </c>
      <c r="G485" s="8">
        <f>[1]ALL!F470</f>
        <v>0</v>
      </c>
      <c r="H485" s="8">
        <f>[1]ALL!G470</f>
        <v>21.113099999999999</v>
      </c>
      <c r="I485" s="11">
        <f>[1]ALL!H470</f>
        <v>21.113099999999999</v>
      </c>
      <c r="J485" s="11">
        <f>[1]ALL!I470</f>
        <v>0</v>
      </c>
      <c r="K485" s="11">
        <f>[1]ALL!J470</f>
        <v>0</v>
      </c>
      <c r="L485" s="11">
        <f>[1]ALL!K470</f>
        <v>0</v>
      </c>
      <c r="M485" s="11">
        <f>[1]ALL!L470</f>
        <v>0</v>
      </c>
      <c r="N485" s="11">
        <f>[1]ALL!M470</f>
        <v>0</v>
      </c>
      <c r="O485" s="11">
        <f>[1]ALL!N470</f>
        <v>0</v>
      </c>
      <c r="P485" s="11">
        <f>[1]ALL!O470</f>
        <v>0</v>
      </c>
      <c r="Q485" s="11">
        <f>[1]ALL!P470</f>
        <v>0</v>
      </c>
      <c r="R485" s="11">
        <f>[1]ALL!Q470</f>
        <v>0</v>
      </c>
      <c r="S485" s="11">
        <f>[1]ALL!R481</f>
        <v>0</v>
      </c>
      <c r="T485" s="9"/>
      <c r="U485" s="9"/>
      <c r="V485" s="10"/>
    </row>
    <row r="486" spans="1:22">
      <c r="A486" s="2">
        <v>147</v>
      </c>
      <c r="B486" s="1" t="str">
        <f>[1]ALL!A148</f>
        <v>1623A</v>
      </c>
      <c r="C486" s="2" t="str">
        <f>[1]ALL!B148</f>
        <v>William Penn A</v>
      </c>
      <c r="D486" s="2" t="str">
        <f>[1]ALL!C148</f>
        <v>William Penn High School</v>
      </c>
      <c r="E486" s="2" t="str">
        <f>[1]ALL!D148</f>
        <v>New Castle, Delaware, United States</v>
      </c>
      <c r="F486" s="8">
        <f>[1]ALL!E148</f>
        <v>0</v>
      </c>
      <c r="G486" s="8">
        <f>[1]ALL!F148</f>
        <v>0</v>
      </c>
      <c r="H486" s="8">
        <f>[1]ALL!G148</f>
        <v>4.9701899999999997</v>
      </c>
      <c r="I486" s="11">
        <f>[1]ALL!H148</f>
        <v>4.9701899999999997</v>
      </c>
      <c r="J486" s="11">
        <f>[1]ALL!I148</f>
        <v>0</v>
      </c>
      <c r="K486" s="11">
        <f>[1]ALL!J148</f>
        <v>0</v>
      </c>
      <c r="L486" s="11">
        <f>[1]ALL!K148</f>
        <v>0</v>
      </c>
      <c r="M486" s="11">
        <f>[1]ALL!L148</f>
        <v>0</v>
      </c>
      <c r="N486" s="11">
        <f>[1]ALL!M148</f>
        <v>0</v>
      </c>
      <c r="O486" s="11">
        <f>[1]ALL!N148</f>
        <v>0</v>
      </c>
      <c r="P486" s="11">
        <f>[1]ALL!O148</f>
        <v>0</v>
      </c>
      <c r="Q486" s="11">
        <f>[1]ALL!P148</f>
        <v>0</v>
      </c>
      <c r="R486" s="11">
        <f>[1]ALL!Q148</f>
        <v>0</v>
      </c>
      <c r="S486" s="11">
        <f>[1]ALL!R482</f>
        <v>0</v>
      </c>
      <c r="T486" s="9"/>
      <c r="U486" s="9"/>
      <c r="V486" s="10"/>
    </row>
    <row r="487" spans="1:22">
      <c r="A487" s="2">
        <v>165</v>
      </c>
      <c r="B487" s="1" t="str">
        <f>[1]ALL!A166</f>
        <v>2131C</v>
      </c>
      <c r="C487" s="2" t="str">
        <f>[1]ALL!B166</f>
        <v>Starfox</v>
      </c>
      <c r="D487" s="2" t="str">
        <f>[1]ALL!C166</f>
        <v>Davis High School</v>
      </c>
      <c r="E487" s="2" t="str">
        <f>[1]ALL!D166</f>
        <v>Kaysville, Utah, United States</v>
      </c>
      <c r="F487" s="8">
        <f>[1]ALL!E166</f>
        <v>0</v>
      </c>
      <c r="G487" s="8">
        <f>[1]ALL!F166</f>
        <v>0</v>
      </c>
      <c r="H487" s="8">
        <f>[1]ALL!G166</f>
        <v>0</v>
      </c>
      <c r="I487" s="11">
        <f>[1]ALL!H166</f>
        <v>0</v>
      </c>
      <c r="J487" s="11">
        <f>[1]ALL!I166</f>
        <v>0</v>
      </c>
      <c r="K487" s="11">
        <f>[1]ALL!J166</f>
        <v>0</v>
      </c>
      <c r="L487" s="11">
        <f>[1]ALL!K166</f>
        <v>0</v>
      </c>
      <c r="M487" s="11">
        <f>[1]ALL!L166</f>
        <v>0</v>
      </c>
      <c r="N487" s="11">
        <f>[1]ALL!M166</f>
        <v>0</v>
      </c>
      <c r="O487" s="11">
        <f>[1]ALL!N166</f>
        <v>0</v>
      </c>
      <c r="P487" s="11">
        <f>[1]ALL!O166</f>
        <v>0</v>
      </c>
      <c r="Q487" s="11">
        <f>[1]ALL!P166</f>
        <v>0</v>
      </c>
      <c r="R487" s="11">
        <f>[1]ALL!Q166</f>
        <v>0</v>
      </c>
      <c r="S487" s="11">
        <f>[1]ALL!R483</f>
        <v>0</v>
      </c>
      <c r="T487" s="9"/>
      <c r="U487" s="9"/>
      <c r="V487" s="10"/>
    </row>
    <row r="488" spans="1:22">
      <c r="A488" s="2">
        <v>342</v>
      </c>
      <c r="B488" s="1" t="str">
        <f>[1]ALL!A343</f>
        <v>6661A</v>
      </c>
      <c r="C488" s="2" t="str">
        <f>[1]ALL!B343</f>
        <v>Davis College</v>
      </c>
      <c r="D488" s="2" t="str">
        <f>[1]ALL!C343</f>
        <v>Davis College</v>
      </c>
      <c r="E488" s="2" t="str">
        <f>[1]ALL!D343</f>
        <v>Co. Cork, N/A, Ireland</v>
      </c>
      <c r="F488" s="8">
        <f>[1]ALL!E343</f>
        <v>0</v>
      </c>
      <c r="G488" s="8">
        <f>[1]ALL!F343</f>
        <v>0</v>
      </c>
      <c r="H488" s="8">
        <f>[1]ALL!G343</f>
        <v>0</v>
      </c>
      <c r="I488" s="11">
        <f>[1]ALL!H343</f>
        <v>0</v>
      </c>
      <c r="J488" s="11">
        <f>[1]ALL!I343</f>
        <v>0</v>
      </c>
      <c r="K488" s="11">
        <f>[1]ALL!J343</f>
        <v>0</v>
      </c>
      <c r="L488" s="11">
        <f>[1]ALL!K343</f>
        <v>0</v>
      </c>
      <c r="M488" s="11">
        <f>[1]ALL!L343</f>
        <v>0</v>
      </c>
      <c r="N488" s="11">
        <f>[1]ALL!M343</f>
        <v>0</v>
      </c>
      <c r="O488" s="11">
        <f>[1]ALL!N343</f>
        <v>0</v>
      </c>
      <c r="P488" s="11">
        <f>[1]ALL!O343</f>
        <v>0</v>
      </c>
      <c r="Q488" s="11">
        <f>[1]ALL!P343</f>
        <v>0</v>
      </c>
      <c r="R488" s="11">
        <f>[1]ALL!Q343</f>
        <v>0</v>
      </c>
      <c r="S488" s="11">
        <f>[1]ALL!R484</f>
        <v>0</v>
      </c>
      <c r="T488" s="9"/>
      <c r="U488" s="9"/>
      <c r="V488" s="10"/>
    </row>
    <row r="489" spans="1:22">
      <c r="A489" s="2">
        <v>368</v>
      </c>
      <c r="B489" s="1" t="str">
        <f>[1]ALL!A369</f>
        <v>7262</v>
      </c>
      <c r="C489" s="2" t="str">
        <f>[1]ALL!B369</f>
        <v>HSch AT RUC A</v>
      </c>
      <c r="D489" s="2" t="str">
        <f>[1]ALL!C369</f>
        <v>High School Affiliated to RUC</v>
      </c>
      <c r="E489" s="2" t="str">
        <f>[1]ALL!D369</f>
        <v>beijing, Not Applicable or Not Listed, China</v>
      </c>
      <c r="F489" s="8">
        <f>[1]ALL!E369</f>
        <v>0</v>
      </c>
      <c r="G489" s="8">
        <f>[1]ALL!F369</f>
        <v>0</v>
      </c>
      <c r="H489" s="8">
        <f>[1]ALL!G369</f>
        <v>0</v>
      </c>
      <c r="I489" s="11">
        <f>[1]ALL!H369</f>
        <v>0</v>
      </c>
      <c r="J489" s="11">
        <f>[1]ALL!I369</f>
        <v>0</v>
      </c>
      <c r="K489" s="11">
        <f>[1]ALL!J369</f>
        <v>0</v>
      </c>
      <c r="L489" s="11">
        <f>[1]ALL!K369</f>
        <v>0</v>
      </c>
      <c r="M489" s="11">
        <f>[1]ALL!L369</f>
        <v>0</v>
      </c>
      <c r="N489" s="11">
        <f>[1]ALL!M369</f>
        <v>0</v>
      </c>
      <c r="O489" s="11">
        <f>[1]ALL!N369</f>
        <v>0</v>
      </c>
      <c r="P489" s="11">
        <f>[1]ALL!O369</f>
        <v>0</v>
      </c>
      <c r="Q489" s="11">
        <f>[1]ALL!P369</f>
        <v>0</v>
      </c>
      <c r="R489" s="11">
        <f>[1]ALL!Q369</f>
        <v>0</v>
      </c>
      <c r="S489" s="11">
        <f>[1]ALL!R485</f>
        <v>0</v>
      </c>
      <c r="T489" s="9"/>
      <c r="U489" s="9"/>
      <c r="V489" s="10"/>
    </row>
    <row r="490" spans="1:22">
      <c r="A490" s="2">
        <v>385</v>
      </c>
      <c r="B490" s="1" t="str">
        <f>[1]ALL!A386</f>
        <v>7797C</v>
      </c>
      <c r="C490" s="2" t="str">
        <f>[1]ALL!B386</f>
        <v>SH Zhabei STYC C</v>
      </c>
      <c r="D490" s="2" t="str">
        <f>[1]ALL!C386</f>
        <v>Shanghai Zhabei Science Technology Youth Center</v>
      </c>
      <c r="E490" s="2" t="str">
        <f>[1]ALL!D386</f>
        <v>Shanghai, Not Applicable or Not Listed, China</v>
      </c>
      <c r="F490" s="8">
        <f>[1]ALL!E386</f>
        <v>0</v>
      </c>
      <c r="G490" s="8">
        <f>[1]ALL!F386</f>
        <v>0</v>
      </c>
      <c r="H490" s="8">
        <f>[1]ALL!G386</f>
        <v>0</v>
      </c>
      <c r="I490" s="11">
        <f>[1]ALL!H386</f>
        <v>0</v>
      </c>
      <c r="J490" s="11">
        <f>[1]ALL!I386</f>
        <v>0</v>
      </c>
      <c r="K490" s="11">
        <f>[1]ALL!J386</f>
        <v>0</v>
      </c>
      <c r="L490" s="11">
        <f>[1]ALL!K386</f>
        <v>0</v>
      </c>
      <c r="M490" s="11">
        <f>[1]ALL!L386</f>
        <v>0</v>
      </c>
      <c r="N490" s="11">
        <f>[1]ALL!M386</f>
        <v>0</v>
      </c>
      <c r="O490" s="11">
        <f>[1]ALL!N386</f>
        <v>0</v>
      </c>
      <c r="P490" s="11">
        <f>[1]ALL!O386</f>
        <v>0</v>
      </c>
      <c r="Q490" s="11">
        <f>[1]ALL!P386</f>
        <v>0</v>
      </c>
      <c r="R490" s="11">
        <f>[1]ALL!Q386</f>
        <v>0</v>
      </c>
      <c r="S490" s="11">
        <f>[1]ALL!R486</f>
        <v>0</v>
      </c>
      <c r="T490" s="9"/>
      <c r="U490" s="9"/>
      <c r="V490" s="10"/>
    </row>
    <row r="491" spans="1:22">
      <c r="A491" s="2">
        <v>392</v>
      </c>
      <c r="B491" s="1" t="str">
        <f>[1]ALL!A393</f>
        <v>7884A</v>
      </c>
      <c r="C491" s="2" t="str">
        <f>[1]ALL!B393</f>
        <v>HF NO.1 HS A</v>
      </c>
      <c r="D491" s="2" t="str">
        <f>[1]ALL!C393</f>
        <v>Hefei NO.1 High School</v>
      </c>
      <c r="E491" s="2" t="str">
        <f>[1]ALL!D393</f>
        <v>hefei, Not Applicable or Not Listed, China</v>
      </c>
      <c r="F491" s="8">
        <f>[1]ALL!E393</f>
        <v>0</v>
      </c>
      <c r="G491" s="8">
        <f>[1]ALL!F393</f>
        <v>0</v>
      </c>
      <c r="H491" s="8">
        <f>[1]ALL!G393</f>
        <v>0</v>
      </c>
      <c r="I491" s="11">
        <f>[1]ALL!H393</f>
        <v>0</v>
      </c>
      <c r="J491" s="11">
        <f>[1]ALL!I393</f>
        <v>0</v>
      </c>
      <c r="K491" s="11">
        <f>[1]ALL!J393</f>
        <v>0</v>
      </c>
      <c r="L491" s="11">
        <f>[1]ALL!K393</f>
        <v>0</v>
      </c>
      <c r="M491" s="11">
        <f>[1]ALL!L393</f>
        <v>0</v>
      </c>
      <c r="N491" s="11">
        <f>[1]ALL!M393</f>
        <v>0</v>
      </c>
      <c r="O491" s="11">
        <f>[1]ALL!N393</f>
        <v>0</v>
      </c>
      <c r="P491" s="11">
        <f>[1]ALL!O393</f>
        <v>0</v>
      </c>
      <c r="Q491" s="11">
        <f>[1]ALL!P393</f>
        <v>0</v>
      </c>
      <c r="R491" s="11">
        <f>[1]ALL!Q393</f>
        <v>0</v>
      </c>
      <c r="S491" s="11">
        <f>[1]ALL!R487</f>
        <v>0</v>
      </c>
      <c r="T491" s="9"/>
      <c r="U491" s="9"/>
      <c r="V491" s="10"/>
    </row>
    <row r="492" spans="1:22">
      <c r="A492" s="2">
        <v>410</v>
      </c>
      <c r="B492" s="1" t="str">
        <f>[1]ALL!A411</f>
        <v>8176A</v>
      </c>
      <c r="C492" s="2" t="str">
        <f>[1]ALL!B411</f>
        <v>NJ Jinling HS A</v>
      </c>
      <c r="D492" s="2" t="str">
        <f>[1]ALL!C411</f>
        <v>Nanjing Jinling High School</v>
      </c>
      <c r="E492" s="2" t="str">
        <f>[1]ALL!D411</f>
        <v>Nanjing, Not Applicable or Not Listed, China</v>
      </c>
      <c r="F492" s="8">
        <f>[1]ALL!E411</f>
        <v>0</v>
      </c>
      <c r="G492" s="8">
        <f>[1]ALL!F411</f>
        <v>0</v>
      </c>
      <c r="H492" s="8">
        <f>[1]ALL!G411</f>
        <v>0</v>
      </c>
      <c r="I492" s="11">
        <f>[1]ALL!H411</f>
        <v>0</v>
      </c>
      <c r="J492" s="11">
        <f>[1]ALL!I411</f>
        <v>0</v>
      </c>
      <c r="K492" s="11">
        <f>[1]ALL!J411</f>
        <v>0</v>
      </c>
      <c r="L492" s="11">
        <f>[1]ALL!K411</f>
        <v>0</v>
      </c>
      <c r="M492" s="11">
        <f>[1]ALL!L411</f>
        <v>0</v>
      </c>
      <c r="N492" s="11">
        <f>[1]ALL!M411</f>
        <v>0</v>
      </c>
      <c r="O492" s="11">
        <f>[1]ALL!N411</f>
        <v>0</v>
      </c>
      <c r="P492" s="11">
        <f>[1]ALL!O411</f>
        <v>0</v>
      </c>
      <c r="Q492" s="11">
        <f>[1]ALL!P411</f>
        <v>0</v>
      </c>
      <c r="R492" s="11">
        <f>[1]ALL!Q411</f>
        <v>0</v>
      </c>
      <c r="S492" s="11">
        <f>[1]ALL!R488</f>
        <v>0</v>
      </c>
      <c r="T492" s="9"/>
      <c r="U492" s="9"/>
      <c r="V492" s="10"/>
    </row>
    <row r="493" spans="1:22">
      <c r="A493" s="2">
        <v>411</v>
      </c>
      <c r="B493" s="1" t="str">
        <f>[1]ALL!A412</f>
        <v>8227</v>
      </c>
      <c r="C493" s="2" t="str">
        <f>[1]ALL!B412</f>
        <v>Pingtan NO.1 High Sch A</v>
      </c>
      <c r="D493" s="2" t="str">
        <f>[1]ALL!C412</f>
        <v>Fujian Pingtan NO.1 High School</v>
      </c>
      <c r="E493" s="2" t="str">
        <f>[1]ALL!D412</f>
        <v>Fujian, Not Applicable or Not Listed, China</v>
      </c>
      <c r="F493" s="8">
        <f>[1]ALL!E412</f>
        <v>0</v>
      </c>
      <c r="G493" s="8">
        <f>[1]ALL!F412</f>
        <v>0</v>
      </c>
      <c r="H493" s="8">
        <f>[1]ALL!G412</f>
        <v>0</v>
      </c>
      <c r="I493" s="11">
        <f>[1]ALL!H412</f>
        <v>0</v>
      </c>
      <c r="J493" s="11">
        <f>[1]ALL!I412</f>
        <v>0</v>
      </c>
      <c r="K493" s="11">
        <f>[1]ALL!J412</f>
        <v>0</v>
      </c>
      <c r="L493" s="11">
        <f>[1]ALL!K412</f>
        <v>0</v>
      </c>
      <c r="M493" s="11">
        <f>[1]ALL!L412</f>
        <v>0</v>
      </c>
      <c r="N493" s="11">
        <f>[1]ALL!M412</f>
        <v>0</v>
      </c>
      <c r="O493" s="11">
        <f>[1]ALL!N412</f>
        <v>0</v>
      </c>
      <c r="P493" s="11">
        <f>[1]ALL!O412</f>
        <v>0</v>
      </c>
      <c r="Q493" s="11">
        <f>[1]ALL!P412</f>
        <v>0</v>
      </c>
      <c r="R493" s="11">
        <f>[1]ALL!Q412</f>
        <v>0</v>
      </c>
      <c r="S493" s="11">
        <f>[1]ALL!R489</f>
        <v>0</v>
      </c>
      <c r="T493" s="9"/>
      <c r="U493" s="9"/>
      <c r="V493" s="10"/>
    </row>
    <row r="494" spans="1:22">
      <c r="A494" s="2">
        <v>429</v>
      </c>
      <c r="B494" s="1" t="str">
        <f>[1]ALL!A430</f>
        <v>8691E</v>
      </c>
      <c r="C494" s="2" t="str">
        <f>[1]ALL!B430</f>
        <v>hefei NO.8 SMSch E</v>
      </c>
      <c r="D494" s="2" t="str">
        <f>[1]ALL!C430</f>
        <v>Hefei No.8 Senior Middle School</v>
      </c>
      <c r="E494" s="2" t="str">
        <f>[1]ALL!D430</f>
        <v>hefei, Not Applicable or Not Listed, China</v>
      </c>
      <c r="F494" s="8">
        <f>[1]ALL!E430</f>
        <v>0</v>
      </c>
      <c r="G494" s="8">
        <f>[1]ALL!F430</f>
        <v>0</v>
      </c>
      <c r="H494" s="8">
        <f>[1]ALL!G430</f>
        <v>0</v>
      </c>
      <c r="I494" s="11">
        <f>[1]ALL!H430</f>
        <v>0</v>
      </c>
      <c r="J494" s="11">
        <f>[1]ALL!I430</f>
        <v>0</v>
      </c>
      <c r="K494" s="11">
        <f>[1]ALL!J430</f>
        <v>0</v>
      </c>
      <c r="L494" s="11">
        <f>[1]ALL!K430</f>
        <v>0</v>
      </c>
      <c r="M494" s="11">
        <f>[1]ALL!L430</f>
        <v>0</v>
      </c>
      <c r="N494" s="11">
        <f>[1]ALL!M430</f>
        <v>0</v>
      </c>
      <c r="O494" s="11">
        <f>[1]ALL!N430</f>
        <v>0</v>
      </c>
      <c r="P494" s="11">
        <f>[1]ALL!O430</f>
        <v>0</v>
      </c>
      <c r="Q494" s="11">
        <f>[1]ALL!P430</f>
        <v>0</v>
      </c>
      <c r="R494" s="11">
        <f>[1]ALL!Q430</f>
        <v>0</v>
      </c>
      <c r="S494" s="11">
        <f>[1]ALL!R490</f>
        <v>0</v>
      </c>
      <c r="T494" s="9"/>
      <c r="U494" s="9"/>
      <c r="V494" s="10"/>
    </row>
    <row r="495" spans="1:22">
      <c r="A495" s="2">
        <v>482</v>
      </c>
      <c r="B495" s="1" t="str">
        <f>[1]ALL!A483</f>
        <v>19771</v>
      </c>
      <c r="C495" s="2" t="str">
        <f>[1]ALL!B483</f>
        <v xml:space="preserve">IKEN ETHIOPIA </v>
      </c>
      <c r="D495" s="2" t="str">
        <f>[1]ALL!C483</f>
        <v>iken ethiopia</v>
      </c>
      <c r="E495" s="2" t="str">
        <f>[1]ALL!D483</f>
        <v>ADDIS ABABA, N/A, Ethiopia</v>
      </c>
      <c r="F495" s="8">
        <f>[1]ALL!E483</f>
        <v>0</v>
      </c>
      <c r="G495" s="8">
        <f>[1]ALL!F483</f>
        <v>0</v>
      </c>
      <c r="H495" s="8">
        <f>[1]ALL!G483</f>
        <v>0</v>
      </c>
      <c r="I495" s="11">
        <f>[1]ALL!H483</f>
        <v>0</v>
      </c>
      <c r="J495" s="11">
        <f>[1]ALL!I483</f>
        <v>0</v>
      </c>
      <c r="K495" s="11">
        <f>[1]ALL!J483</f>
        <v>0</v>
      </c>
      <c r="L495" s="11">
        <f>[1]ALL!K483</f>
        <v>0</v>
      </c>
      <c r="M495" s="11">
        <f>[1]ALL!L483</f>
        <v>0</v>
      </c>
      <c r="N495" s="11">
        <f>[1]ALL!M483</f>
        <v>0</v>
      </c>
      <c r="O495" s="11">
        <f>[1]ALL!N483</f>
        <v>0</v>
      </c>
      <c r="P495" s="11">
        <f>[1]ALL!O483</f>
        <v>0</v>
      </c>
      <c r="Q495" s="11">
        <f>[1]ALL!P483</f>
        <v>0</v>
      </c>
      <c r="R495" s="11">
        <f>[1]ALL!Q483</f>
        <v>0</v>
      </c>
      <c r="S495" s="11">
        <f>[1]ALL!R491</f>
        <v>0</v>
      </c>
      <c r="T495" s="9"/>
      <c r="U495" s="9"/>
      <c r="V495" s="10"/>
    </row>
    <row r="496" spans="1:22">
      <c r="A496" s="2">
        <v>483</v>
      </c>
      <c r="B496" s="1" t="str">
        <f>[1]ALL!A484</f>
        <v>23222A</v>
      </c>
      <c r="C496" s="2" t="str">
        <f>[1]ALL!B484</f>
        <v xml:space="preserve">Makarov's children </v>
      </c>
      <c r="D496" s="2" t="str">
        <f>[1]ALL!C484</f>
        <v>Churapcha classic school after S.K. Makarov</v>
      </c>
      <c r="E496" s="2" t="str">
        <f>[1]ALL!D484</f>
        <v>Yakutsk, N/A, Russia</v>
      </c>
      <c r="F496" s="8">
        <f>[1]ALL!E484</f>
        <v>0</v>
      </c>
      <c r="G496" s="8">
        <f>[1]ALL!F484</f>
        <v>0</v>
      </c>
      <c r="H496" s="8">
        <f>[1]ALL!G484</f>
        <v>0</v>
      </c>
      <c r="I496" s="11">
        <f>[1]ALL!H484</f>
        <v>0</v>
      </c>
      <c r="J496" s="11">
        <f>[1]ALL!I484</f>
        <v>0</v>
      </c>
      <c r="K496" s="11">
        <f>[1]ALL!J484</f>
        <v>0</v>
      </c>
      <c r="L496" s="11">
        <f>[1]ALL!K484</f>
        <v>0</v>
      </c>
      <c r="M496" s="11">
        <f>[1]ALL!L484</f>
        <v>0</v>
      </c>
      <c r="N496" s="11">
        <f>[1]ALL!M484</f>
        <v>0</v>
      </c>
      <c r="O496" s="11">
        <f>[1]ALL!N484</f>
        <v>0</v>
      </c>
      <c r="P496" s="11">
        <f>[1]ALL!O484</f>
        <v>0</v>
      </c>
      <c r="Q496" s="11">
        <f>[1]ALL!P484</f>
        <v>0</v>
      </c>
      <c r="R496" s="11">
        <f>[1]ALL!Q484</f>
        <v>0</v>
      </c>
      <c r="S496" s="11">
        <f>[1]ALL!R492</f>
        <v>0</v>
      </c>
      <c r="T496" s="9"/>
      <c r="U496" s="9"/>
      <c r="V496" s="10"/>
    </row>
    <row r="497" spans="1:22">
      <c r="A497" s="2">
        <v>486</v>
      </c>
      <c r="B497" s="1" t="str">
        <f>[1]ALL!A487</f>
        <v>97511</v>
      </c>
      <c r="C497" s="2" t="str">
        <f>[1]ALL!B487</f>
        <v>ROBOTIQS</v>
      </c>
      <c r="D497" s="2" t="str">
        <f>[1]ALL!C487</f>
        <v>ABA Innovation Lab</v>
      </c>
      <c r="E497" s="2" t="str">
        <f>[1]ALL!D487</f>
        <v>Istanbul, N/A, Turkey</v>
      </c>
      <c r="F497" s="8">
        <f>[1]ALL!E487</f>
        <v>0</v>
      </c>
      <c r="G497" s="8">
        <f>[1]ALL!F487</f>
        <v>0</v>
      </c>
      <c r="H497" s="8">
        <f>[1]ALL!G487</f>
        <v>0</v>
      </c>
      <c r="I497" s="11">
        <f>[1]ALL!H487</f>
        <v>0</v>
      </c>
      <c r="J497" s="11">
        <f>[1]ALL!I487</f>
        <v>0</v>
      </c>
      <c r="K497" s="11">
        <f>[1]ALL!J487</f>
        <v>0</v>
      </c>
      <c r="L497" s="11">
        <f>[1]ALL!K487</f>
        <v>0</v>
      </c>
      <c r="M497" s="11">
        <f>[1]ALL!L487</f>
        <v>0</v>
      </c>
      <c r="N497" s="11">
        <f>[1]ALL!M487</f>
        <v>0</v>
      </c>
      <c r="O497" s="11">
        <f>[1]ALL!N487</f>
        <v>0</v>
      </c>
      <c r="P497" s="11">
        <f>[1]ALL!O487</f>
        <v>0</v>
      </c>
      <c r="Q497" s="11">
        <f>[1]ALL!P487</f>
        <v>0</v>
      </c>
      <c r="R497" s="11">
        <f>[1]ALL!Q487</f>
        <v>0</v>
      </c>
      <c r="S497" s="11">
        <f>[1]ALL!R493</f>
        <v>0</v>
      </c>
      <c r="T497" s="9"/>
      <c r="U497" s="9"/>
      <c r="V497" s="10"/>
    </row>
    <row r="498" spans="1:22">
      <c r="A498" s="2">
        <v>487</v>
      </c>
      <c r="B498" s="1" t="str">
        <f>[1]ALL!A488</f>
        <v>98472</v>
      </c>
      <c r="C498" s="2" t="str">
        <f>[1]ALL!B488</f>
        <v xml:space="preserve">M_A  Team </v>
      </c>
      <c r="D498" s="2" t="str">
        <f>[1]ALL!C488</f>
        <v>Suez Advanced Technical Schools</v>
      </c>
      <c r="E498" s="2" t="str">
        <f>[1]ALL!D488</f>
        <v>Suez, N/A, Egypt</v>
      </c>
      <c r="F498" s="8">
        <f>[1]ALL!E488</f>
        <v>0</v>
      </c>
      <c r="G498" s="8">
        <f>[1]ALL!F488</f>
        <v>0</v>
      </c>
      <c r="H498" s="8">
        <f>[1]ALL!G488</f>
        <v>0</v>
      </c>
      <c r="I498" s="11">
        <f>[1]ALL!H488</f>
        <v>0</v>
      </c>
      <c r="J498" s="11">
        <f>[1]ALL!I488</f>
        <v>0</v>
      </c>
      <c r="K498" s="11">
        <f>[1]ALL!J488</f>
        <v>0</v>
      </c>
      <c r="L498" s="11">
        <f>[1]ALL!K488</f>
        <v>0</v>
      </c>
      <c r="M498" s="11">
        <f>[1]ALL!L488</f>
        <v>0</v>
      </c>
      <c r="N498" s="11">
        <f>[1]ALL!M488</f>
        <v>0</v>
      </c>
      <c r="O498" s="11">
        <f>[1]ALL!N488</f>
        <v>0</v>
      </c>
      <c r="P498" s="11">
        <f>[1]ALL!O488</f>
        <v>0</v>
      </c>
      <c r="Q498" s="11">
        <f>[1]ALL!P488</f>
        <v>0</v>
      </c>
      <c r="R498" s="11">
        <f>[1]ALL!Q488</f>
        <v>0</v>
      </c>
      <c r="S498" s="11">
        <f>[1]ALL!R494</f>
        <v>0</v>
      </c>
      <c r="T498" s="9"/>
      <c r="U498" s="9"/>
      <c r="V498" s="10"/>
    </row>
    <row r="499" spans="1:22">
      <c r="A499" s="2">
        <v>494</v>
      </c>
      <c r="B499" s="1" t="str">
        <f>[1]ALL!A495</f>
        <v>99611</v>
      </c>
      <c r="C499" s="2" t="str">
        <f>[1]ALL!B495</f>
        <v xml:space="preserve">Hope of Syria </v>
      </c>
      <c r="D499" s="2" t="str">
        <f>[1]ALL!C495</f>
        <v xml:space="preserve">MAPs Organization </v>
      </c>
      <c r="E499" s="2" t="str">
        <f>[1]ALL!D495</f>
        <v>Damascus , N/A, Syria</v>
      </c>
      <c r="F499" s="8">
        <f>[1]ALL!E495</f>
        <v>0</v>
      </c>
      <c r="G499" s="8">
        <f>[1]ALL!F495</f>
        <v>0</v>
      </c>
      <c r="H499" s="8">
        <f>[1]ALL!G495</f>
        <v>0</v>
      </c>
      <c r="I499" s="11">
        <f>[1]ALL!H495</f>
        <v>0</v>
      </c>
      <c r="J499" s="11">
        <f>[1]ALL!I495</f>
        <v>0</v>
      </c>
      <c r="K499" s="11">
        <f>[1]ALL!J495</f>
        <v>0</v>
      </c>
      <c r="L499" s="11">
        <f>[1]ALL!K495</f>
        <v>0</v>
      </c>
      <c r="M499" s="11">
        <f>[1]ALL!L495</f>
        <v>0</v>
      </c>
      <c r="N499" s="11">
        <f>[1]ALL!M495</f>
        <v>0</v>
      </c>
      <c r="O499" s="11">
        <f>[1]ALL!N495</f>
        <v>0</v>
      </c>
      <c r="P499" s="11">
        <f>[1]ALL!O495</f>
        <v>0</v>
      </c>
      <c r="Q499" s="11">
        <f>[1]ALL!P495</f>
        <v>0</v>
      </c>
      <c r="R499" s="11">
        <f>[1]ALL!Q495</f>
        <v>0</v>
      </c>
      <c r="S499" s="11">
        <f>[1]ALL!R495</f>
        <v>0</v>
      </c>
      <c r="T499" s="9"/>
      <c r="U499" s="9"/>
      <c r="V499" s="10"/>
    </row>
    <row r="500" spans="1:22">
      <c r="A500" s="2">
        <v>495</v>
      </c>
      <c r="B500" s="1" t="str">
        <f>[1]ALL!A496</f>
        <v>99679J</v>
      </c>
      <c r="C500" s="2" t="str">
        <f>[1]ALL!B496</f>
        <v>UNITY</v>
      </c>
      <c r="D500" s="2" t="str">
        <f>[1]ALL!C496</f>
        <v>David Karam Educational Center</v>
      </c>
      <c r="E500" s="2" t="str">
        <f>[1]ALL!D496</f>
        <v>Beirut, N/A, Lebanon</v>
      </c>
      <c r="F500" s="8">
        <f>[1]ALL!E496</f>
        <v>0</v>
      </c>
      <c r="G500" s="8">
        <f>[1]ALL!F496</f>
        <v>0</v>
      </c>
      <c r="H500" s="8">
        <f>[1]ALL!G496</f>
        <v>0</v>
      </c>
      <c r="I500" s="11">
        <f>[1]ALL!H496</f>
        <v>0</v>
      </c>
      <c r="J500" s="11">
        <f>[1]ALL!I496</f>
        <v>0</v>
      </c>
      <c r="K500" s="11">
        <f>[1]ALL!J496</f>
        <v>0</v>
      </c>
      <c r="L500" s="11">
        <f>[1]ALL!K496</f>
        <v>0</v>
      </c>
      <c r="M500" s="11">
        <f>[1]ALL!L496</f>
        <v>0</v>
      </c>
      <c r="N500" s="11">
        <f>[1]ALL!M496</f>
        <v>0</v>
      </c>
      <c r="O500" s="11">
        <f>[1]ALL!N496</f>
        <v>0</v>
      </c>
      <c r="P500" s="11">
        <f>[1]ALL!O496</f>
        <v>0</v>
      </c>
      <c r="Q500" s="11">
        <f>[1]ALL!P496</f>
        <v>0</v>
      </c>
      <c r="R500" s="11">
        <f>[1]ALL!Q496</f>
        <v>0</v>
      </c>
      <c r="S500" s="11">
        <f>[1]ALL!R496</f>
        <v>0</v>
      </c>
      <c r="T500" s="9"/>
      <c r="U500" s="9"/>
      <c r="V500" s="10"/>
    </row>
    <row r="501" spans="1:22">
      <c r="A501" s="2">
        <v>498</v>
      </c>
      <c r="B501" s="1">
        <f>[1]ALL!A499</f>
        <v>0</v>
      </c>
      <c r="C501" s="2">
        <f>[1]ALL!B499</f>
        <v>0</v>
      </c>
      <c r="D501" s="2">
        <f>[1]ALL!C499</f>
        <v>0</v>
      </c>
      <c r="E501" s="2">
        <f>[1]ALL!D499</f>
        <v>0</v>
      </c>
      <c r="F501" s="8">
        <f>[1]ALL!E499</f>
        <v>0</v>
      </c>
      <c r="G501" s="8">
        <f>[1]ALL!F499</f>
        <v>0</v>
      </c>
      <c r="H501" s="8">
        <f>[1]ALL!G499</f>
        <v>0</v>
      </c>
      <c r="I501" s="11">
        <f>[1]ALL!H499</f>
        <v>0</v>
      </c>
      <c r="J501" s="11">
        <f>[1]ALL!I499</f>
        <v>0</v>
      </c>
      <c r="K501" s="11">
        <f>[1]ALL!J499</f>
        <v>0</v>
      </c>
      <c r="L501" s="11">
        <f>[1]ALL!K499</f>
        <v>0</v>
      </c>
      <c r="M501" s="11">
        <f>[1]ALL!L499</f>
        <v>0</v>
      </c>
      <c r="N501" s="11">
        <f>[1]ALL!M499</f>
        <v>0</v>
      </c>
      <c r="O501" s="11">
        <f>[1]ALL!N499</f>
        <v>0</v>
      </c>
      <c r="P501" s="11">
        <f>[1]ALL!O499</f>
        <v>0</v>
      </c>
      <c r="Q501" s="11">
        <f>[1]ALL!P499</f>
        <v>0</v>
      </c>
      <c r="R501" s="11">
        <f>[1]ALL!Q499</f>
        <v>0</v>
      </c>
      <c r="S501" s="11">
        <f>[1]ALL!R498</f>
        <v>0</v>
      </c>
      <c r="T501" s="9"/>
      <c r="U501" s="9"/>
      <c r="V501" s="10"/>
    </row>
    <row r="502" spans="1:22">
      <c r="A502" s="2">
        <v>499</v>
      </c>
      <c r="B502" s="1">
        <f>[1]ALL!A500</f>
        <v>0</v>
      </c>
      <c r="C502" s="2">
        <f>[1]ALL!B500</f>
        <v>0</v>
      </c>
      <c r="D502" s="2">
        <f>[1]ALL!C500</f>
        <v>0</v>
      </c>
      <c r="E502" s="2">
        <f>[1]ALL!D500</f>
        <v>0</v>
      </c>
      <c r="F502" s="8">
        <f>[1]ALL!E500</f>
        <v>0</v>
      </c>
      <c r="G502" s="8">
        <f>[1]ALL!F500</f>
        <v>0</v>
      </c>
      <c r="H502" s="8">
        <f>[1]ALL!G500</f>
        <v>0</v>
      </c>
      <c r="I502" s="11">
        <f>[1]ALL!H500</f>
        <v>0</v>
      </c>
      <c r="J502" s="11">
        <f>[1]ALL!I500</f>
        <v>0</v>
      </c>
      <c r="K502" s="11">
        <f>[1]ALL!J500</f>
        <v>0</v>
      </c>
      <c r="L502" s="11">
        <f>[1]ALL!K500</f>
        <v>0</v>
      </c>
      <c r="M502" s="11">
        <f>[1]ALL!L500</f>
        <v>0</v>
      </c>
      <c r="N502" s="11">
        <f>[1]ALL!M500</f>
        <v>0</v>
      </c>
      <c r="O502" s="11">
        <f>[1]ALL!N500</f>
        <v>0</v>
      </c>
      <c r="P502" s="11">
        <f>[1]ALL!O500</f>
        <v>0</v>
      </c>
      <c r="Q502" s="11">
        <f>[1]ALL!P500</f>
        <v>0</v>
      </c>
      <c r="R502" s="11">
        <f>[1]ALL!Q500</f>
        <v>0</v>
      </c>
      <c r="S502" s="11">
        <f>[1]ALL!R499</f>
        <v>0</v>
      </c>
      <c r="T502" s="9"/>
      <c r="U502" s="9"/>
      <c r="V502" s="10"/>
    </row>
    <row r="503" spans="1:22">
      <c r="A503" s="2">
        <v>500</v>
      </c>
      <c r="B503" s="1">
        <f>[1]ALL!A501</f>
        <v>0</v>
      </c>
      <c r="C503" s="2">
        <f>[1]ALL!B501</f>
        <v>0</v>
      </c>
      <c r="D503" s="2">
        <f>[1]ALL!C501</f>
        <v>0</v>
      </c>
      <c r="E503" s="2">
        <f>[1]ALL!D501</f>
        <v>0</v>
      </c>
      <c r="F503" s="8">
        <f>[1]ALL!E501</f>
        <v>0</v>
      </c>
      <c r="G503" s="8">
        <f>[1]ALL!F501</f>
        <v>0</v>
      </c>
      <c r="H503" s="8">
        <f>[1]ALL!G501</f>
        <v>0</v>
      </c>
      <c r="I503" s="11">
        <f>[1]ALL!H501</f>
        <v>0</v>
      </c>
      <c r="J503" s="11">
        <f>[1]ALL!I501</f>
        <v>0</v>
      </c>
      <c r="K503" s="11">
        <f>[1]ALL!J501</f>
        <v>0</v>
      </c>
      <c r="L503" s="11">
        <f>[1]ALL!K501</f>
        <v>0</v>
      </c>
      <c r="M503" s="11">
        <f>[1]ALL!L501</f>
        <v>0</v>
      </c>
      <c r="N503" s="11">
        <f>[1]ALL!M501</f>
        <v>0</v>
      </c>
      <c r="O503" s="11">
        <f>[1]ALL!N501</f>
        <v>0</v>
      </c>
      <c r="P503" s="11">
        <f>[1]ALL!O501</f>
        <v>0</v>
      </c>
      <c r="Q503" s="11">
        <f>[1]ALL!P501</f>
        <v>0</v>
      </c>
      <c r="R503" s="11">
        <f>[1]ALL!Q501</f>
        <v>0</v>
      </c>
      <c r="S503" s="11">
        <f>[1]ALL!R501</f>
        <v>0</v>
      </c>
      <c r="T503" s="9"/>
      <c r="U503" s="9"/>
      <c r="V503" s="10"/>
    </row>
  </sheetData>
  <sortState ref="A4:R500">
    <sortCondition descending="1" ref="G3"/>
  </sortState>
  <customSheetViews>
    <customSheetView guid="{C0930836-1C27-4000-8923-162C1722C997}" zeroValues="0" hiddenColumns="1">
      <pane xSplit="1" ySplit="2" topLeftCell="B3" activePane="bottomRight" state="frozen"/>
      <selection pane="bottomRight" activeCell="J8" sqref="J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104"/>
  <sheetViews>
    <sheetView showZeros="0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E19" sqref="E19"/>
    </sheetView>
  </sheetViews>
  <sheetFormatPr defaultRowHeight="14.4"/>
  <cols>
    <col min="1" max="1" width="4.33203125" customWidth="1"/>
    <col min="2" max="2" width="9.109375" customWidth="1"/>
    <col min="3" max="3" width="11.5546875" customWidth="1"/>
    <col min="4" max="4" width="11.109375" hidden="1" customWidth="1"/>
    <col min="5" max="5" width="16.109375" style="8" customWidth="1"/>
    <col min="6" max="7" width="7.33203125" style="8" customWidth="1"/>
    <col min="8" max="18" width="7.33203125" style="3" customWidth="1"/>
    <col min="19" max="20" width="5.6640625" style="3" customWidth="1"/>
  </cols>
  <sheetData>
    <row r="1" spans="1:22" ht="15" thickBot="1"/>
    <row r="2" spans="1:22" ht="15" thickBot="1">
      <c r="A2" s="62">
        <f>MAX(A3:A505)</f>
        <v>100</v>
      </c>
      <c r="B2" s="12"/>
      <c r="C2" s="12"/>
      <c r="D2" s="13"/>
      <c r="E2" s="14" t="s">
        <v>0</v>
      </c>
      <c r="F2" s="41">
        <f t="shared" ref="F2:S2" si="0">AVERAGEIF(F4:F102,"&gt;0")</f>
        <v>213.81818181818181</v>
      </c>
      <c r="G2" s="42">
        <f t="shared" si="0"/>
        <v>196.47435897435898</v>
      </c>
      <c r="H2" s="43">
        <f t="shared" si="0"/>
        <v>106.27234421052631</v>
      </c>
      <c r="I2" s="44">
        <f t="shared" si="0"/>
        <v>86.523868723404235</v>
      </c>
      <c r="J2" s="15">
        <f t="shared" si="0"/>
        <v>84.851057045454567</v>
      </c>
      <c r="K2" s="15">
        <f t="shared" si="0"/>
        <v>84.727390843373513</v>
      </c>
      <c r="L2" s="15">
        <f t="shared" si="0"/>
        <v>71.08670434210525</v>
      </c>
      <c r="M2" s="15">
        <f t="shared" si="0"/>
        <v>61.666101666666663</v>
      </c>
      <c r="N2" s="15">
        <f t="shared" si="0"/>
        <v>55.989179268292681</v>
      </c>
      <c r="O2" s="15">
        <f t="shared" si="0"/>
        <v>55.280119583333338</v>
      </c>
      <c r="P2" s="15">
        <f t="shared" si="0"/>
        <v>59.678930769230767</v>
      </c>
      <c r="Q2" s="15">
        <f t="shared" si="0"/>
        <v>70.635050000000007</v>
      </c>
      <c r="R2" s="15">
        <f t="shared" si="0"/>
        <v>87.691780000000008</v>
      </c>
      <c r="S2" s="16">
        <f t="shared" si="0"/>
        <v>98.00233333333334</v>
      </c>
      <c r="U2" s="3"/>
    </row>
    <row r="3" spans="1:22">
      <c r="A3" s="61"/>
      <c r="B3" s="27" t="str">
        <f>[1]Grp_1!A1</f>
        <v>Team</v>
      </c>
      <c r="C3" s="27" t="str">
        <f>[1]Grp_1!B1</f>
        <v>Name</v>
      </c>
      <c r="D3" s="28" t="str">
        <f>[1]Grp_1!C1</f>
        <v>Org</v>
      </c>
      <c r="E3" s="29" t="str">
        <f>[1]Grp_1!D1</f>
        <v>Location</v>
      </c>
      <c r="F3" s="27" t="str">
        <f>[1]Grp_1!E1</f>
        <v>Drv_skills</v>
      </c>
      <c r="G3" s="28" t="str">
        <f>[1]Grp_1!F1</f>
        <v>Prg_skills</v>
      </c>
      <c r="H3" s="29" t="str">
        <f>[1]Grp_1!G1</f>
        <v>Opr_max</v>
      </c>
      <c r="I3" s="28" t="str">
        <f>[1]Grp_1!H1</f>
        <v>Opr_last</v>
      </c>
      <c r="J3" s="28" t="str">
        <f>[1]Grp_1!I1</f>
        <v>Opr-1</v>
      </c>
      <c r="K3" s="28" t="str">
        <f>[1]Grp_1!J1</f>
        <v>Opr-2</v>
      </c>
      <c r="L3" s="28" t="str">
        <f>[1]Grp_1!K1</f>
        <v>Opr-3</v>
      </c>
      <c r="M3" s="28" t="str">
        <f>[1]Grp_1!L1</f>
        <v>Opr-4</v>
      </c>
      <c r="N3" s="28" t="str">
        <f>[1]Grp_1!M1</f>
        <v>Opr-5</v>
      </c>
      <c r="O3" s="28">
        <f>[1]Grp_1!N1</f>
        <v>0</v>
      </c>
      <c r="P3" s="28">
        <f>[1]Grp_1!O1</f>
        <v>0</v>
      </c>
      <c r="Q3" s="28">
        <f>[1]Grp_1!P1</f>
        <v>0</v>
      </c>
      <c r="R3" s="28">
        <f>[1]Grp_1!Q1</f>
        <v>0</v>
      </c>
      <c r="S3" s="29">
        <f>[1]Grp_1!R1</f>
        <v>0</v>
      </c>
      <c r="U3" s="3"/>
    </row>
    <row r="4" spans="1:22">
      <c r="A4" s="2">
        <v>1</v>
      </c>
      <c r="B4" s="17" t="str">
        <f>[1]Grp_1!A2</f>
        <v>2R</v>
      </c>
      <c r="C4" s="30" t="str">
        <f>[1]Grp_1!B2</f>
        <v>Robosavages R</v>
      </c>
      <c r="D4" s="18" t="str">
        <f>[1]Grp_1!C2</f>
        <v>Gladstone</v>
      </c>
      <c r="E4" s="31" t="str">
        <f>[1]Grp_1!D2</f>
        <v>Vancouver, British Columbia, Canada</v>
      </c>
      <c r="F4" s="34">
        <f>[1]Grp_1!E2</f>
        <v>356</v>
      </c>
      <c r="G4" s="19">
        <f>[1]Grp_1!F2</f>
        <v>253</v>
      </c>
      <c r="H4" s="35">
        <f>[1]Grp_1!G2</f>
        <v>142.357</v>
      </c>
      <c r="I4" s="20">
        <f>[1]Grp_1!H2</f>
        <v>142.357</v>
      </c>
      <c r="J4" s="20">
        <f>[1]Grp_1!I2</f>
        <v>107.38200000000001</v>
      </c>
      <c r="K4" s="20">
        <f>[1]Grp_1!J2</f>
        <v>138.21799999999999</v>
      </c>
      <c r="L4" s="20">
        <f>[1]Grp_1!K2</f>
        <v>87.828999999999994</v>
      </c>
      <c r="M4" s="20">
        <f>[1]Grp_1!L2</f>
        <v>82.34</v>
      </c>
      <c r="N4" s="20">
        <f>[1]Grp_1!M2</f>
        <v>0</v>
      </c>
      <c r="O4" s="20">
        <f>[1]Grp_1!N2</f>
        <v>0</v>
      </c>
      <c r="P4" s="20">
        <f>[1]Grp_1!O2</f>
        <v>0</v>
      </c>
      <c r="Q4" s="20">
        <f>[1]Grp_1!P2</f>
        <v>0</v>
      </c>
      <c r="R4" s="20">
        <f>[1]Grp_1!Q2</f>
        <v>0</v>
      </c>
      <c r="S4" s="21">
        <f>[1]Grp_1!R2</f>
        <v>0</v>
      </c>
      <c r="T4" s="9"/>
      <c r="U4" s="9"/>
      <c r="V4" s="10"/>
    </row>
    <row r="5" spans="1:22">
      <c r="A5" s="2">
        <v>2</v>
      </c>
      <c r="B5" s="17" t="str">
        <f>[1]Grp_1!A3</f>
        <v>10Z</v>
      </c>
      <c r="C5" s="30" t="str">
        <f>[1]Grp_1!B3</f>
        <v>Exothermic Zen</v>
      </c>
      <c r="D5" s="18" t="str">
        <f>[1]Grp_1!C3</f>
        <v>Exothermic Robotics</v>
      </c>
      <c r="E5" s="31" t="str">
        <f>[1]Grp_1!D3</f>
        <v>Redmond, Washington, United States</v>
      </c>
      <c r="F5" s="34">
        <f>[1]Grp_1!E3</f>
        <v>161</v>
      </c>
      <c r="G5" s="19">
        <f>[1]Grp_1!F3</f>
        <v>225</v>
      </c>
      <c r="H5" s="35">
        <f>[1]Grp_1!G3</f>
        <v>83.911199999999994</v>
      </c>
      <c r="I5" s="20">
        <f>[1]Grp_1!H3</f>
        <v>83.911199999999994</v>
      </c>
      <c r="J5" s="20">
        <f>[1]Grp_1!I3</f>
        <v>67.572000000000003</v>
      </c>
      <c r="K5" s="20">
        <f>[1]Grp_1!J3</f>
        <v>80.308899999999994</v>
      </c>
      <c r="L5" s="20">
        <f>[1]Grp_1!K3</f>
        <v>2.7913000000000001</v>
      </c>
      <c r="M5" s="20">
        <f>[1]Grp_1!L3</f>
        <v>62.307600000000001</v>
      </c>
      <c r="N5" s="20">
        <f>[1]Grp_1!M3</f>
        <v>31.303699999999999</v>
      </c>
      <c r="O5" s="20">
        <f>[1]Grp_1!N3</f>
        <v>0</v>
      </c>
      <c r="P5" s="20">
        <f>[1]Grp_1!O3</f>
        <v>0</v>
      </c>
      <c r="Q5" s="20">
        <f>[1]Grp_1!P3</f>
        <v>0</v>
      </c>
      <c r="R5" s="20">
        <f>[1]Grp_1!Q3</f>
        <v>0</v>
      </c>
      <c r="S5" s="21">
        <f>[1]Grp_1!R3</f>
        <v>0</v>
      </c>
      <c r="T5" s="9"/>
      <c r="U5" s="9"/>
      <c r="V5" s="10"/>
    </row>
    <row r="6" spans="1:22">
      <c r="A6" s="2">
        <v>3</v>
      </c>
      <c r="B6" s="17" t="str">
        <f>[1]Grp_1!A4</f>
        <v>35A</v>
      </c>
      <c r="C6" s="30" t="str">
        <f>[1]Grp_1!B4</f>
        <v>Made of Steel</v>
      </c>
      <c r="D6" s="18" t="str">
        <f>[1]Grp_1!C4</f>
        <v>Cranbrook Schools</v>
      </c>
      <c r="E6" s="31" t="str">
        <f>[1]Grp_1!D4</f>
        <v>Bloomfield Hills, Michigan, United States</v>
      </c>
      <c r="F6" s="34">
        <f>[1]Grp_1!E4</f>
        <v>269</v>
      </c>
      <c r="G6" s="19">
        <f>[1]Grp_1!F4</f>
        <v>261</v>
      </c>
      <c r="H6" s="35">
        <f>[1]Grp_1!G4</f>
        <v>140.76400000000001</v>
      </c>
      <c r="I6" s="20">
        <f>[1]Grp_1!H4</f>
        <v>71.459699999999998</v>
      </c>
      <c r="J6" s="20">
        <f>[1]Grp_1!I4</f>
        <v>84.537499999999994</v>
      </c>
      <c r="K6" s="20">
        <f>[1]Grp_1!J4</f>
        <v>140.76400000000001</v>
      </c>
      <c r="L6" s="20">
        <f>[1]Grp_1!K4</f>
        <v>83.189099999999996</v>
      </c>
      <c r="M6" s="20">
        <f>[1]Grp_1!L4</f>
        <v>81.9268</v>
      </c>
      <c r="N6" s="20">
        <f>[1]Grp_1!M4</f>
        <v>90.562200000000004</v>
      </c>
      <c r="O6" s="20">
        <f>[1]Grp_1!N4</f>
        <v>59.546999999999997</v>
      </c>
      <c r="P6" s="20">
        <f>[1]Grp_1!O4</f>
        <v>24.939900000000002</v>
      </c>
      <c r="Q6" s="20">
        <f>[1]Grp_1!P4</f>
        <v>0</v>
      </c>
      <c r="R6" s="20">
        <f>[1]Grp_1!Q4</f>
        <v>0</v>
      </c>
      <c r="S6" s="21">
        <f>[1]Grp_1!R4</f>
        <v>0</v>
      </c>
      <c r="T6" s="9"/>
      <c r="U6" s="9"/>
      <c r="V6" s="10"/>
    </row>
    <row r="7" spans="1:22">
      <c r="A7" s="2">
        <v>4</v>
      </c>
      <c r="B7" s="17" t="str">
        <f>[1]Grp_1!A5</f>
        <v>60X</v>
      </c>
      <c r="C7" s="30" t="str">
        <f>[1]Grp_1!B5</f>
        <v>Crossfire ⍟</v>
      </c>
      <c r="D7" s="18" t="str">
        <f>[1]Grp_1!C5</f>
        <v>Neobots</v>
      </c>
      <c r="E7" s="31" t="str">
        <f>[1]Grp_1!D5</f>
        <v>Garland, Texas, United States</v>
      </c>
      <c r="F7" s="34">
        <f>[1]Grp_1!E5</f>
        <v>300</v>
      </c>
      <c r="G7" s="19">
        <f>[1]Grp_1!F5</f>
        <v>168</v>
      </c>
      <c r="H7" s="35">
        <f>[1]Grp_1!G5</f>
        <v>185.21600000000001</v>
      </c>
      <c r="I7" s="20">
        <f>[1]Grp_1!H5</f>
        <v>151.179</v>
      </c>
      <c r="J7" s="20">
        <f>[1]Grp_1!I5</f>
        <v>125.11</v>
      </c>
      <c r="K7" s="20">
        <f>[1]Grp_1!J5</f>
        <v>161.44200000000001</v>
      </c>
      <c r="L7" s="20">
        <f>[1]Grp_1!K5</f>
        <v>185.21600000000001</v>
      </c>
      <c r="M7" s="20">
        <f>[1]Grp_1!L5</f>
        <v>83.9161</v>
      </c>
      <c r="N7" s="20">
        <f>[1]Grp_1!M5</f>
        <v>139.94</v>
      </c>
      <c r="O7" s="20">
        <f>[1]Grp_1!N5</f>
        <v>124.596</v>
      </c>
      <c r="P7" s="20">
        <f>[1]Grp_1!O5</f>
        <v>53.4375</v>
      </c>
      <c r="Q7" s="20">
        <f>[1]Grp_1!P5</f>
        <v>40.6496</v>
      </c>
      <c r="R7" s="20">
        <f>[1]Grp_1!Q5</f>
        <v>108.425</v>
      </c>
      <c r="S7" s="21">
        <f>[1]Grp_1!R5</f>
        <v>85.322999999999993</v>
      </c>
      <c r="T7" s="9"/>
      <c r="U7" s="9"/>
      <c r="V7" s="10"/>
    </row>
    <row r="8" spans="1:22">
      <c r="A8" s="2">
        <v>5</v>
      </c>
      <c r="B8" s="17" t="str">
        <f>[1]Grp_1!A6</f>
        <v>69</v>
      </c>
      <c r="C8" s="30" t="str">
        <f>[1]Grp_1!B6</f>
        <v xml:space="preserve">Hav U Seen? -  🍁 </v>
      </c>
      <c r="D8" s="18" t="str">
        <f>[1]Grp_1!C6</f>
        <v>Independent</v>
      </c>
      <c r="E8" s="31" t="str">
        <f>[1]Grp_1!D6</f>
        <v>Bloomfield Hills, Michigan, United States</v>
      </c>
      <c r="F8" s="34">
        <f>[1]Grp_1!E6</f>
        <v>313</v>
      </c>
      <c r="G8" s="19">
        <f>[1]Grp_1!F6</f>
        <v>296</v>
      </c>
      <c r="H8" s="35">
        <f>[1]Grp_1!G6</f>
        <v>118.947</v>
      </c>
      <c r="I8" s="20">
        <f>[1]Grp_1!H6</f>
        <v>61.668900000000001</v>
      </c>
      <c r="J8" s="20">
        <f>[1]Grp_1!I6</f>
        <v>118.947</v>
      </c>
      <c r="K8" s="20">
        <f>[1]Grp_1!J6</f>
        <v>85.060500000000005</v>
      </c>
      <c r="L8" s="20">
        <f>[1]Grp_1!K6</f>
        <v>65.999300000000005</v>
      </c>
      <c r="M8" s="20">
        <f>[1]Grp_1!L6</f>
        <v>81.7333</v>
      </c>
      <c r="N8" s="20">
        <f>[1]Grp_1!M6</f>
        <v>45.441200000000002</v>
      </c>
      <c r="O8" s="20">
        <f>[1]Grp_1!N6</f>
        <v>22.520299999999999</v>
      </c>
      <c r="P8" s="20">
        <f>[1]Grp_1!O6</f>
        <v>0</v>
      </c>
      <c r="Q8" s="20">
        <f>[1]Grp_1!P6</f>
        <v>0</v>
      </c>
      <c r="R8" s="20">
        <f>[1]Grp_1!Q6</f>
        <v>0</v>
      </c>
      <c r="S8" s="21">
        <f>[1]Grp_1!R6</f>
        <v>0</v>
      </c>
      <c r="T8" s="9"/>
      <c r="U8" s="9"/>
      <c r="V8" s="10"/>
    </row>
    <row r="9" spans="1:22">
      <c r="A9" s="2">
        <v>6</v>
      </c>
      <c r="B9" s="17" t="str">
        <f>[1]Grp_1!A7</f>
        <v>134A</v>
      </c>
      <c r="C9" s="30" t="str">
        <f>[1]Grp_1!B7</f>
        <v>Team Discovery -  Alpha</v>
      </c>
      <c r="D9" s="18" t="str">
        <f>[1]Grp_1!C7</f>
        <v>Pembroke Academy</v>
      </c>
      <c r="E9" s="31" t="str">
        <f>[1]Grp_1!D7</f>
        <v>Pembroke, New Hampshire, United States</v>
      </c>
      <c r="F9" s="34">
        <f>[1]Grp_1!E7</f>
        <v>85</v>
      </c>
      <c r="G9" s="19">
        <f>[1]Grp_1!F7</f>
        <v>15</v>
      </c>
      <c r="H9" s="35">
        <f>[1]Grp_1!G7</f>
        <v>69.090599999999995</v>
      </c>
      <c r="I9" s="20">
        <f>[1]Grp_1!H7</f>
        <v>58.788400000000003</v>
      </c>
      <c r="J9" s="20">
        <f>[1]Grp_1!I7</f>
        <v>69.090599999999995</v>
      </c>
      <c r="K9" s="20">
        <f>[1]Grp_1!J7</f>
        <v>46.463299999999997</v>
      </c>
      <c r="L9" s="20">
        <f>[1]Grp_1!K7</f>
        <v>29.940100000000001</v>
      </c>
      <c r="M9" s="20">
        <f>[1]Grp_1!L7</f>
        <v>28.203199999999999</v>
      </c>
      <c r="N9" s="20">
        <f>[1]Grp_1!M7</f>
        <v>49.744399999999999</v>
      </c>
      <c r="O9" s="20">
        <f>[1]Grp_1!N7</f>
        <v>17.308199999999999</v>
      </c>
      <c r="P9" s="20">
        <f>[1]Grp_1!O7</f>
        <v>0</v>
      </c>
      <c r="Q9" s="20">
        <f>[1]Grp_1!P7</f>
        <v>0</v>
      </c>
      <c r="R9" s="20">
        <f>[1]Grp_1!Q7</f>
        <v>0</v>
      </c>
      <c r="S9" s="21">
        <f>[1]Grp_1!R7</f>
        <v>0</v>
      </c>
      <c r="T9" s="9"/>
      <c r="U9" s="9"/>
      <c r="V9" s="10"/>
    </row>
    <row r="10" spans="1:22">
      <c r="A10" s="2">
        <v>7</v>
      </c>
      <c r="B10" s="17" t="str">
        <f>[1]Grp_1!A8</f>
        <v>169Y</v>
      </c>
      <c r="C10" s="30" t="str">
        <f>[1]Grp_1!B8</f>
        <v>The Cavalry</v>
      </c>
      <c r="D10" s="18" t="str">
        <f>[1]Grp_1!C8</f>
        <v>Haverford School Robotics</v>
      </c>
      <c r="E10" s="31" t="str">
        <f>[1]Grp_1!D8</f>
        <v>Haverford, Pennsylvania, United States</v>
      </c>
      <c r="F10" s="34">
        <f>[1]Grp_1!E8</f>
        <v>262</v>
      </c>
      <c r="G10" s="19">
        <f>[1]Grp_1!F8</f>
        <v>305</v>
      </c>
      <c r="H10" s="35">
        <f>[1]Grp_1!G8</f>
        <v>104.93</v>
      </c>
      <c r="I10" s="20">
        <f>[1]Grp_1!H8</f>
        <v>104.93</v>
      </c>
      <c r="J10" s="20">
        <f>[1]Grp_1!I8</f>
        <v>77.441900000000004</v>
      </c>
      <c r="K10" s="20">
        <f>[1]Grp_1!J8</f>
        <v>96.641199999999998</v>
      </c>
      <c r="L10" s="20">
        <f>[1]Grp_1!K8</f>
        <v>78.876900000000006</v>
      </c>
      <c r="M10" s="20">
        <f>[1]Grp_1!L8</f>
        <v>89.7012</v>
      </c>
      <c r="N10" s="20">
        <f>[1]Grp_1!M8</f>
        <v>0</v>
      </c>
      <c r="O10" s="20">
        <f>[1]Grp_1!N8</f>
        <v>0</v>
      </c>
      <c r="P10" s="20">
        <f>[1]Grp_1!O8</f>
        <v>0</v>
      </c>
      <c r="Q10" s="20">
        <f>[1]Grp_1!P8</f>
        <v>0</v>
      </c>
      <c r="R10" s="20">
        <f>[1]Grp_1!Q8</f>
        <v>0</v>
      </c>
      <c r="S10" s="21">
        <f>[1]Grp_1!R8</f>
        <v>0</v>
      </c>
      <c r="T10" s="9"/>
      <c r="U10" s="9"/>
      <c r="V10" s="10"/>
    </row>
    <row r="11" spans="1:22">
      <c r="A11" s="2">
        <v>8</v>
      </c>
      <c r="B11" s="17" t="str">
        <f>[1]Grp_1!A9</f>
        <v>200A</v>
      </c>
      <c r="C11" s="30" t="str">
        <f>[1]Grp_1!B9</f>
        <v>LanceBotics - 🍁</v>
      </c>
      <c r="D11" s="18" t="str">
        <f>[1]Grp_1!C9</f>
        <v>Leaside High School</v>
      </c>
      <c r="E11" s="31" t="str">
        <f>[1]Grp_1!D9</f>
        <v>Toronto, Ontario, Canada</v>
      </c>
      <c r="F11" s="34">
        <f>[1]Grp_1!E9</f>
        <v>144</v>
      </c>
      <c r="G11" s="19">
        <f>[1]Grp_1!F9</f>
        <v>189</v>
      </c>
      <c r="H11" s="35">
        <f>[1]Grp_1!G9</f>
        <v>104.59099999999999</v>
      </c>
      <c r="I11" s="20">
        <f>[1]Grp_1!H9</f>
        <v>104.59099999999999</v>
      </c>
      <c r="J11" s="20">
        <f>[1]Grp_1!I9</f>
        <v>96.771299999999997</v>
      </c>
      <c r="K11" s="20">
        <f>[1]Grp_1!J9</f>
        <v>101.545</v>
      </c>
      <c r="L11" s="20">
        <f>[1]Grp_1!K9</f>
        <v>71.581100000000006</v>
      </c>
      <c r="M11" s="20">
        <f>[1]Grp_1!L9</f>
        <v>34.747300000000003</v>
      </c>
      <c r="N11" s="20">
        <f>[1]Grp_1!M9</f>
        <v>0</v>
      </c>
      <c r="O11" s="20">
        <f>[1]Grp_1!N9</f>
        <v>0</v>
      </c>
      <c r="P11" s="20">
        <f>[1]Grp_1!O9</f>
        <v>0</v>
      </c>
      <c r="Q11" s="20">
        <f>[1]Grp_1!P9</f>
        <v>0</v>
      </c>
      <c r="R11" s="20">
        <f>[1]Grp_1!Q9</f>
        <v>0</v>
      </c>
      <c r="S11" s="21">
        <f>[1]Grp_1!R9</f>
        <v>0</v>
      </c>
      <c r="T11" s="9"/>
      <c r="U11" s="9"/>
      <c r="V11" s="10"/>
    </row>
    <row r="12" spans="1:22">
      <c r="A12" s="2">
        <v>9</v>
      </c>
      <c r="B12" s="17" t="str">
        <f>[1]Grp_1!A10</f>
        <v>231X</v>
      </c>
      <c r="C12" s="30" t="str">
        <f>[1]Grp_1!B10</f>
        <v>PASADENA ISD ROBOTICS</v>
      </c>
      <c r="D12" s="18" t="str">
        <f>[1]Grp_1!C10</f>
        <v>PASADENA ISD ROBOTICS</v>
      </c>
      <c r="E12" s="31" t="str">
        <f>[1]Grp_1!D10</f>
        <v>HOUSTON, Texas, United States</v>
      </c>
      <c r="F12" s="34">
        <f>[1]Grp_1!E10</f>
        <v>65</v>
      </c>
      <c r="G12" s="19">
        <f>[1]Grp_1!F10</f>
        <v>81</v>
      </c>
      <c r="H12" s="35">
        <f>[1]Grp_1!G10</f>
        <v>45.8598</v>
      </c>
      <c r="I12" s="20">
        <f>[1]Grp_1!H10</f>
        <v>39.342100000000002</v>
      </c>
      <c r="J12" s="20">
        <f>[1]Grp_1!I10</f>
        <v>37.2333</v>
      </c>
      <c r="K12" s="20">
        <f>[1]Grp_1!J10</f>
        <v>39.482999999999997</v>
      </c>
      <c r="L12" s="20">
        <f>[1]Grp_1!K10</f>
        <v>29.7288</v>
      </c>
      <c r="M12" s="20">
        <f>[1]Grp_1!L10</f>
        <v>45.8598</v>
      </c>
      <c r="N12" s="20">
        <f>[1]Grp_1!M10</f>
        <v>0</v>
      </c>
      <c r="O12" s="20">
        <f>[1]Grp_1!N10</f>
        <v>0</v>
      </c>
      <c r="P12" s="20">
        <f>[1]Grp_1!O10</f>
        <v>0</v>
      </c>
      <c r="Q12" s="20">
        <f>[1]Grp_1!P10</f>
        <v>0</v>
      </c>
      <c r="R12" s="20">
        <f>[1]Grp_1!Q10</f>
        <v>0</v>
      </c>
      <c r="S12" s="21">
        <f>[1]Grp_1!R10</f>
        <v>0</v>
      </c>
      <c r="T12" s="9"/>
      <c r="U12" s="9"/>
      <c r="V12" s="10"/>
    </row>
    <row r="13" spans="1:22">
      <c r="A13" s="2">
        <v>10</v>
      </c>
      <c r="B13" s="17" t="str">
        <f>[1]Grp_1!A11</f>
        <v>266</v>
      </c>
      <c r="C13" s="30" t="str">
        <f>[1]Grp_1!B11</f>
        <v>Meow Meow</v>
      </c>
      <c r="D13" s="18" t="str">
        <f>[1]Grp_1!C11</f>
        <v>Meow Meow</v>
      </c>
      <c r="E13" s="31" t="str">
        <f>[1]Grp_1!D11</f>
        <v>Austin, Texas, United States</v>
      </c>
      <c r="F13" s="34">
        <f>[1]Grp_1!E11</f>
        <v>76</v>
      </c>
      <c r="G13" s="19">
        <f>[1]Grp_1!F11</f>
        <v>0</v>
      </c>
      <c r="H13" s="37">
        <f>[1]Grp_1!G11</f>
        <v>94.887600000000006</v>
      </c>
      <c r="I13" s="38">
        <f>[1]Grp_1!H11</f>
        <v>94.887600000000006</v>
      </c>
      <c r="J13" s="20">
        <f>[1]Grp_1!I11</f>
        <v>83.922499999999999</v>
      </c>
      <c r="K13" s="20">
        <f>[1]Grp_1!J11</f>
        <v>88.667699999999996</v>
      </c>
      <c r="L13" s="20">
        <f>[1]Grp_1!K11</f>
        <v>53.319499999999998</v>
      </c>
      <c r="M13" s="20">
        <f>[1]Grp_1!L11</f>
        <v>21.374300000000002</v>
      </c>
      <c r="N13" s="20">
        <f>[1]Grp_1!M11</f>
        <v>0</v>
      </c>
      <c r="O13" s="20">
        <f>[1]Grp_1!N11</f>
        <v>0</v>
      </c>
      <c r="P13" s="20">
        <f>[1]Grp_1!O11</f>
        <v>0</v>
      </c>
      <c r="Q13" s="20">
        <f>[1]Grp_1!P11</f>
        <v>0</v>
      </c>
      <c r="R13" s="20">
        <f>[1]Grp_1!Q11</f>
        <v>0</v>
      </c>
      <c r="S13" s="21">
        <f>[1]Grp_1!R11</f>
        <v>0</v>
      </c>
      <c r="T13" s="9"/>
      <c r="U13" s="9"/>
      <c r="V13" s="10"/>
    </row>
    <row r="14" spans="1:22">
      <c r="A14" s="2">
        <v>11</v>
      </c>
      <c r="B14" s="17" t="str">
        <f>[1]Grp_1!A12</f>
        <v>333R</v>
      </c>
      <c r="C14" s="30" t="str">
        <f>[1]Grp_1!B12</f>
        <v>Los Robos</v>
      </c>
      <c r="D14" s="18" t="str">
        <f>[1]Grp_1!C12</f>
        <v>Niles North Robotics</v>
      </c>
      <c r="E14" s="31" t="str">
        <f>[1]Grp_1!D12</f>
        <v>Skokie, Illinois, United States</v>
      </c>
      <c r="F14" s="34">
        <f>[1]Grp_1!E12</f>
        <v>266</v>
      </c>
      <c r="G14" s="19">
        <f>[1]Grp_1!F12</f>
        <v>160</v>
      </c>
      <c r="H14" s="37">
        <f>[1]Grp_1!G12</f>
        <v>110.294</v>
      </c>
      <c r="I14" s="38">
        <f>[1]Grp_1!H12</f>
        <v>62.239899999999999</v>
      </c>
      <c r="J14" s="20">
        <f>[1]Grp_1!I12</f>
        <v>110.294</v>
      </c>
      <c r="K14" s="20">
        <f>[1]Grp_1!J12</f>
        <v>99.864699999999999</v>
      </c>
      <c r="L14" s="20">
        <f>[1]Grp_1!K12</f>
        <v>95.008200000000002</v>
      </c>
      <c r="M14" s="20">
        <f>[1]Grp_1!L12</f>
        <v>63.525599999999997</v>
      </c>
      <c r="N14" s="20">
        <f>[1]Grp_1!M12</f>
        <v>0</v>
      </c>
      <c r="O14" s="20">
        <f>[1]Grp_1!N12</f>
        <v>0</v>
      </c>
      <c r="P14" s="20">
        <f>[1]Grp_1!O12</f>
        <v>0</v>
      </c>
      <c r="Q14" s="20">
        <f>[1]Grp_1!P12</f>
        <v>0</v>
      </c>
      <c r="R14" s="20">
        <f>[1]Grp_1!Q12</f>
        <v>0</v>
      </c>
      <c r="S14" s="21">
        <f>[1]Grp_1!R12</f>
        <v>0</v>
      </c>
      <c r="T14" s="9"/>
      <c r="U14" s="9"/>
      <c r="V14" s="10"/>
    </row>
    <row r="15" spans="1:22">
      <c r="A15" s="2">
        <v>12</v>
      </c>
      <c r="B15" s="17" t="str">
        <f>[1]Grp_1!A13</f>
        <v>356B</v>
      </c>
      <c r="C15" s="30" t="str">
        <f>[1]Grp_1!B13</f>
        <v>THE DRAGONS</v>
      </c>
      <c r="D15" s="18" t="str">
        <f>[1]Grp_1!C13</f>
        <v>THE DRAGONS</v>
      </c>
      <c r="E15" s="31" t="str">
        <f>[1]Grp_1!D13</f>
        <v>Brampton, Ontario, Canada</v>
      </c>
      <c r="F15" s="34">
        <f>[1]Grp_1!E13</f>
        <v>2</v>
      </c>
      <c r="G15" s="19">
        <f>[1]Grp_1!F13</f>
        <v>292</v>
      </c>
      <c r="H15" s="37">
        <f>[1]Grp_1!G13</f>
        <v>61.520499999999998</v>
      </c>
      <c r="I15" s="38">
        <f>[1]Grp_1!H13</f>
        <v>61.520499999999998</v>
      </c>
      <c r="J15" s="20">
        <f>[1]Grp_1!I13</f>
        <v>31.004000000000001</v>
      </c>
      <c r="K15" s="20">
        <f>[1]Grp_1!J13</f>
        <v>10.8574</v>
      </c>
      <c r="L15" s="20">
        <f>[1]Grp_1!K13</f>
        <v>-5.9510800000000001</v>
      </c>
      <c r="M15" s="20">
        <f>[1]Grp_1!L13</f>
        <v>46.4619</v>
      </c>
      <c r="N15" s="20">
        <f>[1]Grp_1!M13</f>
        <v>10.047000000000001</v>
      </c>
      <c r="O15" s="20">
        <f>[1]Grp_1!N13</f>
        <v>0</v>
      </c>
      <c r="P15" s="20">
        <f>[1]Grp_1!O13</f>
        <v>0</v>
      </c>
      <c r="Q15" s="20">
        <f>[1]Grp_1!P13</f>
        <v>0</v>
      </c>
      <c r="R15" s="20">
        <f>[1]Grp_1!Q13</f>
        <v>0</v>
      </c>
      <c r="S15" s="21">
        <f>[1]Grp_1!R13</f>
        <v>0</v>
      </c>
      <c r="T15" s="9"/>
      <c r="U15" s="9"/>
      <c r="V15" s="10"/>
    </row>
    <row r="16" spans="1:22">
      <c r="A16" s="2">
        <v>13</v>
      </c>
      <c r="B16" s="17" t="str">
        <f>[1]Grp_1!A14</f>
        <v>400S</v>
      </c>
      <c r="C16" s="30" t="str">
        <f>[1]Grp_1!B14</f>
        <v>Galveston I.S.D. Robotics</v>
      </c>
      <c r="D16" s="18" t="str">
        <f>[1]Grp_1!C14</f>
        <v>Galveston I.S.D. Robotics</v>
      </c>
      <c r="E16" s="31" t="str">
        <f>[1]Grp_1!D14</f>
        <v>Galveston, Texas, United States</v>
      </c>
      <c r="F16" s="34">
        <f>[1]Grp_1!E14</f>
        <v>240</v>
      </c>
      <c r="G16" s="19">
        <f>[1]Grp_1!F14</f>
        <v>256</v>
      </c>
      <c r="H16" s="37">
        <f>[1]Grp_1!G14</f>
        <v>100.82</v>
      </c>
      <c r="I16" s="38">
        <f>[1]Grp_1!H14</f>
        <v>87.411299999999997</v>
      </c>
      <c r="J16" s="20">
        <f>[1]Grp_1!I14</f>
        <v>74.314300000000003</v>
      </c>
      <c r="K16" s="20">
        <f>[1]Grp_1!J14</f>
        <v>100.82</v>
      </c>
      <c r="L16" s="20">
        <f>[1]Grp_1!K14</f>
        <v>88.004800000000003</v>
      </c>
      <c r="M16" s="20">
        <f>[1]Grp_1!L14</f>
        <v>50.397300000000001</v>
      </c>
      <c r="N16" s="20">
        <f>[1]Grp_1!M14</f>
        <v>0</v>
      </c>
      <c r="O16" s="20">
        <f>[1]Grp_1!N14</f>
        <v>0</v>
      </c>
      <c r="P16" s="20">
        <f>[1]Grp_1!O14</f>
        <v>0</v>
      </c>
      <c r="Q16" s="20">
        <f>[1]Grp_1!P14</f>
        <v>0</v>
      </c>
      <c r="R16" s="20">
        <f>[1]Grp_1!Q14</f>
        <v>0</v>
      </c>
      <c r="S16" s="21">
        <f>[1]Grp_1!R14</f>
        <v>0</v>
      </c>
      <c r="T16" s="9"/>
      <c r="U16" s="9"/>
      <c r="V16" s="10"/>
    </row>
    <row r="17" spans="1:22">
      <c r="A17" s="2">
        <v>14</v>
      </c>
      <c r="B17" s="17" t="str">
        <f>[1]Grp_1!A15</f>
        <v>536C</v>
      </c>
      <c r="C17" s="30" t="str">
        <f>[1]Grp_1!B15</f>
        <v>Life</v>
      </c>
      <c r="D17" s="18" t="str">
        <f>[1]Grp_1!C15</f>
        <v>Xavier High School</v>
      </c>
      <c r="E17" s="31" t="str">
        <f>[1]Grp_1!D15</f>
        <v>Appleton, Wisconsin, United States</v>
      </c>
      <c r="F17" s="34">
        <f>[1]Grp_1!E15</f>
        <v>293</v>
      </c>
      <c r="G17" s="19">
        <f>[1]Grp_1!F15</f>
        <v>311</v>
      </c>
      <c r="H17" s="37">
        <f>[1]Grp_1!G15</f>
        <v>148.916</v>
      </c>
      <c r="I17" s="38">
        <f>[1]Grp_1!H15</f>
        <v>148.916</v>
      </c>
      <c r="J17" s="20">
        <f>[1]Grp_1!I15</f>
        <v>83.472099999999998</v>
      </c>
      <c r="K17" s="20">
        <f>[1]Grp_1!J15</f>
        <v>84.5578</v>
      </c>
      <c r="L17" s="20">
        <f>[1]Grp_1!K15</f>
        <v>50.0867</v>
      </c>
      <c r="M17" s="20">
        <f>[1]Grp_1!L15</f>
        <v>82.779600000000002</v>
      </c>
      <c r="N17" s="20">
        <f>[1]Grp_1!M15</f>
        <v>27.037500000000001</v>
      </c>
      <c r="O17" s="20">
        <f>[1]Grp_1!N15</f>
        <v>0</v>
      </c>
      <c r="P17" s="20">
        <f>[1]Grp_1!O15</f>
        <v>0</v>
      </c>
      <c r="Q17" s="20">
        <f>[1]Grp_1!P15</f>
        <v>0</v>
      </c>
      <c r="R17" s="20">
        <f>[1]Grp_1!Q15</f>
        <v>0</v>
      </c>
      <c r="S17" s="21">
        <f>[1]Grp_1!R15</f>
        <v>0</v>
      </c>
      <c r="T17" s="9"/>
      <c r="U17" s="9"/>
      <c r="V17" s="10"/>
    </row>
    <row r="18" spans="1:22">
      <c r="A18" s="2">
        <v>15</v>
      </c>
      <c r="B18" s="17" t="str">
        <f>[1]Grp_1!A16</f>
        <v>586A</v>
      </c>
      <c r="C18" s="30" t="str">
        <f>[1]Grp_1!B16</f>
        <v>PHS A-Team</v>
      </c>
      <c r="D18" s="18" t="str">
        <f>[1]Grp_1!C16</f>
        <v>Plymouth High School</v>
      </c>
      <c r="E18" s="31" t="str">
        <f>[1]Grp_1!D16</f>
        <v>Plymouth, Indiana, United States</v>
      </c>
      <c r="F18" s="34">
        <f>[1]Grp_1!E16</f>
        <v>107</v>
      </c>
      <c r="G18" s="19">
        <f>[1]Grp_1!F16</f>
        <v>253</v>
      </c>
      <c r="H18" s="37">
        <f>[1]Grp_1!G16</f>
        <v>132.64699999999999</v>
      </c>
      <c r="I18" s="38">
        <f>[1]Grp_1!H16</f>
        <v>90.963499999999996</v>
      </c>
      <c r="J18" s="20">
        <f>[1]Grp_1!I16</f>
        <v>123.232</v>
      </c>
      <c r="K18" s="20">
        <f>[1]Grp_1!J16</f>
        <v>112.82299999999999</v>
      </c>
      <c r="L18" s="20">
        <f>[1]Grp_1!K16</f>
        <v>132.64699999999999</v>
      </c>
      <c r="M18" s="20">
        <f>[1]Grp_1!L16</f>
        <v>125.59099999999999</v>
      </c>
      <c r="N18" s="20">
        <f>[1]Grp_1!M16</f>
        <v>112.34099999999999</v>
      </c>
      <c r="O18" s="20">
        <f>[1]Grp_1!N16</f>
        <v>104.749</v>
      </c>
      <c r="P18" s="20">
        <f>[1]Grp_1!O16</f>
        <v>46.073799999999999</v>
      </c>
      <c r="Q18" s="20">
        <f>[1]Grp_1!P16</f>
        <v>0</v>
      </c>
      <c r="R18" s="20">
        <f>[1]Grp_1!Q16</f>
        <v>0</v>
      </c>
      <c r="S18" s="21">
        <f>[1]Grp_1!R16</f>
        <v>0</v>
      </c>
      <c r="T18" s="9"/>
      <c r="U18" s="9"/>
      <c r="V18" s="10"/>
    </row>
    <row r="19" spans="1:22">
      <c r="A19" s="2">
        <v>16</v>
      </c>
      <c r="B19" s="17" t="str">
        <f>[1]Grp_1!A17</f>
        <v>675B</v>
      </c>
      <c r="C19" s="30" t="str">
        <f>[1]Grp_1!B17</f>
        <v>RoboDragons B</v>
      </c>
      <c r="D19" s="18" t="str">
        <f>[1]Grp_1!C17</f>
        <v>Gwinnett School of Mathem, Science, and Technology</v>
      </c>
      <c r="E19" s="31" t="str">
        <f>[1]Grp_1!D17</f>
        <v>Lawrenceville, Georgia, United States</v>
      </c>
      <c r="F19" s="34">
        <f>[1]Grp_1!E17</f>
        <v>153</v>
      </c>
      <c r="G19" s="19">
        <f>[1]Grp_1!F17</f>
        <v>0</v>
      </c>
      <c r="H19" s="37">
        <f>[1]Grp_1!G17</f>
        <v>140.12700000000001</v>
      </c>
      <c r="I19" s="38">
        <f>[1]Grp_1!H17</f>
        <v>97.966999999999999</v>
      </c>
      <c r="J19" s="20">
        <f>[1]Grp_1!I17</f>
        <v>88.053600000000003</v>
      </c>
      <c r="K19" s="20">
        <f>[1]Grp_1!J17</f>
        <v>140.12700000000001</v>
      </c>
      <c r="L19" s="20">
        <f>[1]Grp_1!K17</f>
        <v>104.89</v>
      </c>
      <c r="M19" s="20">
        <f>[1]Grp_1!L17</f>
        <v>92.1892</v>
      </c>
      <c r="N19" s="20">
        <f>[1]Grp_1!M17</f>
        <v>70.372500000000002</v>
      </c>
      <c r="O19" s="20">
        <f>[1]Grp_1!N17</f>
        <v>104.559</v>
      </c>
      <c r="P19" s="20">
        <f>[1]Grp_1!O17</f>
        <v>0</v>
      </c>
      <c r="Q19" s="20">
        <f>[1]Grp_1!P17</f>
        <v>0</v>
      </c>
      <c r="R19" s="20">
        <f>[1]Grp_1!Q17</f>
        <v>0</v>
      </c>
      <c r="S19" s="21">
        <f>[1]Grp_1!R17</f>
        <v>0</v>
      </c>
      <c r="T19" s="9"/>
      <c r="U19" s="9"/>
      <c r="V19" s="10"/>
    </row>
    <row r="20" spans="1:22">
      <c r="A20" s="2">
        <v>17</v>
      </c>
      <c r="B20" s="17" t="str">
        <f>[1]Grp_1!A18</f>
        <v>750C</v>
      </c>
      <c r="C20" s="30" t="str">
        <f>[1]Grp_1!B18</f>
        <v>4Chainz</v>
      </c>
      <c r="D20" s="18" t="str">
        <f>[1]Grp_1!C18</f>
        <v>South Brunswick High School</v>
      </c>
      <c r="E20" s="31" t="str">
        <f>[1]Grp_1!D18</f>
        <v>Monmouth Junction, New Jersey, United States</v>
      </c>
      <c r="F20" s="34">
        <f>[1]Grp_1!E18</f>
        <v>255</v>
      </c>
      <c r="G20" s="19">
        <f>[1]Grp_1!F18</f>
        <v>236</v>
      </c>
      <c r="H20" s="37">
        <f>[1]Grp_1!G18</f>
        <v>142.685</v>
      </c>
      <c r="I20" s="38">
        <f>[1]Grp_1!H18</f>
        <v>92.327399999999997</v>
      </c>
      <c r="J20" s="20">
        <f>[1]Grp_1!I18</f>
        <v>142.685</v>
      </c>
      <c r="K20" s="20">
        <f>[1]Grp_1!J18</f>
        <v>108.23699999999999</v>
      </c>
      <c r="L20" s="20">
        <f>[1]Grp_1!K18</f>
        <v>128.423</v>
      </c>
      <c r="M20" s="20">
        <f>[1]Grp_1!L18</f>
        <v>80.612200000000001</v>
      </c>
      <c r="N20" s="20">
        <f>[1]Grp_1!M18</f>
        <v>67.147499999999994</v>
      </c>
      <c r="O20" s="20">
        <f>[1]Grp_1!N18</f>
        <v>14.663</v>
      </c>
      <c r="P20" s="20">
        <f>[1]Grp_1!O18</f>
        <v>0</v>
      </c>
      <c r="Q20" s="20">
        <f>[1]Grp_1!P18</f>
        <v>0</v>
      </c>
      <c r="R20" s="20">
        <f>[1]Grp_1!Q18</f>
        <v>0</v>
      </c>
      <c r="S20" s="21">
        <f>[1]Grp_1!R18</f>
        <v>0</v>
      </c>
      <c r="T20" s="9"/>
      <c r="U20" s="9"/>
      <c r="V20" s="10"/>
    </row>
    <row r="21" spans="1:22">
      <c r="A21" s="2">
        <v>18</v>
      </c>
      <c r="B21" s="17" t="str">
        <f>[1]Grp_1!A19</f>
        <v>824B</v>
      </c>
      <c r="C21" s="30" t="str">
        <f>[1]Grp_1!B19</f>
        <v>AHS Robotics</v>
      </c>
      <c r="D21" s="18" t="str">
        <f>[1]Grp_1!C19</f>
        <v>Armijo High School</v>
      </c>
      <c r="E21" s="31" t="str">
        <f>[1]Grp_1!D19</f>
        <v>Fairfield, California, United States</v>
      </c>
      <c r="F21" s="34">
        <f>[1]Grp_1!E19</f>
        <v>188</v>
      </c>
      <c r="G21" s="19">
        <f>[1]Grp_1!F19</f>
        <v>180</v>
      </c>
      <c r="H21" s="37">
        <f>[1]Grp_1!G19</f>
        <v>87.253200000000007</v>
      </c>
      <c r="I21" s="38">
        <f>[1]Grp_1!H19</f>
        <v>87.253200000000007</v>
      </c>
      <c r="J21" s="20">
        <f>[1]Grp_1!I19</f>
        <v>73.114599999999996</v>
      </c>
      <c r="K21" s="20">
        <f>[1]Grp_1!J19</f>
        <v>56.740900000000003</v>
      </c>
      <c r="L21" s="20">
        <f>[1]Grp_1!K19</f>
        <v>72.458100000000002</v>
      </c>
      <c r="M21" s="20">
        <f>[1]Grp_1!L19</f>
        <v>33.3414</v>
      </c>
      <c r="N21" s="20">
        <f>[1]Grp_1!M19</f>
        <v>0</v>
      </c>
      <c r="O21" s="20">
        <f>[1]Grp_1!N19</f>
        <v>0</v>
      </c>
      <c r="P21" s="20">
        <f>[1]Grp_1!O19</f>
        <v>0</v>
      </c>
      <c r="Q21" s="20">
        <f>[1]Grp_1!P19</f>
        <v>0</v>
      </c>
      <c r="R21" s="20">
        <f>[1]Grp_1!Q19</f>
        <v>0</v>
      </c>
      <c r="S21" s="21">
        <f>[1]Grp_1!R19</f>
        <v>0</v>
      </c>
      <c r="T21" s="9"/>
      <c r="U21" s="9"/>
      <c r="V21" s="10"/>
    </row>
    <row r="22" spans="1:22">
      <c r="A22" s="2">
        <v>19</v>
      </c>
      <c r="B22" s="17" t="str">
        <f>[1]Grp_1!A20</f>
        <v>929W</v>
      </c>
      <c r="C22" s="30" t="str">
        <f>[1]Grp_1!B20</f>
        <v>Hereford Zone Robotics</v>
      </c>
      <c r="D22" s="18" t="str">
        <f>[1]Grp_1!C20</f>
        <v>Hereford High School</v>
      </c>
      <c r="E22" s="31" t="str">
        <f>[1]Grp_1!D20</f>
        <v>Parkton, Maryland, United States</v>
      </c>
      <c r="F22" s="34">
        <f>[1]Grp_1!E20</f>
        <v>294</v>
      </c>
      <c r="G22" s="19">
        <f>[1]Grp_1!F20</f>
        <v>287</v>
      </c>
      <c r="H22" s="37">
        <f>[1]Grp_1!G20</f>
        <v>126.083</v>
      </c>
      <c r="I22" s="38">
        <f>[1]Grp_1!H20</f>
        <v>90.029300000000006</v>
      </c>
      <c r="J22" s="20">
        <f>[1]Grp_1!I20</f>
        <v>126.083</v>
      </c>
      <c r="K22" s="20">
        <f>[1]Grp_1!J20</f>
        <v>94.180599999999998</v>
      </c>
      <c r="L22" s="20">
        <f>[1]Grp_1!K20</f>
        <v>94.916799999999995</v>
      </c>
      <c r="M22" s="20">
        <f>[1]Grp_1!L20</f>
        <v>77.675600000000003</v>
      </c>
      <c r="N22" s="20">
        <f>[1]Grp_1!M20</f>
        <v>72.485500000000002</v>
      </c>
      <c r="O22" s="20">
        <f>[1]Grp_1!N20</f>
        <v>42.474499999999999</v>
      </c>
      <c r="P22" s="20">
        <f>[1]Grp_1!O20</f>
        <v>72.3767</v>
      </c>
      <c r="Q22" s="20">
        <f>[1]Grp_1!P20</f>
        <v>0</v>
      </c>
      <c r="R22" s="20">
        <f>[1]Grp_1!Q20</f>
        <v>0</v>
      </c>
      <c r="S22" s="21">
        <f>[1]Grp_1!R20</f>
        <v>0</v>
      </c>
      <c r="T22" s="9"/>
      <c r="U22" s="9"/>
      <c r="V22" s="10"/>
    </row>
    <row r="23" spans="1:22">
      <c r="A23" s="2">
        <v>20</v>
      </c>
      <c r="B23" s="17" t="str">
        <f>[1]Grp_1!A21</f>
        <v>986B</v>
      </c>
      <c r="C23" s="30" t="str">
        <f>[1]Grp_1!B21</f>
        <v>Lancers B</v>
      </c>
      <c r="D23" s="18" t="str">
        <f>[1]Grp_1!C21</f>
        <v>Grace Brethren JH/High School</v>
      </c>
      <c r="E23" s="31" t="str">
        <f>[1]Grp_1!D21</f>
        <v>Simi Valley, California, United States</v>
      </c>
      <c r="F23" s="34">
        <f>[1]Grp_1!E21</f>
        <v>320</v>
      </c>
      <c r="G23" s="19">
        <f>[1]Grp_1!F21</f>
        <v>302</v>
      </c>
      <c r="H23" s="37">
        <f>[1]Grp_1!G21</f>
        <v>161.22200000000001</v>
      </c>
      <c r="I23" s="38">
        <f>[1]Grp_1!H21</f>
        <v>145.33500000000001</v>
      </c>
      <c r="J23" s="20">
        <f>[1]Grp_1!I21</f>
        <v>161.22200000000001</v>
      </c>
      <c r="K23" s="20">
        <f>[1]Grp_1!J21</f>
        <v>160.44900000000001</v>
      </c>
      <c r="L23" s="20">
        <f>[1]Grp_1!K21</f>
        <v>132.45699999999999</v>
      </c>
      <c r="M23" s="20">
        <f>[1]Grp_1!L21</f>
        <v>105.256</v>
      </c>
      <c r="N23" s="20">
        <f>[1]Grp_1!M21</f>
        <v>0</v>
      </c>
      <c r="O23" s="20">
        <f>[1]Grp_1!N21</f>
        <v>0</v>
      </c>
      <c r="P23" s="20">
        <f>[1]Grp_1!O21</f>
        <v>0</v>
      </c>
      <c r="Q23" s="20">
        <f>[1]Grp_1!P21</f>
        <v>0</v>
      </c>
      <c r="R23" s="20">
        <f>[1]Grp_1!Q21</f>
        <v>0</v>
      </c>
      <c r="S23" s="21">
        <f>[1]Grp_1!R21</f>
        <v>0</v>
      </c>
      <c r="T23" s="9"/>
      <c r="U23" s="9"/>
      <c r="V23" s="10"/>
    </row>
    <row r="24" spans="1:22">
      <c r="A24" s="2">
        <v>21</v>
      </c>
      <c r="B24" s="17" t="str">
        <f>[1]Grp_1!A22</f>
        <v>1045D</v>
      </c>
      <c r="C24" s="30" t="str">
        <f>[1]Grp_1!B22</f>
        <v>OPS - The Bunny Overload</v>
      </c>
      <c r="D24" s="18" t="str">
        <f>[1]Grp_1!C22</f>
        <v>Benson High Magnet  School</v>
      </c>
      <c r="E24" s="31" t="str">
        <f>[1]Grp_1!D22</f>
        <v>Omaha, Nebraska, United States</v>
      </c>
      <c r="F24" s="34">
        <f>[1]Grp_1!E22</f>
        <v>265</v>
      </c>
      <c r="G24" s="19">
        <f>[1]Grp_1!F22</f>
        <v>131</v>
      </c>
      <c r="H24" s="37">
        <f>[1]Grp_1!G22</f>
        <v>157.55199999999999</v>
      </c>
      <c r="I24" s="38">
        <f>[1]Grp_1!H22</f>
        <v>157.55199999999999</v>
      </c>
      <c r="J24" s="20">
        <f>[1]Grp_1!I22</f>
        <v>139.41399999999999</v>
      </c>
      <c r="K24" s="20">
        <f>[1]Grp_1!J22</f>
        <v>129.596</v>
      </c>
      <c r="L24" s="20">
        <f>[1]Grp_1!K22</f>
        <v>86.732100000000003</v>
      </c>
      <c r="M24" s="20">
        <f>[1]Grp_1!L22</f>
        <v>102.85899999999999</v>
      </c>
      <c r="N24" s="20">
        <f>[1]Grp_1!M22</f>
        <v>0</v>
      </c>
      <c r="O24" s="20">
        <f>[1]Grp_1!N22</f>
        <v>0</v>
      </c>
      <c r="P24" s="20">
        <f>[1]Grp_1!O22</f>
        <v>0</v>
      </c>
      <c r="Q24" s="20">
        <f>[1]Grp_1!P22</f>
        <v>0</v>
      </c>
      <c r="R24" s="20">
        <f>[1]Grp_1!Q22</f>
        <v>0</v>
      </c>
      <c r="S24" s="21">
        <f>[1]Grp_1!R22</f>
        <v>0</v>
      </c>
      <c r="T24" s="9"/>
      <c r="U24" s="9"/>
      <c r="V24" s="10"/>
    </row>
    <row r="25" spans="1:22">
      <c r="A25" s="2">
        <v>22</v>
      </c>
      <c r="B25" s="17" t="str">
        <f>[1]Grp_1!A23</f>
        <v>1104H</v>
      </c>
      <c r="C25" s="30" t="str">
        <f>[1]Grp_1!B23</f>
        <v>Discobots ჩ - 🍁 #Pray4Harri2k16</v>
      </c>
      <c r="D25" s="18" t="str">
        <f>[1]Grp_1!C23</f>
        <v>Brampton Robotics Education</v>
      </c>
      <c r="E25" s="31" t="str">
        <f>[1]Grp_1!D23</f>
        <v>Brampton, Ontario, Canada</v>
      </c>
      <c r="F25" s="34">
        <f>[1]Grp_1!E23</f>
        <v>356</v>
      </c>
      <c r="G25" s="19">
        <f>[1]Grp_1!F23</f>
        <v>0</v>
      </c>
      <c r="H25" s="37">
        <f>[1]Grp_1!G23</f>
        <v>0</v>
      </c>
      <c r="I25" s="38">
        <f>[1]Grp_1!H23</f>
        <v>0</v>
      </c>
      <c r="J25" s="20">
        <f>[1]Grp_1!I23</f>
        <v>0</v>
      </c>
      <c r="K25" s="20">
        <f>[1]Grp_1!J23</f>
        <v>0</v>
      </c>
      <c r="L25" s="20">
        <f>[1]Grp_1!K23</f>
        <v>0</v>
      </c>
      <c r="M25" s="20">
        <f>[1]Grp_1!L23</f>
        <v>0</v>
      </c>
      <c r="N25" s="20">
        <f>[1]Grp_1!M23</f>
        <v>0</v>
      </c>
      <c r="O25" s="20">
        <f>[1]Grp_1!N23</f>
        <v>0</v>
      </c>
      <c r="P25" s="20">
        <f>[1]Grp_1!O23</f>
        <v>0</v>
      </c>
      <c r="Q25" s="20">
        <f>[1]Grp_1!P23</f>
        <v>0</v>
      </c>
      <c r="R25" s="20">
        <f>[1]Grp_1!Q23</f>
        <v>0</v>
      </c>
      <c r="S25" s="21">
        <f>[1]Grp_1!R23</f>
        <v>0</v>
      </c>
      <c r="T25" s="9"/>
      <c r="U25" s="9"/>
      <c r="V25" s="10"/>
    </row>
    <row r="26" spans="1:22">
      <c r="A26" s="2">
        <v>23</v>
      </c>
      <c r="B26" s="17" t="str">
        <f>[1]Grp_1!A24</f>
        <v>1114M</v>
      </c>
      <c r="C26" s="30" t="str">
        <f>[1]Grp_1!B24</f>
        <v>Simbotics</v>
      </c>
      <c r="D26" s="18" t="str">
        <f>[1]Grp_1!C24</f>
        <v>Governor Simcoe Secondary School</v>
      </c>
      <c r="E26" s="31" t="str">
        <f>[1]Grp_1!D24</f>
        <v>St Catharines, Ontario, Canada</v>
      </c>
      <c r="F26" s="34">
        <f>[1]Grp_1!E24</f>
        <v>320</v>
      </c>
      <c r="G26" s="19">
        <f>[1]Grp_1!F24</f>
        <v>291</v>
      </c>
      <c r="H26" s="37">
        <f>[1]Grp_1!G24</f>
        <v>132.738</v>
      </c>
      <c r="I26" s="38">
        <f>[1]Grp_1!H24</f>
        <v>123.08199999999999</v>
      </c>
      <c r="J26" s="20">
        <f>[1]Grp_1!I24</f>
        <v>31.989899999999999</v>
      </c>
      <c r="K26" s="20">
        <f>[1]Grp_1!J24</f>
        <v>132.738</v>
      </c>
      <c r="L26" s="20">
        <f>[1]Grp_1!K24</f>
        <v>0</v>
      </c>
      <c r="M26" s="20">
        <f>[1]Grp_1!L24</f>
        <v>0</v>
      </c>
      <c r="N26" s="20">
        <f>[1]Grp_1!M24</f>
        <v>0</v>
      </c>
      <c r="O26" s="20">
        <f>[1]Grp_1!N24</f>
        <v>0</v>
      </c>
      <c r="P26" s="20">
        <f>[1]Grp_1!O24</f>
        <v>0</v>
      </c>
      <c r="Q26" s="20">
        <f>[1]Grp_1!P24</f>
        <v>0</v>
      </c>
      <c r="R26" s="20">
        <f>[1]Grp_1!Q24</f>
        <v>0</v>
      </c>
      <c r="S26" s="21">
        <f>[1]Grp_1!R24</f>
        <v>0</v>
      </c>
      <c r="T26" s="9"/>
      <c r="U26" s="9"/>
      <c r="V26" s="10"/>
    </row>
    <row r="27" spans="1:22">
      <c r="A27" s="2">
        <v>24</v>
      </c>
      <c r="B27" s="17" t="str">
        <f>[1]Grp_1!A25</f>
        <v>1200F</v>
      </c>
      <c r="C27" s="30" t="str">
        <f>[1]Grp_1!B25</f>
        <v>1200F Z-Ballers</v>
      </c>
      <c r="D27" s="18" t="str">
        <f>[1]Grp_1!C25</f>
        <v>St. Mary Catholic High School</v>
      </c>
      <c r="E27" s="31" t="str">
        <f>[1]Grp_1!D25</f>
        <v>Neenah, Wisconsin, United States</v>
      </c>
      <c r="F27" s="34">
        <f>[1]Grp_1!E25</f>
        <v>318</v>
      </c>
      <c r="G27" s="19">
        <f>[1]Grp_1!F25</f>
        <v>155</v>
      </c>
      <c r="H27" s="37">
        <f>[1]Grp_1!G25</f>
        <v>87.565399999999997</v>
      </c>
      <c r="I27" s="38">
        <f>[1]Grp_1!H25</f>
        <v>86.377499999999998</v>
      </c>
      <c r="J27" s="20">
        <f>[1]Grp_1!I25</f>
        <v>71.084500000000006</v>
      </c>
      <c r="K27" s="20">
        <f>[1]Grp_1!J25</f>
        <v>83.334100000000007</v>
      </c>
      <c r="L27" s="20">
        <f>[1]Grp_1!K25</f>
        <v>64.665000000000006</v>
      </c>
      <c r="M27" s="20">
        <f>[1]Grp_1!L25</f>
        <v>87.565399999999997</v>
      </c>
      <c r="N27" s="20">
        <f>[1]Grp_1!M25</f>
        <v>54.281500000000001</v>
      </c>
      <c r="O27" s="20">
        <f>[1]Grp_1!N25</f>
        <v>79.992599999999996</v>
      </c>
      <c r="P27" s="20">
        <f>[1]Grp_1!O25</f>
        <v>47.991399999999999</v>
      </c>
      <c r="Q27" s="20">
        <f>[1]Grp_1!P25</f>
        <v>86.453500000000005</v>
      </c>
      <c r="R27" s="20">
        <f>[1]Grp_1!Q25</f>
        <v>49.219900000000003</v>
      </c>
      <c r="S27" s="21">
        <f>[1]Grp_1!R25</f>
        <v>0</v>
      </c>
      <c r="T27" s="9"/>
      <c r="U27" s="9"/>
      <c r="V27" s="10"/>
    </row>
    <row r="28" spans="1:22">
      <c r="A28" s="2">
        <v>25</v>
      </c>
      <c r="B28" s="17" t="str">
        <f>[1]Grp_1!A26</f>
        <v>1320C</v>
      </c>
      <c r="C28" s="30" t="str">
        <f>[1]Grp_1!B26</f>
        <v>Tucker High Robotigers</v>
      </c>
      <c r="D28" s="18" t="str">
        <f>[1]Grp_1!C26</f>
        <v>Tucker High School - DeKalb County School Sytem</v>
      </c>
      <c r="E28" s="31" t="str">
        <f>[1]Grp_1!D26</f>
        <v>Tucker, Georgia, United States</v>
      </c>
      <c r="F28" s="34">
        <f>[1]Grp_1!E26</f>
        <v>266</v>
      </c>
      <c r="G28" s="19">
        <f>[1]Grp_1!F26</f>
        <v>173</v>
      </c>
      <c r="H28" s="37">
        <f>[1]Grp_1!G26</f>
        <v>95.037099999999995</v>
      </c>
      <c r="I28" s="38">
        <f>[1]Grp_1!H26</f>
        <v>64.242500000000007</v>
      </c>
      <c r="J28" s="20">
        <f>[1]Grp_1!I26</f>
        <v>61.619700000000002</v>
      </c>
      <c r="K28" s="20">
        <f>[1]Grp_1!J26</f>
        <v>72.203000000000003</v>
      </c>
      <c r="L28" s="20">
        <f>[1]Grp_1!K26</f>
        <v>95.037099999999995</v>
      </c>
      <c r="M28" s="20">
        <f>[1]Grp_1!L26</f>
        <v>80.783900000000003</v>
      </c>
      <c r="N28" s="20">
        <f>[1]Grp_1!M26</f>
        <v>38.0137</v>
      </c>
      <c r="O28" s="20">
        <f>[1]Grp_1!N26</f>
        <v>0</v>
      </c>
      <c r="P28" s="20">
        <f>[1]Grp_1!O26</f>
        <v>0</v>
      </c>
      <c r="Q28" s="20">
        <f>[1]Grp_1!P26</f>
        <v>0</v>
      </c>
      <c r="R28" s="20">
        <f>[1]Grp_1!Q26</f>
        <v>0</v>
      </c>
      <c r="S28" s="21">
        <f>[1]Grp_1!R26</f>
        <v>0</v>
      </c>
      <c r="T28" s="9"/>
      <c r="U28" s="9"/>
      <c r="V28" s="10"/>
    </row>
    <row r="29" spans="1:22">
      <c r="A29" s="2">
        <v>26</v>
      </c>
      <c r="B29" s="17" t="str">
        <f>[1]Grp_1!A27</f>
        <v>1356B</v>
      </c>
      <c r="C29" s="30" t="str">
        <f>[1]Grp_1!B27</f>
        <v>Parkview Panthers Team B</v>
      </c>
      <c r="D29" s="18" t="str">
        <f>[1]Grp_1!C27</f>
        <v>Parkview High School - Gwinnett</v>
      </c>
      <c r="E29" s="31" t="str">
        <f>[1]Grp_1!D27</f>
        <v>Lilburn, Georgia, United States</v>
      </c>
      <c r="F29" s="34">
        <f>[1]Grp_1!E27</f>
        <v>303</v>
      </c>
      <c r="G29" s="19">
        <f>[1]Grp_1!F27</f>
        <v>10</v>
      </c>
      <c r="H29" s="37">
        <f>[1]Grp_1!G27</f>
        <v>94.680400000000006</v>
      </c>
      <c r="I29" s="38">
        <f>[1]Grp_1!H27</f>
        <v>94.680400000000006</v>
      </c>
      <c r="J29" s="20">
        <f>[1]Grp_1!I27</f>
        <v>38.5809</v>
      </c>
      <c r="K29" s="20">
        <f>[1]Grp_1!J27</f>
        <v>37.7209</v>
      </c>
      <c r="L29" s="20">
        <f>[1]Grp_1!K27</f>
        <v>46.5047</v>
      </c>
      <c r="M29" s="20">
        <f>[1]Grp_1!L27</f>
        <v>58.5548</v>
      </c>
      <c r="N29" s="20">
        <f>[1]Grp_1!M27</f>
        <v>19.010200000000001</v>
      </c>
      <c r="O29" s="20">
        <f>[1]Grp_1!N27</f>
        <v>9.5456699999999994</v>
      </c>
      <c r="P29" s="20">
        <f>[1]Grp_1!O27</f>
        <v>0</v>
      </c>
      <c r="Q29" s="20">
        <f>[1]Grp_1!P27</f>
        <v>0</v>
      </c>
      <c r="R29" s="20">
        <f>[1]Grp_1!Q27</f>
        <v>0</v>
      </c>
      <c r="S29" s="21">
        <f>[1]Grp_1!R27</f>
        <v>0</v>
      </c>
      <c r="T29" s="9"/>
      <c r="U29" s="9"/>
      <c r="V29" s="10"/>
    </row>
    <row r="30" spans="1:22">
      <c r="A30" s="2">
        <v>27</v>
      </c>
      <c r="B30" s="17" t="str">
        <f>[1]Grp_1!A28</f>
        <v>1410L</v>
      </c>
      <c r="C30" s="30" t="str">
        <f>[1]Grp_1!B28</f>
        <v>Utopic Unicorns</v>
      </c>
      <c r="D30" s="18" t="str">
        <f>[1]Grp_1!C28</f>
        <v>Newport and Interlake HS</v>
      </c>
      <c r="E30" s="31" t="str">
        <f>[1]Grp_1!D28</f>
        <v>Bellevue, Washington, United States</v>
      </c>
      <c r="F30" s="34">
        <f>[1]Grp_1!E28</f>
        <v>280</v>
      </c>
      <c r="G30" s="19">
        <f>[1]Grp_1!F28</f>
        <v>295</v>
      </c>
      <c r="H30" s="37">
        <f>[1]Grp_1!G28</f>
        <v>119.976</v>
      </c>
      <c r="I30" s="38">
        <f>[1]Grp_1!H28</f>
        <v>114.49</v>
      </c>
      <c r="J30" s="20">
        <f>[1]Grp_1!I28</f>
        <v>96.1798</v>
      </c>
      <c r="K30" s="20">
        <f>[1]Grp_1!J28</f>
        <v>108.34099999999999</v>
      </c>
      <c r="L30" s="20">
        <f>[1]Grp_1!K28</f>
        <v>119.976</v>
      </c>
      <c r="M30" s="20">
        <f>[1]Grp_1!L28</f>
        <v>36.528100000000002</v>
      </c>
      <c r="N30" s="20">
        <f>[1]Grp_1!M28</f>
        <v>52.006999999999998</v>
      </c>
      <c r="O30" s="20">
        <f>[1]Grp_1!N28</f>
        <v>0</v>
      </c>
      <c r="P30" s="20">
        <f>[1]Grp_1!O28</f>
        <v>0</v>
      </c>
      <c r="Q30" s="20">
        <f>[1]Grp_1!P28</f>
        <v>0</v>
      </c>
      <c r="R30" s="20">
        <f>[1]Grp_1!Q28</f>
        <v>0</v>
      </c>
      <c r="S30" s="21">
        <f>[1]Grp_1!R28</f>
        <v>0</v>
      </c>
      <c r="T30" s="9"/>
      <c r="U30" s="9"/>
      <c r="V30" s="10"/>
    </row>
    <row r="31" spans="1:22">
      <c r="A31" s="2">
        <v>28</v>
      </c>
      <c r="B31" s="17" t="str">
        <f>[1]Grp_1!A29</f>
        <v>1492X</v>
      </c>
      <c r="C31" s="30" t="str">
        <f>[1]Grp_1!B29</f>
        <v>W.A.S.A.B.I.</v>
      </c>
      <c r="D31" s="18" t="str">
        <f>[1]Grp_1!C29</f>
        <v>Big Brains Education</v>
      </c>
      <c r="E31" s="31" t="str">
        <f>[1]Grp_1!D29</f>
        <v>Bellevue, Washington, United States</v>
      </c>
      <c r="F31" s="34">
        <f>[1]Grp_1!E29</f>
        <v>274</v>
      </c>
      <c r="G31" s="19">
        <f>[1]Grp_1!F29</f>
        <v>111</v>
      </c>
      <c r="H31" s="37">
        <f>[1]Grp_1!G29</f>
        <v>81.234700000000004</v>
      </c>
      <c r="I31" s="38">
        <f>[1]Grp_1!H29</f>
        <v>35.572200000000002</v>
      </c>
      <c r="J31" s="20">
        <f>[1]Grp_1!I29</f>
        <v>81.234700000000004</v>
      </c>
      <c r="K31" s="20">
        <f>[1]Grp_1!J29</f>
        <v>62.0122</v>
      </c>
      <c r="L31" s="20">
        <f>[1]Grp_1!K29</f>
        <v>55.885599999999997</v>
      </c>
      <c r="M31" s="20">
        <f>[1]Grp_1!L29</f>
        <v>19.780799999999999</v>
      </c>
      <c r="N31" s="20">
        <f>[1]Grp_1!M29</f>
        <v>35.318399999999997</v>
      </c>
      <c r="O31" s="20">
        <f>[1]Grp_1!N29</f>
        <v>15.5799</v>
      </c>
      <c r="P31" s="20">
        <f>[1]Grp_1!O29</f>
        <v>0</v>
      </c>
      <c r="Q31" s="20">
        <f>[1]Grp_1!P29</f>
        <v>0</v>
      </c>
      <c r="R31" s="20">
        <f>[1]Grp_1!Q29</f>
        <v>0</v>
      </c>
      <c r="S31" s="21">
        <f>[1]Grp_1!R29</f>
        <v>0</v>
      </c>
      <c r="T31" s="9"/>
      <c r="U31" s="9"/>
      <c r="V31" s="10"/>
    </row>
    <row r="32" spans="1:22">
      <c r="A32" s="2">
        <v>29</v>
      </c>
      <c r="B32" s="17" t="str">
        <f>[1]Grp_1!A30</f>
        <v>1575A</v>
      </c>
      <c r="C32" s="30" t="str">
        <f>[1]Grp_1!B30</f>
        <v>Athena</v>
      </c>
      <c r="D32" s="18" t="str">
        <f>[1]Grp_1!C30</f>
        <v>Woodbridge Senior High School</v>
      </c>
      <c r="E32" s="31" t="str">
        <f>[1]Grp_1!D30</f>
        <v>Woodbridge, Virginia, United States</v>
      </c>
      <c r="F32" s="34">
        <f>[1]Grp_1!E30</f>
        <v>271</v>
      </c>
      <c r="G32" s="19">
        <f>[1]Grp_1!F30</f>
        <v>250</v>
      </c>
      <c r="H32" s="37">
        <f>[1]Grp_1!G30</f>
        <v>149.38300000000001</v>
      </c>
      <c r="I32" s="38">
        <f>[1]Grp_1!H30</f>
        <v>102.536</v>
      </c>
      <c r="J32" s="20">
        <f>[1]Grp_1!I30</f>
        <v>113.19199999999999</v>
      </c>
      <c r="K32" s="20">
        <f>[1]Grp_1!J30</f>
        <v>149.38300000000001</v>
      </c>
      <c r="L32" s="20">
        <f>[1]Grp_1!K30</f>
        <v>90.935000000000002</v>
      </c>
      <c r="M32" s="20">
        <f>[1]Grp_1!L30</f>
        <v>41.176499999999997</v>
      </c>
      <c r="N32" s="20">
        <f>[1]Grp_1!M30</f>
        <v>65.584900000000005</v>
      </c>
      <c r="O32" s="20">
        <f>[1]Grp_1!N30</f>
        <v>49.987400000000001</v>
      </c>
      <c r="P32" s="20">
        <f>[1]Grp_1!O30</f>
        <v>0</v>
      </c>
      <c r="Q32" s="20">
        <f>[1]Grp_1!P30</f>
        <v>0</v>
      </c>
      <c r="R32" s="20">
        <f>[1]Grp_1!Q30</f>
        <v>0</v>
      </c>
      <c r="S32" s="21">
        <f>[1]Grp_1!R30</f>
        <v>0</v>
      </c>
      <c r="T32" s="9"/>
      <c r="U32" s="9"/>
      <c r="V32" s="10"/>
    </row>
    <row r="33" spans="1:22">
      <c r="A33" s="2">
        <v>30</v>
      </c>
      <c r="B33" s="17" t="str">
        <f>[1]Grp_1!A31</f>
        <v>1588B</v>
      </c>
      <c r="C33" s="30" t="str">
        <f>[1]Grp_1!B31</f>
        <v>Wayne Enterprises</v>
      </c>
      <c r="D33" s="18" t="str">
        <f>[1]Grp_1!C31</f>
        <v>Wood River High School</v>
      </c>
      <c r="E33" s="31" t="str">
        <f>[1]Grp_1!D31</f>
        <v>Hailey, Idaho, United States</v>
      </c>
      <c r="F33" s="34">
        <f>[1]Grp_1!E31</f>
        <v>0</v>
      </c>
      <c r="G33" s="19">
        <f>[1]Grp_1!F31</f>
        <v>0</v>
      </c>
      <c r="H33" s="37">
        <f>[1]Grp_1!G31</f>
        <v>118.71899999999999</v>
      </c>
      <c r="I33" s="38">
        <f>[1]Grp_1!H31</f>
        <v>91.709299999999999</v>
      </c>
      <c r="J33" s="20">
        <f>[1]Grp_1!I31</f>
        <v>103.608</v>
      </c>
      <c r="K33" s="20">
        <f>[1]Grp_1!J31</f>
        <v>118.71899999999999</v>
      </c>
      <c r="L33" s="20">
        <f>[1]Grp_1!K31</f>
        <v>76.202699999999993</v>
      </c>
      <c r="M33" s="20">
        <f>[1]Grp_1!L31</f>
        <v>91.826700000000002</v>
      </c>
      <c r="N33" s="20">
        <f>[1]Grp_1!M31</f>
        <v>38.032400000000003</v>
      </c>
      <c r="O33" s="20">
        <f>[1]Grp_1!N31</f>
        <v>0</v>
      </c>
      <c r="P33" s="20">
        <f>[1]Grp_1!O31</f>
        <v>0</v>
      </c>
      <c r="Q33" s="20">
        <f>[1]Grp_1!P31</f>
        <v>0</v>
      </c>
      <c r="R33" s="20">
        <f>[1]Grp_1!Q31</f>
        <v>0</v>
      </c>
      <c r="S33" s="21">
        <f>[1]Grp_1!R31</f>
        <v>0</v>
      </c>
      <c r="T33" s="9"/>
      <c r="U33" s="9"/>
      <c r="V33" s="10"/>
    </row>
    <row r="34" spans="1:22">
      <c r="A34" s="2">
        <v>31</v>
      </c>
      <c r="B34" s="17" t="str">
        <f>[1]Grp_1!A32</f>
        <v>1826</v>
      </c>
      <c r="C34" s="30" t="str">
        <f>[1]Grp_1!B32</f>
        <v>The Fuse</v>
      </c>
      <c r="D34" s="18" t="str">
        <f>[1]Grp_1!C32</f>
        <v>Faith Christian Academy</v>
      </c>
      <c r="E34" s="31" t="str">
        <f>[1]Grp_1!D32</f>
        <v>Arvada, Colorado, United States</v>
      </c>
      <c r="F34" s="34">
        <f>[1]Grp_1!E32</f>
        <v>286</v>
      </c>
      <c r="G34" s="19">
        <f>[1]Grp_1!F32</f>
        <v>321</v>
      </c>
      <c r="H34" s="37">
        <f>[1]Grp_1!G32</f>
        <v>117.806</v>
      </c>
      <c r="I34" s="38">
        <f>[1]Grp_1!H32</f>
        <v>104.565</v>
      </c>
      <c r="J34" s="20">
        <f>[1]Grp_1!I32</f>
        <v>113.861</v>
      </c>
      <c r="K34" s="20">
        <f>[1]Grp_1!J32</f>
        <v>105.074</v>
      </c>
      <c r="L34" s="20">
        <f>[1]Grp_1!K32</f>
        <v>117.806</v>
      </c>
      <c r="M34" s="20">
        <f>[1]Grp_1!L32</f>
        <v>78.166799999999995</v>
      </c>
      <c r="N34" s="20">
        <f>[1]Grp_1!M32</f>
        <v>0</v>
      </c>
      <c r="O34" s="20">
        <f>[1]Grp_1!N32</f>
        <v>0</v>
      </c>
      <c r="P34" s="20">
        <f>[1]Grp_1!O32</f>
        <v>0</v>
      </c>
      <c r="Q34" s="20">
        <f>[1]Grp_1!P32</f>
        <v>0</v>
      </c>
      <c r="R34" s="20">
        <f>[1]Grp_1!Q32</f>
        <v>0</v>
      </c>
      <c r="S34" s="21">
        <f>[1]Grp_1!R32</f>
        <v>0</v>
      </c>
      <c r="T34" s="9"/>
      <c r="U34" s="9"/>
      <c r="V34" s="10"/>
    </row>
    <row r="35" spans="1:22">
      <c r="A35" s="2">
        <v>32</v>
      </c>
      <c r="B35" s="17" t="str">
        <f>[1]Grp_1!A33</f>
        <v>1970K</v>
      </c>
      <c r="C35" s="30" t="str">
        <f>[1]Grp_1!B33</f>
        <v>Knight Shift</v>
      </c>
      <c r="D35" s="18" t="str">
        <f>[1]Grp_1!C33</f>
        <v>Mount Michael Benedictine High School</v>
      </c>
      <c r="E35" s="31" t="str">
        <f>[1]Grp_1!D33</f>
        <v>Elkhorn, Nebraska, United States</v>
      </c>
      <c r="F35" s="34">
        <f>[1]Grp_1!E33</f>
        <v>297</v>
      </c>
      <c r="G35" s="19">
        <f>[1]Grp_1!F33</f>
        <v>302</v>
      </c>
      <c r="H35" s="37">
        <f>[1]Grp_1!G33</f>
        <v>89.0488</v>
      </c>
      <c r="I35" s="38">
        <f>[1]Grp_1!H33</f>
        <v>88.721800000000002</v>
      </c>
      <c r="J35" s="20">
        <f>[1]Grp_1!I33</f>
        <v>89.0488</v>
      </c>
      <c r="K35" s="20">
        <f>[1]Grp_1!J33</f>
        <v>75.042400000000001</v>
      </c>
      <c r="L35" s="20">
        <f>[1]Grp_1!K33</f>
        <v>47.041699999999999</v>
      </c>
      <c r="M35" s="20">
        <f>[1]Grp_1!L33</f>
        <v>33.590000000000003</v>
      </c>
      <c r="N35" s="20">
        <f>[1]Grp_1!M33</f>
        <v>66.888000000000005</v>
      </c>
      <c r="O35" s="20">
        <f>[1]Grp_1!N33</f>
        <v>51.243099999999998</v>
      </c>
      <c r="P35" s="20">
        <f>[1]Grp_1!O33</f>
        <v>0</v>
      </c>
      <c r="Q35" s="20">
        <f>[1]Grp_1!P33</f>
        <v>0</v>
      </c>
      <c r="R35" s="20">
        <f>[1]Grp_1!Q33</f>
        <v>0</v>
      </c>
      <c r="S35" s="21">
        <f>[1]Grp_1!R33</f>
        <v>0</v>
      </c>
      <c r="T35" s="9"/>
      <c r="U35" s="9"/>
      <c r="V35" s="10"/>
    </row>
    <row r="36" spans="1:22">
      <c r="A36" s="2">
        <v>33</v>
      </c>
      <c r="B36" s="17" t="str">
        <f>[1]Grp_1!A34</f>
        <v>2059A</v>
      </c>
      <c r="C36" s="30" t="str">
        <f>[1]Grp_1!B34</f>
        <v>Matadors</v>
      </c>
      <c r="D36" s="18" t="str">
        <f>[1]Grp_1!C34</f>
        <v>Mira Loma High School</v>
      </c>
      <c r="E36" s="31" t="str">
        <f>[1]Grp_1!D34</f>
        <v>Sacramento, California, United States</v>
      </c>
      <c r="F36" s="34">
        <f>[1]Grp_1!E34</f>
        <v>248</v>
      </c>
      <c r="G36" s="19">
        <f>[1]Grp_1!F34</f>
        <v>325</v>
      </c>
      <c r="H36" s="37">
        <f>[1]Grp_1!G34</f>
        <v>63.3688</v>
      </c>
      <c r="I36" s="38">
        <f>[1]Grp_1!H34</f>
        <v>30.977799999999998</v>
      </c>
      <c r="J36" s="20">
        <f>[1]Grp_1!I34</f>
        <v>19.994499999999999</v>
      </c>
      <c r="K36" s="20">
        <f>[1]Grp_1!J34</f>
        <v>42.509500000000003</v>
      </c>
      <c r="L36" s="20">
        <f>[1]Grp_1!K34</f>
        <v>63.3688</v>
      </c>
      <c r="M36" s="20">
        <f>[1]Grp_1!L34</f>
        <v>0</v>
      </c>
      <c r="N36" s="20">
        <f>[1]Grp_1!M34</f>
        <v>0</v>
      </c>
      <c r="O36" s="20">
        <f>[1]Grp_1!N34</f>
        <v>0</v>
      </c>
      <c r="P36" s="20">
        <f>[1]Grp_1!O34</f>
        <v>0</v>
      </c>
      <c r="Q36" s="20">
        <f>[1]Grp_1!P34</f>
        <v>0</v>
      </c>
      <c r="R36" s="20">
        <f>[1]Grp_1!Q34</f>
        <v>0</v>
      </c>
      <c r="S36" s="21">
        <f>[1]Grp_1!R34</f>
        <v>0</v>
      </c>
      <c r="T36" s="9"/>
      <c r="U36" s="9"/>
      <c r="V36" s="10"/>
    </row>
    <row r="37" spans="1:22">
      <c r="A37" s="2">
        <v>34</v>
      </c>
      <c r="B37" s="17" t="str">
        <f>[1]Grp_1!A35</f>
        <v>2131E</v>
      </c>
      <c r="C37" s="30" t="str">
        <f>[1]Grp_1!B35</f>
        <v>How do you turn this on?</v>
      </c>
      <c r="D37" s="18" t="str">
        <f>[1]Grp_1!C35</f>
        <v>Davis High School</v>
      </c>
      <c r="E37" s="31" t="str">
        <f>[1]Grp_1!D35</f>
        <v>Kaysville, Utah, United States</v>
      </c>
      <c r="F37" s="34">
        <f>[1]Grp_1!E35</f>
        <v>325</v>
      </c>
      <c r="G37" s="19">
        <f>[1]Grp_1!F35</f>
        <v>296</v>
      </c>
      <c r="H37" s="37">
        <f>[1]Grp_1!G35</f>
        <v>146.57400000000001</v>
      </c>
      <c r="I37" s="38">
        <f>[1]Grp_1!H35</f>
        <v>0</v>
      </c>
      <c r="J37" s="20">
        <f>[1]Grp_1!I35</f>
        <v>71.516499999999994</v>
      </c>
      <c r="K37" s="20">
        <f>[1]Grp_1!J35</f>
        <v>93.179000000000002</v>
      </c>
      <c r="L37" s="20">
        <f>[1]Grp_1!K35</f>
        <v>89.042100000000005</v>
      </c>
      <c r="M37" s="20">
        <f>[1]Grp_1!L35</f>
        <v>113.093</v>
      </c>
      <c r="N37" s="20">
        <f>[1]Grp_1!M35</f>
        <v>126.337</v>
      </c>
      <c r="O37" s="20">
        <f>[1]Grp_1!N35</f>
        <v>123.038</v>
      </c>
      <c r="P37" s="20">
        <f>[1]Grp_1!O35</f>
        <v>111.53700000000001</v>
      </c>
      <c r="Q37" s="20">
        <f>[1]Grp_1!P35</f>
        <v>129.94800000000001</v>
      </c>
      <c r="R37" s="20">
        <f>[1]Grp_1!Q35</f>
        <v>146.57400000000001</v>
      </c>
      <c r="S37" s="21">
        <f>[1]Grp_1!R35</f>
        <v>123.547</v>
      </c>
      <c r="T37" s="9"/>
      <c r="U37" s="9"/>
      <c r="V37" s="10"/>
    </row>
    <row r="38" spans="1:22">
      <c r="A38" s="2">
        <v>35</v>
      </c>
      <c r="B38" s="17" t="str">
        <f>[1]Grp_1!A36</f>
        <v>2223A</v>
      </c>
      <c r="C38" s="30" t="str">
        <f>[1]Grp_1!B36</f>
        <v>U.H.S. - ADV HS A</v>
      </c>
      <c r="D38" s="18" t="str">
        <f>[1]Grp_1!C36</f>
        <v>U.H.S.</v>
      </c>
      <c r="E38" s="31" t="str">
        <f>[1]Grp_1!D36</f>
        <v>San Juan, Not Applicable or Not Listed, Puerto Rico</v>
      </c>
      <c r="F38" s="34">
        <f>[1]Grp_1!E36</f>
        <v>144</v>
      </c>
      <c r="G38" s="19">
        <f>[1]Grp_1!F36</f>
        <v>86</v>
      </c>
      <c r="H38" s="37">
        <f>[1]Grp_1!G36</f>
        <v>111.355</v>
      </c>
      <c r="I38" s="38">
        <f>[1]Grp_1!H36</f>
        <v>72.239599999999996</v>
      </c>
      <c r="J38" s="20">
        <f>[1]Grp_1!I36</f>
        <v>111.355</v>
      </c>
      <c r="K38" s="20">
        <f>[1]Grp_1!J36</f>
        <v>83.601699999999994</v>
      </c>
      <c r="L38" s="20">
        <f>[1]Grp_1!K36</f>
        <v>0</v>
      </c>
      <c r="M38" s="20">
        <f>[1]Grp_1!L36</f>
        <v>0</v>
      </c>
      <c r="N38" s="20">
        <f>[1]Grp_1!M36</f>
        <v>0</v>
      </c>
      <c r="O38" s="20">
        <f>[1]Grp_1!N36</f>
        <v>0</v>
      </c>
      <c r="P38" s="20">
        <f>[1]Grp_1!O36</f>
        <v>0</v>
      </c>
      <c r="Q38" s="20">
        <f>[1]Grp_1!P36</f>
        <v>0</v>
      </c>
      <c r="R38" s="20">
        <f>[1]Grp_1!Q36</f>
        <v>0</v>
      </c>
      <c r="S38" s="21">
        <f>[1]Grp_1!R36</f>
        <v>0</v>
      </c>
      <c r="T38" s="9"/>
      <c r="U38" s="9"/>
      <c r="V38" s="10"/>
    </row>
    <row r="39" spans="1:22">
      <c r="A39" s="2">
        <v>36</v>
      </c>
      <c r="B39" s="17" t="str">
        <f>[1]Grp_1!A37</f>
        <v>2398D</v>
      </c>
      <c r="C39" s="30" t="str">
        <f>[1]Grp_1!B37</f>
        <v>AI's - Delta</v>
      </c>
      <c r="D39" s="18" t="str">
        <f>[1]Grp_1!C37</f>
        <v>Sequoyah Schools</v>
      </c>
      <c r="E39" s="31" t="str">
        <f>[1]Grp_1!D37</f>
        <v>Tahlequah, Oklahoma, United States</v>
      </c>
      <c r="F39" s="34">
        <f>[1]Grp_1!E37</f>
        <v>80</v>
      </c>
      <c r="G39" s="19">
        <f>[1]Grp_1!F37</f>
        <v>85</v>
      </c>
      <c r="H39" s="37">
        <f>[1]Grp_1!G37</f>
        <v>102.578</v>
      </c>
      <c r="I39" s="38">
        <f>[1]Grp_1!H37</f>
        <v>58.474299999999999</v>
      </c>
      <c r="J39" s="20">
        <f>[1]Grp_1!I37</f>
        <v>60.206000000000003</v>
      </c>
      <c r="K39" s="20">
        <f>[1]Grp_1!J37</f>
        <v>102.578</v>
      </c>
      <c r="L39" s="20">
        <f>[1]Grp_1!K37</f>
        <v>32.4193</v>
      </c>
      <c r="M39" s="20">
        <f>[1]Grp_1!L37</f>
        <v>0</v>
      </c>
      <c r="N39" s="20">
        <f>[1]Grp_1!M37</f>
        <v>0</v>
      </c>
      <c r="O39" s="20">
        <f>[1]Grp_1!N37</f>
        <v>0</v>
      </c>
      <c r="P39" s="20">
        <f>[1]Grp_1!O37</f>
        <v>0</v>
      </c>
      <c r="Q39" s="20">
        <f>[1]Grp_1!P37</f>
        <v>0</v>
      </c>
      <c r="R39" s="20">
        <f>[1]Grp_1!Q37</f>
        <v>0</v>
      </c>
      <c r="S39" s="21">
        <f>[1]Grp_1!R37</f>
        <v>0</v>
      </c>
      <c r="T39" s="9"/>
      <c r="U39" s="9"/>
      <c r="V39" s="10"/>
    </row>
    <row r="40" spans="1:22">
      <c r="A40" s="2">
        <v>37</v>
      </c>
      <c r="B40" s="17" t="str">
        <f>[1]Grp_1!A38</f>
        <v>2501J</v>
      </c>
      <c r="C40" s="30" t="str">
        <f>[1]Grp_1!B38</f>
        <v>Full Metal Jackets</v>
      </c>
      <c r="D40" s="18" t="str">
        <f>[1]Grp_1!C38</f>
        <v>Thomas Jefferson High School</v>
      </c>
      <c r="E40" s="31" t="str">
        <f>[1]Grp_1!D38</f>
        <v>Council Bluffs, Iowa, United States</v>
      </c>
      <c r="F40" s="34">
        <f>[1]Grp_1!E38</f>
        <v>320</v>
      </c>
      <c r="G40" s="19">
        <f>[1]Grp_1!F38</f>
        <v>305</v>
      </c>
      <c r="H40" s="37">
        <f>[1]Grp_1!G38</f>
        <v>159.93700000000001</v>
      </c>
      <c r="I40" s="38">
        <f>[1]Grp_1!H38</f>
        <v>96.953900000000004</v>
      </c>
      <c r="J40" s="20">
        <f>[1]Grp_1!I38</f>
        <v>109.473</v>
      </c>
      <c r="K40" s="20">
        <f>[1]Grp_1!J38</f>
        <v>159.93700000000001</v>
      </c>
      <c r="L40" s="20">
        <f>[1]Grp_1!K38</f>
        <v>103.727</v>
      </c>
      <c r="M40" s="20">
        <f>[1]Grp_1!L38</f>
        <v>67.284599999999998</v>
      </c>
      <c r="N40" s="20">
        <f>[1]Grp_1!M38</f>
        <v>129.785</v>
      </c>
      <c r="O40" s="20">
        <f>[1]Grp_1!N38</f>
        <v>105.926</v>
      </c>
      <c r="P40" s="20">
        <f>[1]Grp_1!O38</f>
        <v>102.877</v>
      </c>
      <c r="Q40" s="20">
        <f>[1]Grp_1!P38</f>
        <v>82.574200000000005</v>
      </c>
      <c r="R40" s="20">
        <f>[1]Grp_1!Q38</f>
        <v>68.384500000000003</v>
      </c>
      <c r="S40" s="21">
        <f>[1]Grp_1!R38</f>
        <v>85.137</v>
      </c>
      <c r="T40" s="9"/>
      <c r="U40" s="9"/>
      <c r="V40" s="10"/>
    </row>
    <row r="41" spans="1:22">
      <c r="A41" s="2">
        <v>38</v>
      </c>
      <c r="B41" s="17" t="str">
        <f>[1]Grp_1!A39</f>
        <v>2587Z</v>
      </c>
      <c r="C41" s="30" t="str">
        <f>[1]Grp_1!B39</f>
        <v>DiscoBots ℤ - 🍁 #pray4tamas</v>
      </c>
      <c r="D41" s="18" t="str">
        <f>[1]Grp_1!C39</f>
        <v>🏀 DiscoBots 🏀</v>
      </c>
      <c r="E41" s="31" t="str">
        <f>[1]Grp_1!D39</f>
        <v>Houston, Texas, United States</v>
      </c>
      <c r="F41" s="34">
        <f>[1]Grp_1!E39</f>
        <v>457</v>
      </c>
      <c r="G41" s="19">
        <f>[1]Grp_1!F39</f>
        <v>160</v>
      </c>
      <c r="H41" s="37">
        <f>[1]Grp_1!G39</f>
        <v>147.64500000000001</v>
      </c>
      <c r="I41" s="38">
        <f>[1]Grp_1!H39</f>
        <v>123.07</v>
      </c>
      <c r="J41" s="20">
        <f>[1]Grp_1!I39</f>
        <v>147.64500000000001</v>
      </c>
      <c r="K41" s="20">
        <f>[1]Grp_1!J39</f>
        <v>85.149299999999997</v>
      </c>
      <c r="L41" s="20">
        <f>[1]Grp_1!K39</f>
        <v>0</v>
      </c>
      <c r="M41" s="20">
        <f>[1]Grp_1!L39</f>
        <v>0</v>
      </c>
      <c r="N41" s="20">
        <f>[1]Grp_1!M39</f>
        <v>0</v>
      </c>
      <c r="O41" s="20">
        <f>[1]Grp_1!N39</f>
        <v>0</v>
      </c>
      <c r="P41" s="20">
        <f>[1]Grp_1!O39</f>
        <v>0</v>
      </c>
      <c r="Q41" s="20">
        <f>[1]Grp_1!P39</f>
        <v>0</v>
      </c>
      <c r="R41" s="20">
        <f>[1]Grp_1!Q39</f>
        <v>0</v>
      </c>
      <c r="S41" s="21">
        <f>[1]Grp_1!R39</f>
        <v>0</v>
      </c>
      <c r="T41" s="9"/>
      <c r="U41" s="9"/>
      <c r="V41" s="10"/>
    </row>
    <row r="42" spans="1:22">
      <c r="A42" s="2">
        <v>39</v>
      </c>
      <c r="B42" s="17" t="str">
        <f>[1]Grp_1!A40</f>
        <v>2719C</v>
      </c>
      <c r="C42" s="30" t="str">
        <f>[1]Grp_1!B40</f>
        <v>The Mike Wang Experience</v>
      </c>
      <c r="D42" s="18" t="str">
        <f>[1]Grp_1!C40</f>
        <v>Triton Central High School</v>
      </c>
      <c r="E42" s="31" t="str">
        <f>[1]Grp_1!D40</f>
        <v>Fairland, Indiana, United States</v>
      </c>
      <c r="F42" s="34">
        <f>[1]Grp_1!E40</f>
        <v>325</v>
      </c>
      <c r="G42" s="19">
        <f>[1]Grp_1!F40</f>
        <v>315</v>
      </c>
      <c r="H42" s="37">
        <f>[1]Grp_1!G40</f>
        <v>151.34100000000001</v>
      </c>
      <c r="I42" s="38">
        <f>[1]Grp_1!H40</f>
        <v>96.649199999999993</v>
      </c>
      <c r="J42" s="20">
        <f>[1]Grp_1!I40</f>
        <v>134.45599999999999</v>
      </c>
      <c r="K42" s="20">
        <f>[1]Grp_1!J40</f>
        <v>128.71299999999999</v>
      </c>
      <c r="L42" s="20">
        <f>[1]Grp_1!K40</f>
        <v>151.34100000000001</v>
      </c>
      <c r="M42" s="20">
        <f>[1]Grp_1!L40</f>
        <v>120.943</v>
      </c>
      <c r="N42" s="20">
        <f>[1]Grp_1!M40</f>
        <v>81.594700000000003</v>
      </c>
      <c r="O42" s="20">
        <f>[1]Grp_1!N40</f>
        <v>62.901400000000002</v>
      </c>
      <c r="P42" s="20">
        <f>[1]Grp_1!O40</f>
        <v>23.585599999999999</v>
      </c>
      <c r="Q42" s="20">
        <f>[1]Grp_1!P40</f>
        <v>0</v>
      </c>
      <c r="R42" s="20">
        <f>[1]Grp_1!Q40</f>
        <v>0</v>
      </c>
      <c r="S42" s="21">
        <f>[1]Grp_1!R40</f>
        <v>0</v>
      </c>
      <c r="T42" s="9"/>
      <c r="U42" s="9"/>
      <c r="V42" s="10"/>
    </row>
    <row r="43" spans="1:22">
      <c r="A43" s="2">
        <v>40</v>
      </c>
      <c r="B43" s="17" t="str">
        <f>[1]Grp_1!A41</f>
        <v>2918A</v>
      </c>
      <c r="C43" s="30" t="str">
        <f>[1]Grp_1!B41</f>
        <v>GCEC A</v>
      </c>
      <c r="D43" s="18" t="str">
        <f>[1]Grp_1!C41</f>
        <v>Glenfield College</v>
      </c>
      <c r="E43" s="31" t="str">
        <f>[1]Grp_1!D41</f>
        <v>Glenfield, Not Applicable or Not Listed, New Zealand</v>
      </c>
      <c r="F43" s="34">
        <f>[1]Grp_1!E41</f>
        <v>0</v>
      </c>
      <c r="G43" s="19">
        <f>[1]Grp_1!F41</f>
        <v>0</v>
      </c>
      <c r="H43" s="37">
        <f>[1]Grp_1!G41</f>
        <v>107.33199999999999</v>
      </c>
      <c r="I43" s="38">
        <f>[1]Grp_1!H41</f>
        <v>83.511099999999999</v>
      </c>
      <c r="J43" s="20">
        <f>[1]Grp_1!I41</f>
        <v>107.33199999999999</v>
      </c>
      <c r="K43" s="20">
        <f>[1]Grp_1!J41</f>
        <v>74.302800000000005</v>
      </c>
      <c r="L43" s="20">
        <f>[1]Grp_1!K41</f>
        <v>0</v>
      </c>
      <c r="M43" s="20">
        <f>[1]Grp_1!L41</f>
        <v>0</v>
      </c>
      <c r="N43" s="20">
        <f>[1]Grp_1!M41</f>
        <v>0</v>
      </c>
      <c r="O43" s="20">
        <f>[1]Grp_1!N41</f>
        <v>0</v>
      </c>
      <c r="P43" s="20">
        <f>[1]Grp_1!O41</f>
        <v>0</v>
      </c>
      <c r="Q43" s="20">
        <f>[1]Grp_1!P41</f>
        <v>0</v>
      </c>
      <c r="R43" s="20">
        <f>[1]Grp_1!Q41</f>
        <v>0</v>
      </c>
      <c r="S43" s="21">
        <f>[1]Grp_1!R41</f>
        <v>0</v>
      </c>
      <c r="T43" s="9"/>
      <c r="U43" s="9"/>
      <c r="V43" s="10"/>
    </row>
    <row r="44" spans="1:22">
      <c r="A44" s="2">
        <v>41</v>
      </c>
      <c r="B44" s="17" t="str">
        <f>[1]Grp_1!A42</f>
        <v>3118A</v>
      </c>
      <c r="C44" s="30" t="str">
        <f>[1]Grp_1!B42</f>
        <v>IVEX</v>
      </c>
      <c r="D44" s="18" t="str">
        <f>[1]Grp_1!C42</f>
        <v>Clear Creek ISD</v>
      </c>
      <c r="E44" s="31" t="str">
        <f>[1]Grp_1!D42</f>
        <v>League City, Texas, United States</v>
      </c>
      <c r="F44" s="34">
        <f>[1]Grp_1!E42</f>
        <v>346</v>
      </c>
      <c r="G44" s="19">
        <f>[1]Grp_1!F42</f>
        <v>145</v>
      </c>
      <c r="H44" s="37">
        <f>[1]Grp_1!G42</f>
        <v>179.071</v>
      </c>
      <c r="I44" s="38">
        <f>[1]Grp_1!H42</f>
        <v>179.071</v>
      </c>
      <c r="J44" s="20">
        <f>[1]Grp_1!I42</f>
        <v>131.09299999999999</v>
      </c>
      <c r="K44" s="20">
        <f>[1]Grp_1!J42</f>
        <v>100.76</v>
      </c>
      <c r="L44" s="20">
        <f>[1]Grp_1!K42</f>
        <v>33.687600000000003</v>
      </c>
      <c r="M44" s="20">
        <f>[1]Grp_1!L42</f>
        <v>36.582999999999998</v>
      </c>
      <c r="N44" s="20">
        <f>[1]Grp_1!M42</f>
        <v>0</v>
      </c>
      <c r="O44" s="20">
        <f>[1]Grp_1!N42</f>
        <v>0</v>
      </c>
      <c r="P44" s="20">
        <f>[1]Grp_1!O42</f>
        <v>0</v>
      </c>
      <c r="Q44" s="20">
        <f>[1]Grp_1!P42</f>
        <v>0</v>
      </c>
      <c r="R44" s="20">
        <f>[1]Grp_1!Q42</f>
        <v>0</v>
      </c>
      <c r="S44" s="21">
        <f>[1]Grp_1!R42</f>
        <v>0</v>
      </c>
      <c r="T44" s="9"/>
      <c r="U44" s="9"/>
      <c r="V44" s="10"/>
    </row>
    <row r="45" spans="1:22">
      <c r="A45" s="2">
        <v>42</v>
      </c>
      <c r="B45" s="17" t="str">
        <f>[1]Grp_1!A43</f>
        <v>3288A</v>
      </c>
      <c r="C45" s="30" t="str">
        <f>[1]Grp_1!B43</f>
        <v>China ROBOTC</v>
      </c>
      <c r="D45" s="18" t="str">
        <f>[1]Grp_1!C43</f>
        <v>ChinaRobotC</v>
      </c>
      <c r="E45" s="31" t="str">
        <f>[1]Grp_1!D43</f>
        <v>Xi'an, Not Applicable or Not Listed, China</v>
      </c>
      <c r="F45" s="34">
        <f>[1]Grp_1!E43</f>
        <v>0</v>
      </c>
      <c r="G45" s="19">
        <f>[1]Grp_1!F43</f>
        <v>316</v>
      </c>
      <c r="H45" s="37">
        <f>[1]Grp_1!G43</f>
        <v>0</v>
      </c>
      <c r="I45" s="38">
        <f>[1]Grp_1!H43</f>
        <v>0</v>
      </c>
      <c r="J45" s="20">
        <f>[1]Grp_1!I43</f>
        <v>0</v>
      </c>
      <c r="K45" s="20">
        <f>[1]Grp_1!J43</f>
        <v>0</v>
      </c>
      <c r="L45" s="20">
        <f>[1]Grp_1!K43</f>
        <v>0</v>
      </c>
      <c r="M45" s="20">
        <f>[1]Grp_1!L43</f>
        <v>0</v>
      </c>
      <c r="N45" s="20">
        <f>[1]Grp_1!M43</f>
        <v>0</v>
      </c>
      <c r="O45" s="20">
        <f>[1]Grp_1!N43</f>
        <v>0</v>
      </c>
      <c r="P45" s="20">
        <f>[1]Grp_1!O43</f>
        <v>0</v>
      </c>
      <c r="Q45" s="20">
        <f>[1]Grp_1!P43</f>
        <v>0</v>
      </c>
      <c r="R45" s="20">
        <f>[1]Grp_1!Q43</f>
        <v>0</v>
      </c>
      <c r="S45" s="21">
        <f>[1]Grp_1!R43</f>
        <v>0</v>
      </c>
      <c r="T45" s="9"/>
      <c r="U45" s="9"/>
      <c r="V45" s="10"/>
    </row>
    <row r="46" spans="1:22">
      <c r="A46" s="2">
        <v>43</v>
      </c>
      <c r="B46" s="17" t="str">
        <f>[1]Grp_1!A44</f>
        <v>3388</v>
      </c>
      <c r="C46" s="30" t="str">
        <f>[1]Grp_1!B44</f>
        <v>Foobar</v>
      </c>
      <c r="D46" s="18" t="str">
        <f>[1]Grp_1!C44</f>
        <v>Sir Winston Churchill High School</v>
      </c>
      <c r="E46" s="31" t="str">
        <f>[1]Grp_1!D44</f>
        <v>Calgary, Alberta, Canada</v>
      </c>
      <c r="F46" s="34">
        <f>[1]Grp_1!E44</f>
        <v>422</v>
      </c>
      <c r="G46" s="19">
        <f>[1]Grp_1!F44</f>
        <v>201</v>
      </c>
      <c r="H46" s="37">
        <f>[1]Grp_1!G44</f>
        <v>150.30000000000001</v>
      </c>
      <c r="I46" s="38">
        <f>[1]Grp_1!H44</f>
        <v>142.435</v>
      </c>
      <c r="J46" s="20">
        <f>[1]Grp_1!I44</f>
        <v>150.30000000000001</v>
      </c>
      <c r="K46" s="20">
        <f>[1]Grp_1!J44</f>
        <v>105.122</v>
      </c>
      <c r="L46" s="20">
        <f>[1]Grp_1!K44</f>
        <v>69.044200000000004</v>
      </c>
      <c r="M46" s="20">
        <f>[1]Grp_1!L44</f>
        <v>0</v>
      </c>
      <c r="N46" s="20">
        <f>[1]Grp_1!M44</f>
        <v>0</v>
      </c>
      <c r="O46" s="20">
        <f>[1]Grp_1!N44</f>
        <v>0</v>
      </c>
      <c r="P46" s="20">
        <f>[1]Grp_1!O44</f>
        <v>0</v>
      </c>
      <c r="Q46" s="20">
        <f>[1]Grp_1!P44</f>
        <v>0</v>
      </c>
      <c r="R46" s="20">
        <f>[1]Grp_1!Q44</f>
        <v>0</v>
      </c>
      <c r="S46" s="21">
        <f>[1]Grp_1!R44</f>
        <v>0</v>
      </c>
      <c r="T46" s="9"/>
      <c r="U46" s="9"/>
      <c r="V46" s="10"/>
    </row>
    <row r="47" spans="1:22">
      <c r="A47" s="2">
        <v>44</v>
      </c>
      <c r="B47" s="17" t="str">
        <f>[1]Grp_1!A45</f>
        <v>3702G</v>
      </c>
      <c r="C47" s="30" t="str">
        <f>[1]Grp_1!B45</f>
        <v>Robo-ADS</v>
      </c>
      <c r="D47" s="18" t="str">
        <f>[1]Grp_1!C45</f>
        <v>Danville High School</v>
      </c>
      <c r="E47" s="31" t="str">
        <f>[1]Grp_1!D45</f>
        <v>Danville, Kentucky, United States</v>
      </c>
      <c r="F47" s="34">
        <f>[1]Grp_1!E45</f>
        <v>275</v>
      </c>
      <c r="G47" s="19">
        <f>[1]Grp_1!F45</f>
        <v>150</v>
      </c>
      <c r="H47" s="37">
        <f>[1]Grp_1!G45</f>
        <v>121.375</v>
      </c>
      <c r="I47" s="38">
        <f>[1]Grp_1!H45</f>
        <v>121.375</v>
      </c>
      <c r="J47" s="20">
        <f>[1]Grp_1!I45</f>
        <v>106.051</v>
      </c>
      <c r="K47" s="20">
        <f>[1]Grp_1!J45</f>
        <v>74.806700000000006</v>
      </c>
      <c r="L47" s="20">
        <f>[1]Grp_1!K45</f>
        <v>0</v>
      </c>
      <c r="M47" s="20">
        <f>[1]Grp_1!L45</f>
        <v>0</v>
      </c>
      <c r="N47" s="20">
        <f>[1]Grp_1!M45</f>
        <v>0</v>
      </c>
      <c r="O47" s="20">
        <f>[1]Grp_1!N45</f>
        <v>0</v>
      </c>
      <c r="P47" s="20">
        <f>[1]Grp_1!O45</f>
        <v>0</v>
      </c>
      <c r="Q47" s="20">
        <f>[1]Grp_1!P45</f>
        <v>0</v>
      </c>
      <c r="R47" s="20">
        <f>[1]Grp_1!Q45</f>
        <v>0</v>
      </c>
      <c r="S47" s="21">
        <f>[1]Grp_1!R45</f>
        <v>0</v>
      </c>
      <c r="T47" s="9"/>
      <c r="U47" s="9"/>
      <c r="V47" s="10"/>
    </row>
    <row r="48" spans="1:22">
      <c r="A48" s="2">
        <v>45</v>
      </c>
      <c r="B48" s="17" t="str">
        <f>[1]Grp_1!A46</f>
        <v>3921C</v>
      </c>
      <c r="C48" s="30" t="str">
        <f>[1]Grp_1!B46</f>
        <v>RoboPhoenix</v>
      </c>
      <c r="D48" s="18" t="str">
        <f>[1]Grp_1!C46</f>
        <v>Carroll County College And Career Academy</v>
      </c>
      <c r="E48" s="31" t="str">
        <f>[1]Grp_1!D46</f>
        <v>Carrollton, Georgia, United States</v>
      </c>
      <c r="F48" s="34">
        <f>[1]Grp_1!E46</f>
        <v>92</v>
      </c>
      <c r="G48" s="19">
        <f>[1]Grp_1!F46</f>
        <v>81</v>
      </c>
      <c r="H48" s="37">
        <f>[1]Grp_1!G46</f>
        <v>91.962800000000001</v>
      </c>
      <c r="I48" s="38">
        <f>[1]Grp_1!H46</f>
        <v>91.962800000000001</v>
      </c>
      <c r="J48" s="20">
        <f>[1]Grp_1!I46</f>
        <v>78.346400000000003</v>
      </c>
      <c r="K48" s="20">
        <f>[1]Grp_1!J46</f>
        <v>51.277700000000003</v>
      </c>
      <c r="L48" s="20">
        <f>[1]Grp_1!K46</f>
        <v>71.2774</v>
      </c>
      <c r="M48" s="20">
        <f>[1]Grp_1!L46</f>
        <v>71.292500000000004</v>
      </c>
      <c r="N48" s="20">
        <f>[1]Grp_1!M46</f>
        <v>57.8155</v>
      </c>
      <c r="O48" s="20">
        <f>[1]Grp_1!N46</f>
        <v>29.249099999999999</v>
      </c>
      <c r="P48" s="20">
        <f>[1]Grp_1!O46</f>
        <v>20.755099999999999</v>
      </c>
      <c r="Q48" s="20">
        <f>[1]Grp_1!P46</f>
        <v>38.106099999999998</v>
      </c>
      <c r="R48" s="20">
        <f>[1]Grp_1!Q46</f>
        <v>0</v>
      </c>
      <c r="S48" s="21">
        <f>[1]Grp_1!R46</f>
        <v>0</v>
      </c>
      <c r="T48" s="9"/>
      <c r="U48" s="9"/>
      <c r="V48" s="10"/>
    </row>
    <row r="49" spans="1:22">
      <c r="A49" s="2">
        <v>46</v>
      </c>
      <c r="B49" s="17" t="str">
        <f>[1]Grp_1!A47</f>
        <v>4004A</v>
      </c>
      <c r="C49" s="30" t="str">
        <f>[1]Grp_1!B47</f>
        <v>Warrior Robotics</v>
      </c>
      <c r="D49" s="18" t="str">
        <f>[1]Grp_1!C47</f>
        <v>Boone-Apache TSA</v>
      </c>
      <c r="E49" s="31" t="str">
        <f>[1]Grp_1!D47</f>
        <v>Apache, Oklahoma, United States</v>
      </c>
      <c r="F49" s="34">
        <f>[1]Grp_1!E47</f>
        <v>311</v>
      </c>
      <c r="G49" s="19">
        <f>[1]Grp_1!F47</f>
        <v>155</v>
      </c>
      <c r="H49" s="37">
        <f>[1]Grp_1!G47</f>
        <v>159.11500000000001</v>
      </c>
      <c r="I49" s="38">
        <f>[1]Grp_1!H47</f>
        <v>127.383</v>
      </c>
      <c r="J49" s="20">
        <f>[1]Grp_1!I47</f>
        <v>100.32899999999999</v>
      </c>
      <c r="K49" s="20">
        <f>[1]Grp_1!J47</f>
        <v>123.634</v>
      </c>
      <c r="L49" s="20">
        <f>[1]Grp_1!K47</f>
        <v>159.11500000000001</v>
      </c>
      <c r="M49" s="20">
        <f>[1]Grp_1!L47</f>
        <v>0</v>
      </c>
      <c r="N49" s="20">
        <f>[1]Grp_1!M47</f>
        <v>0</v>
      </c>
      <c r="O49" s="20">
        <f>[1]Grp_1!N47</f>
        <v>0</v>
      </c>
      <c r="P49" s="20">
        <f>[1]Grp_1!O47</f>
        <v>0</v>
      </c>
      <c r="Q49" s="20">
        <f>[1]Grp_1!P47</f>
        <v>0</v>
      </c>
      <c r="R49" s="20">
        <f>[1]Grp_1!Q47</f>
        <v>0</v>
      </c>
      <c r="S49" s="21">
        <f>[1]Grp_1!R47</f>
        <v>0</v>
      </c>
      <c r="T49" s="9"/>
      <c r="U49" s="9"/>
      <c r="V49" s="10"/>
    </row>
    <row r="50" spans="1:22">
      <c r="A50" s="2">
        <v>47</v>
      </c>
      <c r="B50" s="17" t="str">
        <f>[1]Grp_1!A48</f>
        <v>4142B</v>
      </c>
      <c r="C50" s="30" t="str">
        <f>[1]Grp_1!B48</f>
        <v>Pearl City High School</v>
      </c>
      <c r="D50" s="18" t="str">
        <f>[1]Grp_1!C48</f>
        <v>Pearl City High School</v>
      </c>
      <c r="E50" s="31" t="str">
        <f>[1]Grp_1!D48</f>
        <v>Pearl City, Hawaii, United States</v>
      </c>
      <c r="F50" s="34">
        <f>[1]Grp_1!E48</f>
        <v>291</v>
      </c>
      <c r="G50" s="19">
        <f>[1]Grp_1!F48</f>
        <v>142</v>
      </c>
      <c r="H50" s="37">
        <f>[1]Grp_1!G48</f>
        <v>101.355</v>
      </c>
      <c r="I50" s="38">
        <f>[1]Grp_1!H48</f>
        <v>75.552400000000006</v>
      </c>
      <c r="J50" s="20">
        <f>[1]Grp_1!I48</f>
        <v>94.464600000000004</v>
      </c>
      <c r="K50" s="20">
        <f>[1]Grp_1!J48</f>
        <v>101.355</v>
      </c>
      <c r="L50" s="20">
        <f>[1]Grp_1!K48</f>
        <v>55.485599999999998</v>
      </c>
      <c r="M50" s="20">
        <f>[1]Grp_1!L48</f>
        <v>0</v>
      </c>
      <c r="N50" s="20">
        <f>[1]Grp_1!M48</f>
        <v>0</v>
      </c>
      <c r="O50" s="20">
        <f>[1]Grp_1!N48</f>
        <v>0</v>
      </c>
      <c r="P50" s="20">
        <f>[1]Grp_1!O48</f>
        <v>0</v>
      </c>
      <c r="Q50" s="20">
        <f>[1]Grp_1!P48</f>
        <v>0</v>
      </c>
      <c r="R50" s="20">
        <f>[1]Grp_1!Q48</f>
        <v>0</v>
      </c>
      <c r="S50" s="21">
        <f>[1]Grp_1!R48</f>
        <v>0</v>
      </c>
      <c r="T50" s="9"/>
      <c r="U50" s="9"/>
      <c r="V50" s="10"/>
    </row>
    <row r="51" spans="1:22">
      <c r="A51" s="2">
        <v>48</v>
      </c>
      <c r="B51" s="17" t="str">
        <f>[1]Grp_1!A49</f>
        <v>4154C</v>
      </c>
      <c r="C51" s="30" t="str">
        <f>[1]Grp_1!B49</f>
        <v>U.S.S.R.</v>
      </c>
      <c r="D51" s="18" t="str">
        <f>[1]Grp_1!C49</f>
        <v>University School of Nova Southeastern University</v>
      </c>
      <c r="E51" s="31" t="str">
        <f>[1]Grp_1!D49</f>
        <v>Fort Lauderdale, Florida, United States</v>
      </c>
      <c r="F51" s="34">
        <f>[1]Grp_1!E49</f>
        <v>16</v>
      </c>
      <c r="G51" s="19">
        <f>[1]Grp_1!F49</f>
        <v>0</v>
      </c>
      <c r="H51" s="37">
        <f>[1]Grp_1!G49</f>
        <v>34.290599999999998</v>
      </c>
      <c r="I51" s="38">
        <f>[1]Grp_1!H49</f>
        <v>31.085799999999999</v>
      </c>
      <c r="J51" s="20">
        <f>[1]Grp_1!I49</f>
        <v>34.290599999999998</v>
      </c>
      <c r="K51" s="20">
        <f>[1]Grp_1!J49</f>
        <v>17.877199999999998</v>
      </c>
      <c r="L51" s="20">
        <f>[1]Grp_1!K49</f>
        <v>5.9264299999999999</v>
      </c>
      <c r="M51" s="20">
        <f>[1]Grp_1!L49</f>
        <v>0</v>
      </c>
      <c r="N51" s="20">
        <f>[1]Grp_1!M49</f>
        <v>0</v>
      </c>
      <c r="O51" s="20">
        <f>[1]Grp_1!N49</f>
        <v>0</v>
      </c>
      <c r="P51" s="20">
        <f>[1]Grp_1!O49</f>
        <v>0</v>
      </c>
      <c r="Q51" s="20">
        <f>[1]Grp_1!P49</f>
        <v>0</v>
      </c>
      <c r="R51" s="20">
        <f>[1]Grp_1!Q49</f>
        <v>0</v>
      </c>
      <c r="S51" s="21">
        <f>[1]Grp_1!R49</f>
        <v>0</v>
      </c>
      <c r="T51" s="9"/>
      <c r="U51" s="9"/>
      <c r="V51" s="10"/>
    </row>
    <row r="52" spans="1:22">
      <c r="A52" s="2">
        <v>49</v>
      </c>
      <c r="B52" s="17" t="str">
        <f>[1]Grp_1!A50</f>
        <v>4334A</v>
      </c>
      <c r="C52" s="30" t="str">
        <f>[1]Grp_1!B50</f>
        <v>YIC 1</v>
      </c>
      <c r="D52" s="18" t="str">
        <f>[1]Grp_1!C50</f>
        <v>Youth Innovation Center</v>
      </c>
      <c r="E52" s="31" t="str">
        <f>[1]Grp_1!D50</f>
        <v>Manama, Not Applicable or Not Listed, Bahrain</v>
      </c>
      <c r="F52" s="34">
        <f>[1]Grp_1!E50</f>
        <v>0</v>
      </c>
      <c r="G52" s="19">
        <f>[1]Grp_1!F50</f>
        <v>0</v>
      </c>
      <c r="H52" s="37">
        <f>[1]Grp_1!G50</f>
        <v>49.713500000000003</v>
      </c>
      <c r="I52" s="38">
        <f>[1]Grp_1!H50</f>
        <v>49.713500000000003</v>
      </c>
      <c r="J52" s="20">
        <f>[1]Grp_1!I50</f>
        <v>0</v>
      </c>
      <c r="K52" s="20">
        <f>[1]Grp_1!J50</f>
        <v>0</v>
      </c>
      <c r="L52" s="20">
        <f>[1]Grp_1!K50</f>
        <v>0</v>
      </c>
      <c r="M52" s="20">
        <f>[1]Grp_1!L50</f>
        <v>0</v>
      </c>
      <c r="N52" s="20">
        <f>[1]Grp_1!M50</f>
        <v>0</v>
      </c>
      <c r="O52" s="20">
        <f>[1]Grp_1!N50</f>
        <v>0</v>
      </c>
      <c r="P52" s="20">
        <f>[1]Grp_1!O50</f>
        <v>0</v>
      </c>
      <c r="Q52" s="20">
        <f>[1]Grp_1!P50</f>
        <v>0</v>
      </c>
      <c r="R52" s="20">
        <f>[1]Grp_1!Q50</f>
        <v>0</v>
      </c>
      <c r="S52" s="21">
        <f>[1]Grp_1!R50</f>
        <v>0</v>
      </c>
      <c r="T52" s="9"/>
      <c r="U52" s="9"/>
      <c r="V52" s="10"/>
    </row>
    <row r="53" spans="1:22">
      <c r="A53" s="2">
        <v>50</v>
      </c>
      <c r="B53" s="17" t="str">
        <f>[1]Grp_1!A51</f>
        <v>4478C</v>
      </c>
      <c r="C53" s="30" t="str">
        <f>[1]Grp_1!B51</f>
        <v>VEXED</v>
      </c>
      <c r="D53" s="18" t="str">
        <f>[1]Grp_1!C51</f>
        <v>Masuk High School Robotics Team</v>
      </c>
      <c r="E53" s="31" t="str">
        <f>[1]Grp_1!D51</f>
        <v>Monroe, Connecticut, United States</v>
      </c>
      <c r="F53" s="34">
        <f>[1]Grp_1!E51</f>
        <v>101</v>
      </c>
      <c r="G53" s="19">
        <f>[1]Grp_1!F51</f>
        <v>115</v>
      </c>
      <c r="H53" s="37">
        <f>[1]Grp_1!G51</f>
        <v>96.064800000000005</v>
      </c>
      <c r="I53" s="38">
        <f>[1]Grp_1!H51</f>
        <v>70.293499999999995</v>
      </c>
      <c r="J53" s="20">
        <f>[1]Grp_1!I51</f>
        <v>50.641100000000002</v>
      </c>
      <c r="K53" s="20">
        <f>[1]Grp_1!J51</f>
        <v>96.064800000000005</v>
      </c>
      <c r="L53" s="20">
        <f>[1]Grp_1!K51</f>
        <v>45.6646</v>
      </c>
      <c r="M53" s="20">
        <f>[1]Grp_1!L51</f>
        <v>70.819100000000006</v>
      </c>
      <c r="N53" s="20">
        <f>[1]Grp_1!M51</f>
        <v>61.215499999999999</v>
      </c>
      <c r="O53" s="20">
        <f>[1]Grp_1!N51</f>
        <v>21.430599999999998</v>
      </c>
      <c r="P53" s="20">
        <f>[1]Grp_1!O51</f>
        <v>0</v>
      </c>
      <c r="Q53" s="20">
        <f>[1]Grp_1!P51</f>
        <v>0</v>
      </c>
      <c r="R53" s="20">
        <f>[1]Grp_1!Q51</f>
        <v>0</v>
      </c>
      <c r="S53" s="21">
        <f>[1]Grp_1!R51</f>
        <v>0</v>
      </c>
      <c r="T53" s="9"/>
      <c r="U53" s="9"/>
      <c r="V53" s="10"/>
    </row>
    <row r="54" spans="1:22">
      <c r="A54" s="2">
        <v>51</v>
      </c>
      <c r="B54" s="17" t="str">
        <f>[1]Grp_1!A52</f>
        <v>4659D</v>
      </c>
      <c r="C54" s="30" t="str">
        <f>[1]Grp_1!B52</f>
        <v>Warrior Robotix D</v>
      </c>
      <c r="D54" s="18" t="str">
        <f>[1]Grp_1!C52</f>
        <v>Port Credit Secondary School</v>
      </c>
      <c r="E54" s="31" t="str">
        <f>[1]Grp_1!D52</f>
        <v>Mississauga, Ontario, Canada</v>
      </c>
      <c r="F54" s="34">
        <f>[1]Grp_1!E52</f>
        <v>356</v>
      </c>
      <c r="G54" s="19">
        <f>[1]Grp_1!F52</f>
        <v>0</v>
      </c>
      <c r="H54" s="37">
        <f>[1]Grp_1!G52</f>
        <v>140.72200000000001</v>
      </c>
      <c r="I54" s="38">
        <f>[1]Grp_1!H52</f>
        <v>140.72200000000001</v>
      </c>
      <c r="J54" s="20">
        <f>[1]Grp_1!I52</f>
        <v>100.599</v>
      </c>
      <c r="K54" s="20">
        <f>[1]Grp_1!J52</f>
        <v>84.398300000000006</v>
      </c>
      <c r="L54" s="20">
        <f>[1]Grp_1!K52</f>
        <v>24.293399999999998</v>
      </c>
      <c r="M54" s="20">
        <f>[1]Grp_1!L52</f>
        <v>0</v>
      </c>
      <c r="N54" s="20">
        <f>[1]Grp_1!M52</f>
        <v>0</v>
      </c>
      <c r="O54" s="20">
        <f>[1]Grp_1!N52</f>
        <v>0</v>
      </c>
      <c r="P54" s="20">
        <f>[1]Grp_1!O52</f>
        <v>0</v>
      </c>
      <c r="Q54" s="20">
        <f>[1]Grp_1!P52</f>
        <v>0</v>
      </c>
      <c r="R54" s="20">
        <f>[1]Grp_1!Q52</f>
        <v>0</v>
      </c>
      <c r="S54" s="21">
        <f>[1]Grp_1!R52</f>
        <v>0</v>
      </c>
      <c r="T54" s="9"/>
      <c r="U54" s="9"/>
      <c r="V54" s="10"/>
    </row>
    <row r="55" spans="1:22">
      <c r="A55" s="2">
        <v>52</v>
      </c>
      <c r="B55" s="17" t="str">
        <f>[1]Grp_1!A53</f>
        <v>4815A</v>
      </c>
      <c r="C55" s="30" t="str">
        <f>[1]Grp_1!B53</f>
        <v>CPC A TEAM</v>
      </c>
      <c r="D55" s="18" t="str">
        <f>[1]Grp_1!C53</f>
        <v>WEO CHANG PUI CHUNG MEMORIAL SCHOOL</v>
      </c>
      <c r="E55" s="31" t="str">
        <f>[1]Grp_1!D53</f>
        <v>TSEUNG KWAN O, Not Applicable or Not Listed, Hong Kong</v>
      </c>
      <c r="F55" s="34">
        <f>[1]Grp_1!E53</f>
        <v>0</v>
      </c>
      <c r="G55" s="19">
        <f>[1]Grp_1!F53</f>
        <v>171</v>
      </c>
      <c r="H55" s="37">
        <f>[1]Grp_1!G53</f>
        <v>53.069400000000002</v>
      </c>
      <c r="I55" s="38">
        <f>[1]Grp_1!H53</f>
        <v>53.069400000000002</v>
      </c>
      <c r="J55" s="20">
        <f>[1]Grp_1!I53</f>
        <v>0</v>
      </c>
      <c r="K55" s="20">
        <f>[1]Grp_1!J53</f>
        <v>0</v>
      </c>
      <c r="L55" s="20">
        <f>[1]Grp_1!K53</f>
        <v>0</v>
      </c>
      <c r="M55" s="20">
        <f>[1]Grp_1!L53</f>
        <v>0</v>
      </c>
      <c r="N55" s="20">
        <f>[1]Grp_1!M53</f>
        <v>0</v>
      </c>
      <c r="O55" s="20">
        <f>[1]Grp_1!N53</f>
        <v>0</v>
      </c>
      <c r="P55" s="20">
        <f>[1]Grp_1!O53</f>
        <v>0</v>
      </c>
      <c r="Q55" s="20">
        <f>[1]Grp_1!P53</f>
        <v>0</v>
      </c>
      <c r="R55" s="20">
        <f>[1]Grp_1!Q53</f>
        <v>0</v>
      </c>
      <c r="S55" s="21">
        <f>[1]Grp_1!R53</f>
        <v>0</v>
      </c>
      <c r="T55" s="9"/>
      <c r="U55" s="9"/>
      <c r="V55" s="10"/>
    </row>
    <row r="56" spans="1:22">
      <c r="A56" s="2">
        <v>53</v>
      </c>
      <c r="B56" s="17" t="str">
        <f>[1]Grp_1!A54</f>
        <v>4828S</v>
      </c>
      <c r="C56" s="30" t="str">
        <f>[1]Grp_1!B54</f>
        <v>BrewTech Robotics - S</v>
      </c>
      <c r="D56" s="18" t="str">
        <f>[1]Grp_1!C54</f>
        <v>Brewbaker Technology Magnet High School</v>
      </c>
      <c r="E56" s="31" t="str">
        <f>[1]Grp_1!D54</f>
        <v>Montgomery, Alabama, United States</v>
      </c>
      <c r="F56" s="34">
        <f>[1]Grp_1!E54</f>
        <v>127</v>
      </c>
      <c r="G56" s="19">
        <f>[1]Grp_1!F54</f>
        <v>82</v>
      </c>
      <c r="H56" s="37">
        <f>[1]Grp_1!G54</f>
        <v>85.906199999999998</v>
      </c>
      <c r="I56" s="38">
        <f>[1]Grp_1!H54</f>
        <v>85.906199999999998</v>
      </c>
      <c r="J56" s="20">
        <f>[1]Grp_1!I54</f>
        <v>29.715699999999998</v>
      </c>
      <c r="K56" s="20">
        <f>[1]Grp_1!J54</f>
        <v>36.690199999999997</v>
      </c>
      <c r="L56" s="20">
        <f>[1]Grp_1!K54</f>
        <v>32.0274</v>
      </c>
      <c r="M56" s="20">
        <f>[1]Grp_1!L54</f>
        <v>0</v>
      </c>
      <c r="N56" s="20">
        <f>[1]Grp_1!M54</f>
        <v>0</v>
      </c>
      <c r="O56" s="20">
        <f>[1]Grp_1!N54</f>
        <v>0</v>
      </c>
      <c r="P56" s="20">
        <f>[1]Grp_1!O54</f>
        <v>0</v>
      </c>
      <c r="Q56" s="20">
        <f>[1]Grp_1!P54</f>
        <v>0</v>
      </c>
      <c r="R56" s="20">
        <f>[1]Grp_1!Q54</f>
        <v>0</v>
      </c>
      <c r="S56" s="21">
        <f>[1]Grp_1!R54</f>
        <v>0</v>
      </c>
      <c r="T56" s="9"/>
      <c r="U56" s="9"/>
      <c r="V56" s="10"/>
    </row>
    <row r="57" spans="1:22">
      <c r="A57" s="2">
        <v>54</v>
      </c>
      <c r="B57" s="17" t="str">
        <f>[1]Grp_1!A55</f>
        <v>5062A</v>
      </c>
      <c r="C57" s="30" t="str">
        <f>[1]Grp_1!B55</f>
        <v>Red Fox</v>
      </c>
      <c r="D57" s="18" t="str">
        <f>[1]Grp_1!C55</f>
        <v>Fox Valley Lutheran High School</v>
      </c>
      <c r="E57" s="31" t="str">
        <f>[1]Grp_1!D55</f>
        <v>Appleton, Wisconsin, United States</v>
      </c>
      <c r="F57" s="34">
        <f>[1]Grp_1!E55</f>
        <v>290</v>
      </c>
      <c r="G57" s="19">
        <f>[1]Grp_1!F55</f>
        <v>280</v>
      </c>
      <c r="H57" s="37">
        <f>[1]Grp_1!G55</f>
        <v>116.646</v>
      </c>
      <c r="I57" s="38">
        <f>[1]Grp_1!H55</f>
        <v>96.074200000000005</v>
      </c>
      <c r="J57" s="20">
        <f>[1]Grp_1!I55</f>
        <v>101.455</v>
      </c>
      <c r="K57" s="20">
        <f>[1]Grp_1!J55</f>
        <v>113.387</v>
      </c>
      <c r="L57" s="20">
        <f>[1]Grp_1!K55</f>
        <v>80.169899999999998</v>
      </c>
      <c r="M57" s="20">
        <f>[1]Grp_1!L55</f>
        <v>96.9328</v>
      </c>
      <c r="N57" s="20">
        <f>[1]Grp_1!M55</f>
        <v>116.646</v>
      </c>
      <c r="O57" s="20">
        <f>[1]Grp_1!N55</f>
        <v>69.486599999999996</v>
      </c>
      <c r="P57" s="20">
        <f>[1]Grp_1!O55</f>
        <v>75.136600000000001</v>
      </c>
      <c r="Q57" s="20">
        <f>[1]Grp_1!P55</f>
        <v>0</v>
      </c>
      <c r="R57" s="20">
        <f>[1]Grp_1!Q55</f>
        <v>0</v>
      </c>
      <c r="S57" s="21">
        <f>[1]Grp_1!R55</f>
        <v>0</v>
      </c>
      <c r="T57" s="9"/>
      <c r="U57" s="9"/>
      <c r="V57" s="10"/>
    </row>
    <row r="58" spans="1:22">
      <c r="A58" s="2">
        <v>55</v>
      </c>
      <c r="B58" s="17" t="str">
        <f>[1]Grp_1!A56</f>
        <v>5107C</v>
      </c>
      <c r="C58" s="30" t="str">
        <f>[1]Grp_1!B56</f>
        <v>Independencia C</v>
      </c>
      <c r="D58" s="18" t="str">
        <f>[1]Grp_1!C56</f>
        <v>CECYTECH PLANTEL 31 La Independencia</v>
      </c>
      <c r="E58" s="31" t="str">
        <f>[1]Grp_1!D56</f>
        <v>La Concordia, Chiapas, Chiapas, Mexico</v>
      </c>
      <c r="F58" s="34">
        <f>[1]Grp_1!E56</f>
        <v>0</v>
      </c>
      <c r="G58" s="19">
        <f>[1]Grp_1!F56</f>
        <v>0</v>
      </c>
      <c r="H58" s="37">
        <f>[1]Grp_1!G56</f>
        <v>95.600300000000004</v>
      </c>
      <c r="I58" s="38">
        <f>[1]Grp_1!H56</f>
        <v>95.600300000000004</v>
      </c>
      <c r="J58" s="20">
        <f>[1]Grp_1!I56</f>
        <v>37.488900000000001</v>
      </c>
      <c r="K58" s="20">
        <f>[1]Grp_1!J56</f>
        <v>-11.188700000000001</v>
      </c>
      <c r="L58" s="20">
        <f>[1]Grp_1!K56</f>
        <v>0</v>
      </c>
      <c r="M58" s="20">
        <f>[1]Grp_1!L56</f>
        <v>0</v>
      </c>
      <c r="N58" s="20">
        <f>[1]Grp_1!M56</f>
        <v>0</v>
      </c>
      <c r="O58" s="20">
        <f>[1]Grp_1!N56</f>
        <v>0</v>
      </c>
      <c r="P58" s="20">
        <f>[1]Grp_1!O56</f>
        <v>0</v>
      </c>
      <c r="Q58" s="20">
        <f>[1]Grp_1!P56</f>
        <v>0</v>
      </c>
      <c r="R58" s="20">
        <f>[1]Grp_1!Q56</f>
        <v>0</v>
      </c>
      <c r="S58" s="21">
        <f>[1]Grp_1!R56</f>
        <v>0</v>
      </c>
      <c r="T58" s="9"/>
      <c r="U58" s="9"/>
      <c r="V58" s="10"/>
    </row>
    <row r="59" spans="1:22">
      <c r="A59" s="2">
        <v>56</v>
      </c>
      <c r="B59" s="17" t="str">
        <f>[1]Grp_1!A57</f>
        <v>5221B</v>
      </c>
      <c r="C59" s="30" t="str">
        <f>[1]Grp_1!B57</f>
        <v>Cougar Robotics</v>
      </c>
      <c r="D59" s="18" t="str">
        <f>[1]Grp_1!C57</f>
        <v>Corcoran High School ~ SCSD</v>
      </c>
      <c r="E59" s="31" t="str">
        <f>[1]Grp_1!D57</f>
        <v>Syracuse, New York, United States</v>
      </c>
      <c r="F59" s="34">
        <f>[1]Grp_1!E57</f>
        <v>86</v>
      </c>
      <c r="G59" s="19">
        <f>[1]Grp_1!F57</f>
        <v>49</v>
      </c>
      <c r="H59" s="37">
        <f>[1]Grp_1!G57</f>
        <v>64.179500000000004</v>
      </c>
      <c r="I59" s="38">
        <f>[1]Grp_1!H57</f>
        <v>64.179500000000004</v>
      </c>
      <c r="J59" s="20">
        <f>[1]Grp_1!I57</f>
        <v>24.742100000000001</v>
      </c>
      <c r="K59" s="20">
        <f>[1]Grp_1!J57</f>
        <v>0</v>
      </c>
      <c r="L59" s="20">
        <f>[1]Grp_1!K57</f>
        <v>31.479800000000001</v>
      </c>
      <c r="M59" s="20">
        <f>[1]Grp_1!L57</f>
        <v>26.404900000000001</v>
      </c>
      <c r="N59" s="20">
        <f>[1]Grp_1!M57</f>
        <v>9.5930499999999999</v>
      </c>
      <c r="O59" s="20">
        <f>[1]Grp_1!N57</f>
        <v>0</v>
      </c>
      <c r="P59" s="20">
        <f>[1]Grp_1!O57</f>
        <v>0</v>
      </c>
      <c r="Q59" s="20">
        <f>[1]Grp_1!P57</f>
        <v>0</v>
      </c>
      <c r="R59" s="20">
        <f>[1]Grp_1!Q57</f>
        <v>0</v>
      </c>
      <c r="S59" s="21">
        <f>[1]Grp_1!R57</f>
        <v>0</v>
      </c>
      <c r="T59" s="9"/>
      <c r="U59" s="9"/>
      <c r="V59" s="10"/>
    </row>
    <row r="60" spans="1:22">
      <c r="A60" s="2">
        <v>57</v>
      </c>
      <c r="B60" s="17" t="str">
        <f>[1]Grp_1!A58</f>
        <v>5327C</v>
      </c>
      <c r="C60" s="30" t="str">
        <f>[1]Grp_1!B58</f>
        <v>Gael Force</v>
      </c>
      <c r="D60" s="18" t="str">
        <f>[1]Grp_1!C58</f>
        <v>Dublin High School</v>
      </c>
      <c r="E60" s="31" t="str">
        <f>[1]Grp_1!D58</f>
        <v>Dublin, California, United States</v>
      </c>
      <c r="F60" s="34">
        <f>[1]Grp_1!E58</f>
        <v>387</v>
      </c>
      <c r="G60" s="19">
        <f>[1]Grp_1!F58</f>
        <v>315</v>
      </c>
      <c r="H60" s="37">
        <f>[1]Grp_1!G58</f>
        <v>130.02799999999999</v>
      </c>
      <c r="I60" s="38">
        <f>[1]Grp_1!H58</f>
        <v>130.02799999999999</v>
      </c>
      <c r="J60" s="20">
        <f>[1]Grp_1!I58</f>
        <v>106.928</v>
      </c>
      <c r="K60" s="20">
        <f>[1]Grp_1!J58</f>
        <v>78.1785</v>
      </c>
      <c r="L60" s="20">
        <f>[1]Grp_1!K58</f>
        <v>87.047200000000004</v>
      </c>
      <c r="M60" s="20">
        <f>[1]Grp_1!L58</f>
        <v>70.007599999999996</v>
      </c>
      <c r="N60" s="20">
        <f>[1]Grp_1!M58</f>
        <v>0</v>
      </c>
      <c r="O60" s="20">
        <f>[1]Grp_1!N58</f>
        <v>0</v>
      </c>
      <c r="P60" s="20">
        <f>[1]Grp_1!O58</f>
        <v>0</v>
      </c>
      <c r="Q60" s="20">
        <f>[1]Grp_1!P58</f>
        <v>0</v>
      </c>
      <c r="R60" s="20">
        <f>[1]Grp_1!Q58</f>
        <v>0</v>
      </c>
      <c r="S60" s="21">
        <f>[1]Grp_1!R58</f>
        <v>0</v>
      </c>
      <c r="T60" s="9"/>
      <c r="U60" s="9"/>
      <c r="V60" s="10"/>
    </row>
    <row r="61" spans="1:22">
      <c r="A61" s="2">
        <v>58</v>
      </c>
      <c r="B61" s="17" t="str">
        <f>[1]Grp_1!A59</f>
        <v>5454B</v>
      </c>
      <c r="C61" s="30" t="str">
        <f>[1]Grp_1!B59</f>
        <v>BOB-OMBS</v>
      </c>
      <c r="D61" s="18" t="str">
        <f>[1]Grp_1!C59</f>
        <v>Elkhorn Crossing School</v>
      </c>
      <c r="E61" s="31" t="str">
        <f>[1]Grp_1!D59</f>
        <v>Georgetown, Kentucky, United States</v>
      </c>
      <c r="F61" s="34">
        <f>[1]Grp_1!E59</f>
        <v>250</v>
      </c>
      <c r="G61" s="19">
        <f>[1]Grp_1!F59</f>
        <v>152</v>
      </c>
      <c r="H61" s="37">
        <f>[1]Grp_1!G59</f>
        <v>110.607</v>
      </c>
      <c r="I61" s="38">
        <f>[1]Grp_1!H59</f>
        <v>100.066</v>
      </c>
      <c r="J61" s="20">
        <f>[1]Grp_1!I59</f>
        <v>71.093800000000002</v>
      </c>
      <c r="K61" s="20">
        <f>[1]Grp_1!J59</f>
        <v>51.025199999999998</v>
      </c>
      <c r="L61" s="20">
        <f>[1]Grp_1!K59</f>
        <v>46.087899999999998</v>
      </c>
      <c r="M61" s="20">
        <f>[1]Grp_1!L59</f>
        <v>95.037199999999999</v>
      </c>
      <c r="N61" s="20">
        <f>[1]Grp_1!M59</f>
        <v>60.565600000000003</v>
      </c>
      <c r="O61" s="20">
        <f>[1]Grp_1!N59</f>
        <v>84.730699999999999</v>
      </c>
      <c r="P61" s="20">
        <f>[1]Grp_1!O59</f>
        <v>110.607</v>
      </c>
      <c r="Q61" s="20">
        <f>[1]Grp_1!P59</f>
        <v>73.299400000000006</v>
      </c>
      <c r="R61" s="20">
        <f>[1]Grp_1!Q59</f>
        <v>65.855500000000006</v>
      </c>
      <c r="S61" s="21">
        <f>[1]Grp_1!R59</f>
        <v>0</v>
      </c>
      <c r="T61" s="9"/>
      <c r="U61" s="9"/>
      <c r="V61" s="10"/>
    </row>
    <row r="62" spans="1:22">
      <c r="A62" s="2">
        <v>59</v>
      </c>
      <c r="B62" s="17" t="str">
        <f>[1]Grp_1!A60</f>
        <v>5482C</v>
      </c>
      <c r="C62" s="30" t="str">
        <f>[1]Grp_1!B60</f>
        <v>CECyTEH Huejutla 3</v>
      </c>
      <c r="D62" s="18" t="str">
        <f>[1]Grp_1!C60</f>
        <v>CECyTEH Plantel Huejutla</v>
      </c>
      <c r="E62" s="31" t="str">
        <f>[1]Grp_1!D60</f>
        <v>Huejutla de Reyes, Hgo., Hidalgo, Mexico</v>
      </c>
      <c r="F62" s="34">
        <f>[1]Grp_1!E60</f>
        <v>0</v>
      </c>
      <c r="G62" s="19">
        <f>[1]Grp_1!F60</f>
        <v>0</v>
      </c>
      <c r="H62" s="37">
        <f>[1]Grp_1!G60</f>
        <v>100.53700000000001</v>
      </c>
      <c r="I62" s="38">
        <f>[1]Grp_1!H60</f>
        <v>94.0441</v>
      </c>
      <c r="J62" s="20">
        <f>[1]Grp_1!I60</f>
        <v>100.53700000000001</v>
      </c>
      <c r="K62" s="20">
        <f>[1]Grp_1!J60</f>
        <v>41.381700000000002</v>
      </c>
      <c r="L62" s="20">
        <f>[1]Grp_1!K60</f>
        <v>10.329599999999999</v>
      </c>
      <c r="M62" s="20">
        <f>[1]Grp_1!L60</f>
        <v>0</v>
      </c>
      <c r="N62" s="20">
        <f>[1]Grp_1!M60</f>
        <v>0</v>
      </c>
      <c r="O62" s="20">
        <f>[1]Grp_1!N60</f>
        <v>0</v>
      </c>
      <c r="P62" s="20">
        <f>[1]Grp_1!O60</f>
        <v>0</v>
      </c>
      <c r="Q62" s="20">
        <f>[1]Grp_1!P60</f>
        <v>0</v>
      </c>
      <c r="R62" s="20">
        <f>[1]Grp_1!Q60</f>
        <v>0</v>
      </c>
      <c r="S62" s="21">
        <f>[1]Grp_1!R60</f>
        <v>0</v>
      </c>
      <c r="T62" s="9"/>
      <c r="U62" s="9"/>
      <c r="V62" s="10"/>
    </row>
    <row r="63" spans="1:22">
      <c r="A63" s="2">
        <v>60</v>
      </c>
      <c r="B63" s="17" t="str">
        <f>[1]Grp_1!A61</f>
        <v>5689A</v>
      </c>
      <c r="C63" s="30" t="str">
        <f>[1]Grp_1!B61</f>
        <v>Ares Ballistics</v>
      </c>
      <c r="D63" s="18" t="str">
        <f>[1]Grp_1!C61</f>
        <v>Caldwell High School</v>
      </c>
      <c r="E63" s="31" t="str">
        <f>[1]Grp_1!D61</f>
        <v>Caldwell, Idaho, United States</v>
      </c>
      <c r="F63" s="34">
        <f>[1]Grp_1!E61</f>
        <v>80</v>
      </c>
      <c r="G63" s="19">
        <f>[1]Grp_1!F61</f>
        <v>0</v>
      </c>
      <c r="H63" s="37">
        <f>[1]Grp_1!G61</f>
        <v>75.309600000000003</v>
      </c>
      <c r="I63" s="38">
        <f>[1]Grp_1!H61</f>
        <v>75.309600000000003</v>
      </c>
      <c r="J63" s="20">
        <f>[1]Grp_1!I61</f>
        <v>50.7483</v>
      </c>
      <c r="K63" s="20">
        <f>[1]Grp_1!J61</f>
        <v>28.401</v>
      </c>
      <c r="L63" s="20">
        <f>[1]Grp_1!K61</f>
        <v>27.271000000000001</v>
      </c>
      <c r="M63" s="20">
        <f>[1]Grp_1!L61</f>
        <v>25.040199999999999</v>
      </c>
      <c r="N63" s="20">
        <f>[1]Grp_1!M61</f>
        <v>1.3084800000000001</v>
      </c>
      <c r="O63" s="20">
        <f>[1]Grp_1!N61</f>
        <v>0</v>
      </c>
      <c r="P63" s="20">
        <f>[1]Grp_1!O61</f>
        <v>0</v>
      </c>
      <c r="Q63" s="20">
        <f>[1]Grp_1!P61</f>
        <v>0</v>
      </c>
      <c r="R63" s="20">
        <f>[1]Grp_1!Q61</f>
        <v>0</v>
      </c>
      <c r="S63" s="21">
        <f>[1]Grp_1!R61</f>
        <v>0</v>
      </c>
      <c r="T63" s="9"/>
      <c r="U63" s="9"/>
      <c r="V63" s="10"/>
    </row>
    <row r="64" spans="1:22">
      <c r="A64" s="2">
        <v>61</v>
      </c>
      <c r="B64" s="17" t="str">
        <f>[1]Grp_1!A62</f>
        <v>5772C</v>
      </c>
      <c r="C64" s="30" t="str">
        <f>[1]Grp_1!B62</f>
        <v>Eaglebots</v>
      </c>
      <c r="D64" s="18" t="str">
        <f>[1]Grp_1!C62</f>
        <v>The Harker School</v>
      </c>
      <c r="E64" s="31" t="str">
        <f>[1]Grp_1!D62</f>
        <v>Santa Clara, California, United States</v>
      </c>
      <c r="F64" s="34">
        <f>[1]Grp_1!E62</f>
        <v>275</v>
      </c>
      <c r="G64" s="19">
        <f>[1]Grp_1!F62</f>
        <v>296</v>
      </c>
      <c r="H64" s="37">
        <f>[1]Grp_1!G62</f>
        <v>103.05200000000001</v>
      </c>
      <c r="I64" s="38">
        <f>[1]Grp_1!H62</f>
        <v>49.258400000000002</v>
      </c>
      <c r="J64" s="20">
        <f>[1]Grp_1!I62</f>
        <v>103.05200000000001</v>
      </c>
      <c r="K64" s="20">
        <f>[1]Grp_1!J62</f>
        <v>17.049399999999999</v>
      </c>
      <c r="L64" s="20">
        <f>[1]Grp_1!K62</f>
        <v>34.848300000000002</v>
      </c>
      <c r="M64" s="20">
        <f>[1]Grp_1!L62</f>
        <v>49.651899999999998</v>
      </c>
      <c r="N64" s="20">
        <f>[1]Grp_1!M62</f>
        <v>0</v>
      </c>
      <c r="O64" s="20">
        <f>[1]Grp_1!N62</f>
        <v>0</v>
      </c>
      <c r="P64" s="20">
        <f>[1]Grp_1!O62</f>
        <v>0</v>
      </c>
      <c r="Q64" s="20">
        <f>[1]Grp_1!P62</f>
        <v>0</v>
      </c>
      <c r="R64" s="20">
        <f>[1]Grp_1!Q62</f>
        <v>0</v>
      </c>
      <c r="S64" s="21">
        <f>[1]Grp_1!R62</f>
        <v>0</v>
      </c>
      <c r="T64" s="9"/>
      <c r="U64" s="9"/>
      <c r="V64" s="10"/>
    </row>
    <row r="65" spans="1:22">
      <c r="A65" s="2">
        <v>62</v>
      </c>
      <c r="B65" s="17" t="str">
        <f>[1]Grp_1!A63</f>
        <v>5776Z</v>
      </c>
      <c r="C65" s="30" t="str">
        <f>[1]Grp_1!B63</f>
        <v>DVHS Robotics</v>
      </c>
      <c r="D65" s="18" t="str">
        <f>[1]Grp_1!C63</f>
        <v>Dougherty Valley High School</v>
      </c>
      <c r="E65" s="31" t="str">
        <f>[1]Grp_1!D63</f>
        <v>San Ramon, California, United States</v>
      </c>
      <c r="F65" s="34">
        <f>[1]Grp_1!E63</f>
        <v>76</v>
      </c>
      <c r="G65" s="19">
        <f>[1]Grp_1!F63</f>
        <v>270</v>
      </c>
      <c r="H65" s="37">
        <f>[1]Grp_1!G63</f>
        <v>36.089399999999998</v>
      </c>
      <c r="I65" s="38">
        <f>[1]Grp_1!H63</f>
        <v>36.089399999999998</v>
      </c>
      <c r="J65" s="20">
        <f>[1]Grp_1!I63</f>
        <v>9.6886200000000002</v>
      </c>
      <c r="K65" s="20">
        <f>[1]Grp_1!J63</f>
        <v>20.522200000000002</v>
      </c>
      <c r="L65" s="20">
        <f>[1]Grp_1!K63</f>
        <v>12.0098</v>
      </c>
      <c r="M65" s="20">
        <f>[1]Grp_1!L63</f>
        <v>24.327300000000001</v>
      </c>
      <c r="N65" s="20">
        <f>[1]Grp_1!M63</f>
        <v>0</v>
      </c>
      <c r="O65" s="20">
        <f>[1]Grp_1!N63</f>
        <v>0</v>
      </c>
      <c r="P65" s="20">
        <f>[1]Grp_1!O63</f>
        <v>0</v>
      </c>
      <c r="Q65" s="20">
        <f>[1]Grp_1!P63</f>
        <v>0</v>
      </c>
      <c r="R65" s="20">
        <f>[1]Grp_1!Q63</f>
        <v>0</v>
      </c>
      <c r="S65" s="21">
        <f>[1]Grp_1!R63</f>
        <v>0</v>
      </c>
      <c r="T65" s="9"/>
      <c r="U65" s="9"/>
      <c r="V65" s="10"/>
    </row>
    <row r="66" spans="1:22">
      <c r="A66" s="2">
        <v>63</v>
      </c>
      <c r="B66" s="17" t="str">
        <f>[1]Grp_1!A64</f>
        <v>5937A</v>
      </c>
      <c r="C66" s="30" t="str">
        <f>[1]Grp_1!B64</f>
        <v>F(net)</v>
      </c>
      <c r="D66" s="18" t="str">
        <f>[1]Grp_1!C64</f>
        <v>Nottingham High School</v>
      </c>
      <c r="E66" s="31" t="str">
        <f>[1]Grp_1!D64</f>
        <v>Syracuse, New York, United States</v>
      </c>
      <c r="F66" s="34">
        <f>[1]Grp_1!E64</f>
        <v>142</v>
      </c>
      <c r="G66" s="19">
        <f>[1]Grp_1!F64</f>
        <v>9</v>
      </c>
      <c r="H66" s="37">
        <f>[1]Grp_1!G64</f>
        <v>78.161100000000005</v>
      </c>
      <c r="I66" s="38">
        <f>[1]Grp_1!H64</f>
        <v>51.434899999999999</v>
      </c>
      <c r="J66" s="20">
        <f>[1]Grp_1!I64</f>
        <v>58.996899999999997</v>
      </c>
      <c r="K66" s="20">
        <f>[1]Grp_1!J64</f>
        <v>0</v>
      </c>
      <c r="L66" s="20">
        <f>[1]Grp_1!K64</f>
        <v>78.161100000000005</v>
      </c>
      <c r="M66" s="20">
        <f>[1]Grp_1!L64</f>
        <v>25.923300000000001</v>
      </c>
      <c r="N66" s="20">
        <f>[1]Grp_1!M64</f>
        <v>76.902699999999996</v>
      </c>
      <c r="O66" s="20">
        <f>[1]Grp_1!N64</f>
        <v>0</v>
      </c>
      <c r="P66" s="20">
        <f>[1]Grp_1!O64</f>
        <v>0</v>
      </c>
      <c r="Q66" s="20">
        <f>[1]Grp_1!P64</f>
        <v>0</v>
      </c>
      <c r="R66" s="20">
        <f>[1]Grp_1!Q64</f>
        <v>0</v>
      </c>
      <c r="S66" s="21">
        <f>[1]Grp_1!R64</f>
        <v>0</v>
      </c>
      <c r="T66" s="9"/>
      <c r="U66" s="9"/>
      <c r="V66" s="10"/>
    </row>
    <row r="67" spans="1:22">
      <c r="A67" s="2">
        <v>64</v>
      </c>
      <c r="B67" s="17" t="str">
        <f>[1]Grp_1!A65</f>
        <v>6023S</v>
      </c>
      <c r="C67" s="30" t="str">
        <f>[1]Grp_1!B65</f>
        <v>StoweBots</v>
      </c>
      <c r="D67" s="18" t="str">
        <f>[1]Grp_1!C65</f>
        <v>Stowe School</v>
      </c>
      <c r="E67" s="31" t="str">
        <f>[1]Grp_1!D65</f>
        <v>Buckingham, , United Kingdom</v>
      </c>
      <c r="F67" s="34">
        <f>[1]Grp_1!E65</f>
        <v>203</v>
      </c>
      <c r="G67" s="19">
        <f>[1]Grp_1!F65</f>
        <v>97</v>
      </c>
      <c r="H67" s="37">
        <f>[1]Grp_1!G65</f>
        <v>113.30800000000001</v>
      </c>
      <c r="I67" s="38">
        <f>[1]Grp_1!H65</f>
        <v>113.30800000000001</v>
      </c>
      <c r="J67" s="20">
        <f>[1]Grp_1!I65</f>
        <v>60.097299999999997</v>
      </c>
      <c r="K67" s="20">
        <f>[1]Grp_1!J65</f>
        <v>48.5032</v>
      </c>
      <c r="L67" s="20">
        <f>[1]Grp_1!K65</f>
        <v>42.984000000000002</v>
      </c>
      <c r="M67" s="20">
        <f>[1]Grp_1!L65</f>
        <v>0</v>
      </c>
      <c r="N67" s="20">
        <f>[1]Grp_1!M65</f>
        <v>0</v>
      </c>
      <c r="O67" s="20">
        <f>[1]Grp_1!N65</f>
        <v>0</v>
      </c>
      <c r="P67" s="20">
        <f>[1]Grp_1!O65</f>
        <v>0</v>
      </c>
      <c r="Q67" s="20">
        <f>[1]Grp_1!P65</f>
        <v>0</v>
      </c>
      <c r="R67" s="20">
        <f>[1]Grp_1!Q65</f>
        <v>0</v>
      </c>
      <c r="S67" s="21">
        <f>[1]Grp_1!R65</f>
        <v>0</v>
      </c>
      <c r="T67" s="9"/>
      <c r="U67" s="9"/>
      <c r="V67" s="10"/>
    </row>
    <row r="68" spans="1:22">
      <c r="A68" s="2">
        <v>65</v>
      </c>
      <c r="B68" s="17" t="str">
        <f>[1]Grp_1!A66</f>
        <v>6106A</v>
      </c>
      <c r="C68" s="30" t="str">
        <f>[1]Grp_1!B66</f>
        <v>Choate Robotics</v>
      </c>
      <c r="D68" s="18" t="str">
        <f>[1]Grp_1!C66</f>
        <v>Choate Rosemary Hall</v>
      </c>
      <c r="E68" s="31" t="str">
        <f>[1]Grp_1!D66</f>
        <v>Wallingford, Connecticut, United States</v>
      </c>
      <c r="F68" s="34">
        <f>[1]Grp_1!E66</f>
        <v>117</v>
      </c>
      <c r="G68" s="19">
        <f>[1]Grp_1!F66</f>
        <v>145</v>
      </c>
      <c r="H68" s="37">
        <f>[1]Grp_1!G66</f>
        <v>124.977</v>
      </c>
      <c r="I68" s="38">
        <f>[1]Grp_1!H66</f>
        <v>76.5304</v>
      </c>
      <c r="J68" s="20">
        <f>[1]Grp_1!I66</f>
        <v>124.977</v>
      </c>
      <c r="K68" s="20">
        <f>[1]Grp_1!J66</f>
        <v>118.92100000000001</v>
      </c>
      <c r="L68" s="20">
        <f>[1]Grp_1!K66</f>
        <v>91.825900000000004</v>
      </c>
      <c r="M68" s="20">
        <f>[1]Grp_1!L66</f>
        <v>25.0335</v>
      </c>
      <c r="N68" s="20">
        <f>[1]Grp_1!M66</f>
        <v>20.563800000000001</v>
      </c>
      <c r="O68" s="20">
        <f>[1]Grp_1!N66</f>
        <v>24.290400000000002</v>
      </c>
      <c r="P68" s="20">
        <f>[1]Grp_1!O66</f>
        <v>0</v>
      </c>
      <c r="Q68" s="20">
        <f>[1]Grp_1!P66</f>
        <v>0</v>
      </c>
      <c r="R68" s="20">
        <f>[1]Grp_1!Q66</f>
        <v>0</v>
      </c>
      <c r="S68" s="21">
        <f>[1]Grp_1!R66</f>
        <v>0</v>
      </c>
      <c r="T68" s="9"/>
      <c r="U68" s="9"/>
      <c r="V68" s="10"/>
    </row>
    <row r="69" spans="1:22">
      <c r="A69" s="2">
        <v>66</v>
      </c>
      <c r="B69" s="17" t="str">
        <f>[1]Grp_1!A67</f>
        <v>6135K</v>
      </c>
      <c r="C69" s="30" t="str">
        <f>[1]Grp_1!B67</f>
        <v>CHHS Bruins K</v>
      </c>
      <c r="D69" s="18" t="str">
        <f>[1]Grp_1!C67</f>
        <v>Central Hardin High School PLTW</v>
      </c>
      <c r="E69" s="31" t="str">
        <f>[1]Grp_1!D67</f>
        <v>Cecilia, Kentucky, United States</v>
      </c>
      <c r="F69" s="34">
        <f>[1]Grp_1!E67</f>
        <v>238</v>
      </c>
      <c r="G69" s="19">
        <f>[1]Grp_1!F67</f>
        <v>245</v>
      </c>
      <c r="H69" s="37">
        <f>[1]Grp_1!G67</f>
        <v>76.271900000000002</v>
      </c>
      <c r="I69" s="38">
        <f>[1]Grp_1!H67</f>
        <v>76.271900000000002</v>
      </c>
      <c r="J69" s="20">
        <f>[1]Grp_1!I67</f>
        <v>61.979900000000001</v>
      </c>
      <c r="K69" s="20">
        <f>[1]Grp_1!J67</f>
        <v>35.088999999999999</v>
      </c>
      <c r="L69" s="20">
        <f>[1]Grp_1!K67</f>
        <v>63.208300000000001</v>
      </c>
      <c r="M69" s="20">
        <f>[1]Grp_1!L67</f>
        <v>33.561399999999999</v>
      </c>
      <c r="N69" s="20">
        <f>[1]Grp_1!M67</f>
        <v>26.699100000000001</v>
      </c>
      <c r="O69" s="20">
        <f>[1]Grp_1!N67</f>
        <v>38.849200000000003</v>
      </c>
      <c r="P69" s="20">
        <f>[1]Grp_1!O67</f>
        <v>17.614699999999999</v>
      </c>
      <c r="Q69" s="20">
        <f>[1]Grp_1!P67</f>
        <v>27.6327</v>
      </c>
      <c r="R69" s="20">
        <f>[1]Grp_1!Q67</f>
        <v>0</v>
      </c>
      <c r="S69" s="21">
        <f>[1]Grp_1!R67</f>
        <v>0</v>
      </c>
      <c r="T69" s="9"/>
      <c r="U69" s="9"/>
      <c r="V69" s="10"/>
    </row>
    <row r="70" spans="1:22">
      <c r="A70" s="2">
        <v>67</v>
      </c>
      <c r="B70" s="17" t="str">
        <f>[1]Grp_1!A68</f>
        <v>6272B</v>
      </c>
      <c r="C70" s="30" t="str">
        <f>[1]Grp_1!B68</f>
        <v>STF 2</v>
      </c>
      <c r="D70" s="18" t="str">
        <f>[1]Grp_1!C68</f>
        <v>SEKOLAH TUN FATIMAH</v>
      </c>
      <c r="E70" s="31" t="str">
        <f>[1]Grp_1!D68</f>
        <v>Johor Bahru, N/A, Malaysia</v>
      </c>
      <c r="F70" s="34">
        <f>[1]Grp_1!E68</f>
        <v>34</v>
      </c>
      <c r="G70" s="19">
        <f>[1]Grp_1!F68</f>
        <v>25</v>
      </c>
      <c r="H70" s="37">
        <f>[1]Grp_1!G68</f>
        <v>56.941200000000002</v>
      </c>
      <c r="I70" s="38">
        <f>[1]Grp_1!H68</f>
        <v>56.941200000000002</v>
      </c>
      <c r="J70" s="20">
        <f>[1]Grp_1!I68</f>
        <v>0</v>
      </c>
      <c r="K70" s="20">
        <f>[1]Grp_1!J68</f>
        <v>0</v>
      </c>
      <c r="L70" s="20">
        <f>[1]Grp_1!K68</f>
        <v>0</v>
      </c>
      <c r="M70" s="20">
        <f>[1]Grp_1!L68</f>
        <v>0</v>
      </c>
      <c r="N70" s="20">
        <f>[1]Grp_1!M68</f>
        <v>0</v>
      </c>
      <c r="O70" s="20">
        <f>[1]Grp_1!N68</f>
        <v>0</v>
      </c>
      <c r="P70" s="20">
        <f>[1]Grp_1!O68</f>
        <v>0</v>
      </c>
      <c r="Q70" s="20">
        <f>[1]Grp_1!P68</f>
        <v>0</v>
      </c>
      <c r="R70" s="20">
        <f>[1]Grp_1!Q68</f>
        <v>0</v>
      </c>
      <c r="S70" s="21">
        <f>[1]Grp_1!R68</f>
        <v>0</v>
      </c>
      <c r="T70" s="9"/>
      <c r="U70" s="9"/>
      <c r="V70" s="10"/>
    </row>
    <row r="71" spans="1:22">
      <c r="A71" s="2">
        <v>68</v>
      </c>
      <c r="B71" s="17" t="str">
        <f>[1]Grp_1!A69</f>
        <v>6430B</v>
      </c>
      <c r="C71" s="30" t="str">
        <f>[1]Grp_1!B69</f>
        <v>Trinity Dragons</v>
      </c>
      <c r="D71" s="18" t="str">
        <f>[1]Grp_1!C69</f>
        <v>Trinity Robotics Club</v>
      </c>
      <c r="E71" s="31" t="str">
        <f>[1]Grp_1!D69</f>
        <v>Lutz, Florida, United States</v>
      </c>
      <c r="F71" s="34">
        <f>[1]Grp_1!E69</f>
        <v>277</v>
      </c>
      <c r="G71" s="19">
        <f>[1]Grp_1!F69</f>
        <v>226</v>
      </c>
      <c r="H71" s="37">
        <f>[1]Grp_1!G69</f>
        <v>178.19300000000001</v>
      </c>
      <c r="I71" s="38">
        <f>[1]Grp_1!H69</f>
        <v>133.75800000000001</v>
      </c>
      <c r="J71" s="20">
        <f>[1]Grp_1!I69</f>
        <v>152.06399999999999</v>
      </c>
      <c r="K71" s="20">
        <f>[1]Grp_1!J69</f>
        <v>101.04300000000001</v>
      </c>
      <c r="L71" s="20">
        <f>[1]Grp_1!K69</f>
        <v>178.19300000000001</v>
      </c>
      <c r="M71" s="20">
        <f>[1]Grp_1!L69</f>
        <v>77.030799999999999</v>
      </c>
      <c r="N71" s="20">
        <f>[1]Grp_1!M69</f>
        <v>99.325900000000004</v>
      </c>
      <c r="O71" s="20">
        <f>[1]Grp_1!N69</f>
        <v>0</v>
      </c>
      <c r="P71" s="20">
        <f>[1]Grp_1!O69</f>
        <v>0</v>
      </c>
      <c r="Q71" s="20">
        <f>[1]Grp_1!P69</f>
        <v>0</v>
      </c>
      <c r="R71" s="20">
        <f>[1]Grp_1!Q69</f>
        <v>0</v>
      </c>
      <c r="S71" s="21">
        <f>[1]Grp_1!R69</f>
        <v>0</v>
      </c>
      <c r="T71" s="9"/>
      <c r="U71" s="9"/>
      <c r="V71" s="10"/>
    </row>
    <row r="72" spans="1:22">
      <c r="A72" s="2">
        <v>69</v>
      </c>
      <c r="B72" s="17" t="str">
        <f>[1]Grp_1!A70</f>
        <v>6659</v>
      </c>
      <c r="C72" s="30" t="str">
        <f>[1]Grp_1!B70</f>
        <v>Jackie Moon</v>
      </c>
      <c r="D72" s="18" t="str">
        <f>[1]Grp_1!C70</f>
        <v>Master's Academy &amp; College</v>
      </c>
      <c r="E72" s="31" t="str">
        <f>[1]Grp_1!D70</f>
        <v>Calgary, Alberta, Canada</v>
      </c>
      <c r="F72" s="34">
        <f>[1]Grp_1!E70</f>
        <v>176</v>
      </c>
      <c r="G72" s="19">
        <f>[1]Grp_1!F70</f>
        <v>301</v>
      </c>
      <c r="H72" s="37">
        <f>[1]Grp_1!G70</f>
        <v>121.7</v>
      </c>
      <c r="I72" s="38">
        <f>[1]Grp_1!H70</f>
        <v>91.950699999999998</v>
      </c>
      <c r="J72" s="20">
        <f>[1]Grp_1!I70</f>
        <v>121.7</v>
      </c>
      <c r="K72" s="20">
        <f>[1]Grp_1!J70</f>
        <v>102.002</v>
      </c>
      <c r="L72" s="20">
        <f>[1]Grp_1!K70</f>
        <v>31.083200000000001</v>
      </c>
      <c r="M72" s="20">
        <f>[1]Grp_1!L70</f>
        <v>0</v>
      </c>
      <c r="N72" s="20">
        <f>[1]Grp_1!M70</f>
        <v>0</v>
      </c>
      <c r="O72" s="20">
        <f>[1]Grp_1!N70</f>
        <v>0</v>
      </c>
      <c r="P72" s="20">
        <f>[1]Grp_1!O70</f>
        <v>0</v>
      </c>
      <c r="Q72" s="20">
        <f>[1]Grp_1!P70</f>
        <v>0</v>
      </c>
      <c r="R72" s="20">
        <f>[1]Grp_1!Q70</f>
        <v>0</v>
      </c>
      <c r="S72" s="21">
        <f>[1]Grp_1!R70</f>
        <v>0</v>
      </c>
      <c r="T72" s="9"/>
      <c r="U72" s="9"/>
      <c r="V72" s="10"/>
    </row>
    <row r="73" spans="1:22">
      <c r="A73" s="2">
        <v>70</v>
      </c>
      <c r="B73" s="17" t="str">
        <f>[1]Grp_1!A71</f>
        <v>6740B</v>
      </c>
      <c r="C73" s="30" t="str">
        <f>[1]Grp_1!B71</f>
        <v>Simon</v>
      </c>
      <c r="D73" s="18" t="str">
        <f>[1]Grp_1!C71</f>
        <v>Team Alvin</v>
      </c>
      <c r="E73" s="31" t="str">
        <f>[1]Grp_1!D71</f>
        <v>Glen Allen, Virginia, United States</v>
      </c>
      <c r="F73" s="34">
        <f>[1]Grp_1!E71</f>
        <v>215</v>
      </c>
      <c r="G73" s="19">
        <f>[1]Grp_1!F71</f>
        <v>241</v>
      </c>
      <c r="H73" s="37">
        <f>[1]Grp_1!G71</f>
        <v>96.616299999999995</v>
      </c>
      <c r="I73" s="38">
        <f>[1]Grp_1!H71</f>
        <v>74.914699999999996</v>
      </c>
      <c r="J73" s="20">
        <f>[1]Grp_1!I71</f>
        <v>96.616299999999995</v>
      </c>
      <c r="K73" s="20">
        <f>[1]Grp_1!J71</f>
        <v>79.116200000000006</v>
      </c>
      <c r="L73" s="20">
        <f>[1]Grp_1!K71</f>
        <v>0</v>
      </c>
      <c r="M73" s="20">
        <f>[1]Grp_1!L71</f>
        <v>0</v>
      </c>
      <c r="N73" s="20">
        <f>[1]Grp_1!M71</f>
        <v>0</v>
      </c>
      <c r="O73" s="20">
        <f>[1]Grp_1!N71</f>
        <v>0</v>
      </c>
      <c r="P73" s="20">
        <f>[1]Grp_1!O71</f>
        <v>0</v>
      </c>
      <c r="Q73" s="20">
        <f>[1]Grp_1!P71</f>
        <v>0</v>
      </c>
      <c r="R73" s="20">
        <f>[1]Grp_1!Q71</f>
        <v>0</v>
      </c>
      <c r="S73" s="21">
        <f>[1]Grp_1!R71</f>
        <v>0</v>
      </c>
      <c r="T73" s="9"/>
      <c r="U73" s="9"/>
      <c r="V73" s="10"/>
    </row>
    <row r="74" spans="1:22">
      <c r="A74" s="2">
        <v>71</v>
      </c>
      <c r="B74" s="17" t="str">
        <f>[1]Grp_1!A72</f>
        <v>6891</v>
      </c>
      <c r="C74" s="30" t="str">
        <f>[1]Grp_1!B72</f>
        <v>Jackpot</v>
      </c>
      <c r="D74" s="18" t="str">
        <f>[1]Grp_1!C72</f>
        <v>Faith Lutheran High School</v>
      </c>
      <c r="E74" s="31" t="str">
        <f>[1]Grp_1!D72</f>
        <v>Las Vegas, Nevada, United States</v>
      </c>
      <c r="F74" s="34">
        <f>[1]Grp_1!E72</f>
        <v>315</v>
      </c>
      <c r="G74" s="19">
        <f>[1]Grp_1!F72</f>
        <v>316</v>
      </c>
      <c r="H74" s="37">
        <f>[1]Grp_1!G72</f>
        <v>143.566</v>
      </c>
      <c r="I74" s="38">
        <f>[1]Grp_1!H72</f>
        <v>71.621200000000002</v>
      </c>
      <c r="J74" s="20">
        <f>[1]Grp_1!I72</f>
        <v>143.566</v>
      </c>
      <c r="K74" s="20">
        <f>[1]Grp_1!J72</f>
        <v>79.794899999999998</v>
      </c>
      <c r="L74" s="20">
        <f>[1]Grp_1!K72</f>
        <v>68.917299999999997</v>
      </c>
      <c r="M74" s="20">
        <f>[1]Grp_1!L72</f>
        <v>0</v>
      </c>
      <c r="N74" s="20">
        <f>[1]Grp_1!M72</f>
        <v>0</v>
      </c>
      <c r="O74" s="20">
        <f>[1]Grp_1!N72</f>
        <v>0</v>
      </c>
      <c r="P74" s="20">
        <f>[1]Grp_1!O72</f>
        <v>0</v>
      </c>
      <c r="Q74" s="20">
        <f>[1]Grp_1!P72</f>
        <v>0</v>
      </c>
      <c r="R74" s="20">
        <f>[1]Grp_1!Q72</f>
        <v>0</v>
      </c>
      <c r="S74" s="21">
        <f>[1]Grp_1!R72</f>
        <v>0</v>
      </c>
      <c r="T74" s="9"/>
      <c r="U74" s="9"/>
      <c r="V74" s="10"/>
    </row>
    <row r="75" spans="1:22">
      <c r="A75" s="2">
        <v>72</v>
      </c>
      <c r="B75" s="17" t="str">
        <f>[1]Grp_1!A73</f>
        <v>7001D</v>
      </c>
      <c r="C75" s="30" t="str">
        <f>[1]Grp_1!B73</f>
        <v>CECYTE CHIAPAS</v>
      </c>
      <c r="D75" s="18" t="str">
        <f>[1]Grp_1!C73</f>
        <v>CECYTE CHIAPAS</v>
      </c>
      <c r="E75" s="31" t="str">
        <f>[1]Grp_1!D73</f>
        <v>Tuxtla Gutierrez, Chiapas, Mexico</v>
      </c>
      <c r="F75" s="34">
        <f>[1]Grp_1!E73</f>
        <v>0</v>
      </c>
      <c r="G75" s="19">
        <f>[1]Grp_1!F73</f>
        <v>0</v>
      </c>
      <c r="H75" s="37">
        <f>[1]Grp_1!G73</f>
        <v>37.136800000000001</v>
      </c>
      <c r="I75" s="38">
        <f>[1]Grp_1!H73</f>
        <v>37.136800000000001</v>
      </c>
      <c r="J75" s="20">
        <f>[1]Grp_1!I73</f>
        <v>11.3995</v>
      </c>
      <c r="K75" s="20">
        <f>[1]Grp_1!J73</f>
        <v>27.732299999999999</v>
      </c>
      <c r="L75" s="20">
        <f>[1]Grp_1!K73</f>
        <v>0</v>
      </c>
      <c r="M75" s="20">
        <f>[1]Grp_1!L73</f>
        <v>0</v>
      </c>
      <c r="N75" s="20">
        <f>[1]Grp_1!M73</f>
        <v>0</v>
      </c>
      <c r="O75" s="20">
        <f>[1]Grp_1!N73</f>
        <v>0</v>
      </c>
      <c r="P75" s="20">
        <f>[1]Grp_1!O73</f>
        <v>0</v>
      </c>
      <c r="Q75" s="20">
        <f>[1]Grp_1!P73</f>
        <v>0</v>
      </c>
      <c r="R75" s="20">
        <f>[1]Grp_1!Q73</f>
        <v>0</v>
      </c>
      <c r="S75" s="21">
        <f>[1]Grp_1!R73</f>
        <v>0</v>
      </c>
      <c r="T75" s="9"/>
      <c r="U75" s="9"/>
      <c r="V75" s="10"/>
    </row>
    <row r="76" spans="1:22">
      <c r="A76" s="2">
        <v>73</v>
      </c>
      <c r="B76" s="17" t="str">
        <f>[1]Grp_1!A74</f>
        <v>7121</v>
      </c>
      <c r="C76" s="30" t="str">
        <f>[1]Grp_1!B74</f>
        <v>Maverick Robotics</v>
      </c>
      <c r="D76" s="18" t="str">
        <f>[1]Grp_1!C74</f>
        <v>Archbishop Edward A. McCarthy High School</v>
      </c>
      <c r="E76" s="31" t="str">
        <f>[1]Grp_1!D74</f>
        <v>Southwest Ranches, Florida, United States</v>
      </c>
      <c r="F76" s="34">
        <f>[1]Grp_1!E74</f>
        <v>123</v>
      </c>
      <c r="G76" s="19">
        <f>[1]Grp_1!F74</f>
        <v>97</v>
      </c>
      <c r="H76" s="37">
        <f>[1]Grp_1!G74</f>
        <v>78.770899999999997</v>
      </c>
      <c r="I76" s="38">
        <f>[1]Grp_1!H74</f>
        <v>42.030099999999997</v>
      </c>
      <c r="J76" s="20">
        <f>[1]Grp_1!I74</f>
        <v>49.448799999999999</v>
      </c>
      <c r="K76" s="20">
        <f>[1]Grp_1!J74</f>
        <v>78.770899999999997</v>
      </c>
      <c r="L76" s="20">
        <f>[1]Grp_1!K74</f>
        <v>16.523499999999999</v>
      </c>
      <c r="M76" s="20">
        <f>[1]Grp_1!L74</f>
        <v>35.896500000000003</v>
      </c>
      <c r="N76" s="20">
        <f>[1]Grp_1!M74</f>
        <v>5.4888199999999996</v>
      </c>
      <c r="O76" s="20">
        <f>[1]Grp_1!N74</f>
        <v>0</v>
      </c>
      <c r="P76" s="20">
        <f>[1]Grp_1!O74</f>
        <v>0</v>
      </c>
      <c r="Q76" s="20">
        <f>[1]Grp_1!P74</f>
        <v>0</v>
      </c>
      <c r="R76" s="20">
        <f>[1]Grp_1!Q74</f>
        <v>0</v>
      </c>
      <c r="S76" s="21">
        <f>[1]Grp_1!R74</f>
        <v>0</v>
      </c>
      <c r="T76" s="9"/>
      <c r="U76" s="9"/>
      <c r="V76" s="10"/>
    </row>
    <row r="77" spans="1:22">
      <c r="A77" s="2">
        <v>74</v>
      </c>
      <c r="B77" s="17" t="str">
        <f>[1]Grp_1!A75</f>
        <v>7232Z</v>
      </c>
      <c r="C77" s="30" t="str">
        <f>[1]Grp_1!B75</f>
        <v>Cyber Pirates</v>
      </c>
      <c r="D77" s="18" t="str">
        <f>[1]Grp_1!C75</f>
        <v>Belton High School</v>
      </c>
      <c r="E77" s="31" t="str">
        <f>[1]Grp_1!D75</f>
        <v>Belton, Missouri, United States</v>
      </c>
      <c r="F77" s="34">
        <f>[1]Grp_1!E75</f>
        <v>341</v>
      </c>
      <c r="G77" s="19">
        <f>[1]Grp_1!F75</f>
        <v>160</v>
      </c>
      <c r="H77" s="37">
        <f>[1]Grp_1!G75</f>
        <v>142.72900000000001</v>
      </c>
      <c r="I77" s="38">
        <f>[1]Grp_1!H75</f>
        <v>139.12899999999999</v>
      </c>
      <c r="J77" s="20">
        <f>[1]Grp_1!I75</f>
        <v>142.72900000000001</v>
      </c>
      <c r="K77" s="20">
        <f>[1]Grp_1!J75</f>
        <v>76.161500000000004</v>
      </c>
      <c r="L77" s="20">
        <f>[1]Grp_1!K75</f>
        <v>117.514</v>
      </c>
      <c r="M77" s="20">
        <f>[1]Grp_1!L75</f>
        <v>71.346500000000006</v>
      </c>
      <c r="N77" s="20">
        <f>[1]Grp_1!M75</f>
        <v>52.382800000000003</v>
      </c>
      <c r="O77" s="20">
        <f>[1]Grp_1!N75</f>
        <v>44.479700000000001</v>
      </c>
      <c r="P77" s="20">
        <f>[1]Grp_1!O75</f>
        <v>68.893799999999999</v>
      </c>
      <c r="Q77" s="20">
        <f>[1]Grp_1!P75</f>
        <v>86.416899999999998</v>
      </c>
      <c r="R77" s="20">
        <f>[1]Grp_1!Q75</f>
        <v>0</v>
      </c>
      <c r="S77" s="21">
        <f>[1]Grp_1!R75</f>
        <v>0</v>
      </c>
      <c r="T77" s="9"/>
      <c r="U77" s="9"/>
      <c r="V77" s="10"/>
    </row>
    <row r="78" spans="1:22">
      <c r="A78" s="2">
        <v>75</v>
      </c>
      <c r="B78" s="17" t="str">
        <f>[1]Grp_1!A76</f>
        <v>7439</v>
      </c>
      <c r="C78" s="30" t="str">
        <f>[1]Grp_1!B76</f>
        <v>Berwick Academy</v>
      </c>
      <c r="D78" s="18" t="str">
        <f>[1]Grp_1!C76</f>
        <v>Berwick Academy</v>
      </c>
      <c r="E78" s="31" t="str">
        <f>[1]Grp_1!D76</f>
        <v>South Berwick, Maine, United States</v>
      </c>
      <c r="F78" s="34">
        <f>[1]Grp_1!E76</f>
        <v>116</v>
      </c>
      <c r="G78" s="19">
        <f>[1]Grp_1!F76</f>
        <v>120</v>
      </c>
      <c r="H78" s="37">
        <f>[1]Grp_1!G76</f>
        <v>92.478800000000007</v>
      </c>
      <c r="I78" s="38">
        <f>[1]Grp_1!H76</f>
        <v>92.478800000000007</v>
      </c>
      <c r="J78" s="20">
        <f>[1]Grp_1!I76</f>
        <v>56.442500000000003</v>
      </c>
      <c r="K78" s="20">
        <f>[1]Grp_1!J76</f>
        <v>51.281700000000001</v>
      </c>
      <c r="L78" s="20">
        <f>[1]Grp_1!K76</f>
        <v>12.6731</v>
      </c>
      <c r="M78" s="20">
        <f>[1]Grp_1!L76</f>
        <v>0</v>
      </c>
      <c r="N78" s="20">
        <f>[1]Grp_1!M76</f>
        <v>0</v>
      </c>
      <c r="O78" s="20">
        <f>[1]Grp_1!N76</f>
        <v>0</v>
      </c>
      <c r="P78" s="20">
        <f>[1]Grp_1!O76</f>
        <v>0</v>
      </c>
      <c r="Q78" s="20">
        <f>[1]Grp_1!P76</f>
        <v>0</v>
      </c>
      <c r="R78" s="20">
        <f>[1]Grp_1!Q76</f>
        <v>0</v>
      </c>
      <c r="S78" s="21">
        <f>[1]Grp_1!R76</f>
        <v>0</v>
      </c>
      <c r="T78" s="9"/>
      <c r="U78" s="9"/>
      <c r="V78" s="10"/>
    </row>
    <row r="79" spans="1:22">
      <c r="A79" s="2">
        <v>76</v>
      </c>
      <c r="B79" s="17" t="str">
        <f>[1]Grp_1!A77</f>
        <v>7612</v>
      </c>
      <c r="C79" s="30" t="str">
        <f>[1]Grp_1!B77</f>
        <v>Cherokee Co. Career Tech</v>
      </c>
      <c r="D79" s="18" t="str">
        <f>[1]Grp_1!C77</f>
        <v>Cherokee County Career Technical Center</v>
      </c>
      <c r="E79" s="31" t="str">
        <f>[1]Grp_1!D77</f>
        <v>centre, Alabama, United States</v>
      </c>
      <c r="F79" s="34">
        <f>[1]Grp_1!E77</f>
        <v>201</v>
      </c>
      <c r="G79" s="19">
        <f>[1]Grp_1!F77</f>
        <v>183</v>
      </c>
      <c r="H79" s="37">
        <f>[1]Grp_1!G77</f>
        <v>78.817499999999995</v>
      </c>
      <c r="I79" s="38">
        <f>[1]Grp_1!H77</f>
        <v>78.817499999999995</v>
      </c>
      <c r="J79" s="20">
        <f>[1]Grp_1!I77</f>
        <v>33.689399999999999</v>
      </c>
      <c r="K79" s="20">
        <f>[1]Grp_1!J77</f>
        <v>3.6130399999999998</v>
      </c>
      <c r="L79" s="20">
        <f>[1]Grp_1!K77</f>
        <v>0</v>
      </c>
      <c r="M79" s="20">
        <f>[1]Grp_1!L77</f>
        <v>0</v>
      </c>
      <c r="N79" s="20">
        <f>[1]Grp_1!M77</f>
        <v>0</v>
      </c>
      <c r="O79" s="20">
        <f>[1]Grp_1!N77</f>
        <v>0</v>
      </c>
      <c r="P79" s="20">
        <f>[1]Grp_1!O77</f>
        <v>0</v>
      </c>
      <c r="Q79" s="20">
        <f>[1]Grp_1!P77</f>
        <v>0</v>
      </c>
      <c r="R79" s="20">
        <f>[1]Grp_1!Q77</f>
        <v>0</v>
      </c>
      <c r="S79" s="21">
        <f>[1]Grp_1!R77</f>
        <v>0</v>
      </c>
      <c r="T79" s="9"/>
      <c r="U79" s="9"/>
      <c r="V79" s="10"/>
    </row>
    <row r="80" spans="1:22">
      <c r="A80" s="2">
        <v>77</v>
      </c>
      <c r="B80" s="17" t="str">
        <f>[1]Grp_1!A78</f>
        <v>7682E</v>
      </c>
      <c r="C80" s="30" t="str">
        <f>[1]Grp_1!B78</f>
        <v>Wingus &amp; Dingus</v>
      </c>
      <c r="D80" s="18" t="str">
        <f>[1]Grp_1!C78</f>
        <v>Wingus &amp; Dingus Robotics</v>
      </c>
      <c r="E80" s="31" t="str">
        <f>[1]Grp_1!D78</f>
        <v>Auckland, N/A, New Zealand</v>
      </c>
      <c r="F80" s="34">
        <f>[1]Grp_1!E78</f>
        <v>230</v>
      </c>
      <c r="G80" s="19">
        <f>[1]Grp_1!F78</f>
        <v>285</v>
      </c>
      <c r="H80" s="37">
        <f>[1]Grp_1!G78</f>
        <v>157.851</v>
      </c>
      <c r="I80" s="38">
        <f>[1]Grp_1!H78</f>
        <v>157.851</v>
      </c>
      <c r="J80" s="20">
        <f>[1]Grp_1!I78</f>
        <v>145.33600000000001</v>
      </c>
      <c r="K80" s="20">
        <f>[1]Grp_1!J78</f>
        <v>108.307</v>
      </c>
      <c r="L80" s="20">
        <f>[1]Grp_1!K78</f>
        <v>125.81</v>
      </c>
      <c r="M80" s="20">
        <f>[1]Grp_1!L78</f>
        <v>0</v>
      </c>
      <c r="N80" s="20">
        <f>[1]Grp_1!M78</f>
        <v>0</v>
      </c>
      <c r="O80" s="20">
        <f>[1]Grp_1!N78</f>
        <v>0</v>
      </c>
      <c r="P80" s="20">
        <f>[1]Grp_1!O78</f>
        <v>0</v>
      </c>
      <c r="Q80" s="20">
        <f>[1]Grp_1!P78</f>
        <v>0</v>
      </c>
      <c r="R80" s="20">
        <f>[1]Grp_1!Q78</f>
        <v>0</v>
      </c>
      <c r="S80" s="21">
        <f>[1]Grp_1!R78</f>
        <v>0</v>
      </c>
      <c r="T80" s="9"/>
      <c r="U80" s="9"/>
      <c r="V80" s="10"/>
    </row>
    <row r="81" spans="1:22">
      <c r="A81" s="2">
        <v>78</v>
      </c>
      <c r="B81" s="17" t="str">
        <f>[1]Grp_1!A79</f>
        <v>7853</v>
      </c>
      <c r="C81" s="30" t="str">
        <f>[1]Grp_1!B79</f>
        <v>Black Knights-Spectre</v>
      </c>
      <c r="D81" s="18" t="str">
        <f>[1]Grp_1!C79</f>
        <v>Sierra Vista High School</v>
      </c>
      <c r="E81" s="31" t="str">
        <f>[1]Grp_1!D79</f>
        <v>Las Vegas, Nevada, United States</v>
      </c>
      <c r="F81" s="34">
        <f>[1]Grp_1!E79</f>
        <v>296</v>
      </c>
      <c r="G81" s="19">
        <f>[1]Grp_1!F79</f>
        <v>155</v>
      </c>
      <c r="H81" s="37">
        <f>[1]Grp_1!G79</f>
        <v>86.630600000000001</v>
      </c>
      <c r="I81" s="38">
        <f>[1]Grp_1!H79</f>
        <v>50.817300000000003</v>
      </c>
      <c r="J81" s="20">
        <f>[1]Grp_1!I79</f>
        <v>86.630600000000001</v>
      </c>
      <c r="K81" s="20">
        <f>[1]Grp_1!J79</f>
        <v>81.441100000000006</v>
      </c>
      <c r="L81" s="20">
        <f>[1]Grp_1!K79</f>
        <v>55.369100000000003</v>
      </c>
      <c r="M81" s="20">
        <f>[1]Grp_1!L79</f>
        <v>0</v>
      </c>
      <c r="N81" s="20">
        <f>[1]Grp_1!M79</f>
        <v>0</v>
      </c>
      <c r="O81" s="20">
        <f>[1]Grp_1!N79</f>
        <v>0</v>
      </c>
      <c r="P81" s="20">
        <f>[1]Grp_1!O79</f>
        <v>0</v>
      </c>
      <c r="Q81" s="20">
        <f>[1]Grp_1!P79</f>
        <v>0</v>
      </c>
      <c r="R81" s="20">
        <f>[1]Grp_1!Q79</f>
        <v>0</v>
      </c>
      <c r="S81" s="21">
        <f>[1]Grp_1!R79</f>
        <v>0</v>
      </c>
      <c r="T81" s="9"/>
      <c r="U81" s="9"/>
      <c r="V81" s="10"/>
    </row>
    <row r="82" spans="1:22">
      <c r="A82" s="2">
        <v>79</v>
      </c>
      <c r="B82" s="17" t="str">
        <f>[1]Grp_1!A80</f>
        <v>7882B</v>
      </c>
      <c r="C82" s="30" t="str">
        <f>[1]Grp_1!B80</f>
        <v>MCCTC #2</v>
      </c>
      <c r="D82" s="18" t="str">
        <f>[1]Grp_1!C80</f>
        <v>Mahoning County Career and Technical Center</v>
      </c>
      <c r="E82" s="31" t="str">
        <f>[1]Grp_1!D80</f>
        <v>Canfield, Ohio, United States</v>
      </c>
      <c r="F82" s="34">
        <f>[1]Grp_1!E80</f>
        <v>100</v>
      </c>
      <c r="G82" s="19">
        <f>[1]Grp_1!F80</f>
        <v>0</v>
      </c>
      <c r="H82" s="37">
        <f>[1]Grp_1!G80</f>
        <v>83.104500000000002</v>
      </c>
      <c r="I82" s="38">
        <f>[1]Grp_1!H80</f>
        <v>83.104500000000002</v>
      </c>
      <c r="J82" s="20">
        <f>[1]Grp_1!I80</f>
        <v>79.819699999999997</v>
      </c>
      <c r="K82" s="20">
        <f>[1]Grp_1!J80</f>
        <v>68.011799999999994</v>
      </c>
      <c r="L82" s="20">
        <f>[1]Grp_1!K80</f>
        <v>61.6873</v>
      </c>
      <c r="M82" s="20">
        <f>[1]Grp_1!L80</f>
        <v>25.730599999999999</v>
      </c>
      <c r="N82" s="20">
        <f>[1]Grp_1!M80</f>
        <v>1.53363</v>
      </c>
      <c r="O82" s="20">
        <f>[1]Grp_1!N80</f>
        <v>0</v>
      </c>
      <c r="P82" s="20">
        <f>[1]Grp_1!O80</f>
        <v>0</v>
      </c>
      <c r="Q82" s="20">
        <f>[1]Grp_1!P80</f>
        <v>0</v>
      </c>
      <c r="R82" s="20">
        <f>[1]Grp_1!Q80</f>
        <v>0</v>
      </c>
      <c r="S82" s="21">
        <f>[1]Grp_1!R80</f>
        <v>0</v>
      </c>
      <c r="T82" s="9"/>
      <c r="U82" s="9"/>
      <c r="V82" s="10"/>
    </row>
    <row r="83" spans="1:22">
      <c r="A83" s="2">
        <v>80</v>
      </c>
      <c r="B83" s="17" t="str">
        <f>[1]Grp_1!A81</f>
        <v>7972D</v>
      </c>
      <c r="C83" s="30" t="str">
        <f>[1]Grp_1!B81</f>
        <v>Gaoxin NO.1 HSch D</v>
      </c>
      <c r="D83" s="18" t="str">
        <f>[1]Grp_1!C81</f>
        <v>Xi'an Gaoxin NO.1 High School</v>
      </c>
      <c r="E83" s="31" t="str">
        <f>[1]Grp_1!D81</f>
        <v>xi'an, Not Applicable or Not Listed, China</v>
      </c>
      <c r="F83" s="34">
        <f>[1]Grp_1!E81</f>
        <v>300</v>
      </c>
      <c r="G83" s="19">
        <f>[1]Grp_1!F81</f>
        <v>335</v>
      </c>
      <c r="H83" s="37">
        <f>[1]Grp_1!G81</f>
        <v>59.1907</v>
      </c>
      <c r="I83" s="38">
        <f>[1]Grp_1!H81</f>
        <v>59.1907</v>
      </c>
      <c r="J83" s="20">
        <f>[1]Grp_1!I81</f>
        <v>0</v>
      </c>
      <c r="K83" s="20">
        <f>[1]Grp_1!J81</f>
        <v>0</v>
      </c>
      <c r="L83" s="20">
        <f>[1]Grp_1!K81</f>
        <v>0</v>
      </c>
      <c r="M83" s="20">
        <f>[1]Grp_1!L81</f>
        <v>0</v>
      </c>
      <c r="N83" s="20">
        <f>[1]Grp_1!M81</f>
        <v>0</v>
      </c>
      <c r="O83" s="20">
        <f>[1]Grp_1!N81</f>
        <v>0</v>
      </c>
      <c r="P83" s="20">
        <f>[1]Grp_1!O81</f>
        <v>0</v>
      </c>
      <c r="Q83" s="20">
        <f>[1]Grp_1!P81</f>
        <v>0</v>
      </c>
      <c r="R83" s="20">
        <f>[1]Grp_1!Q81</f>
        <v>0</v>
      </c>
      <c r="S83" s="21">
        <f>[1]Grp_1!R81</f>
        <v>0</v>
      </c>
      <c r="T83" s="9"/>
      <c r="U83" s="9"/>
      <c r="V83" s="10"/>
    </row>
    <row r="84" spans="1:22">
      <c r="A84" s="2">
        <v>81</v>
      </c>
      <c r="B84" s="17" t="str">
        <f>[1]Grp_1!A82</f>
        <v>8000G</v>
      </c>
      <c r="C84" s="30" t="str">
        <f>[1]Grp_1!B82</f>
        <v>HRS Robohawks</v>
      </c>
      <c r="D84" s="18" t="str">
        <f>[1]Grp_1!C82</f>
        <v>Head-Royce School</v>
      </c>
      <c r="E84" s="31" t="str">
        <f>[1]Grp_1!D82</f>
        <v>Oakland, California, United States</v>
      </c>
      <c r="F84" s="34">
        <f>[1]Grp_1!E82</f>
        <v>175</v>
      </c>
      <c r="G84" s="19">
        <f>[1]Grp_1!F82</f>
        <v>0</v>
      </c>
      <c r="H84" s="37">
        <f>[1]Grp_1!G82</f>
        <v>120.736</v>
      </c>
      <c r="I84" s="38">
        <f>[1]Grp_1!H82</f>
        <v>78.539599999999993</v>
      </c>
      <c r="J84" s="20">
        <f>[1]Grp_1!I82</f>
        <v>120.736</v>
      </c>
      <c r="K84" s="20">
        <f>[1]Grp_1!J82</f>
        <v>0</v>
      </c>
      <c r="L84" s="20">
        <f>[1]Grp_1!K82</f>
        <v>0</v>
      </c>
      <c r="M84" s="20">
        <f>[1]Grp_1!L82</f>
        <v>0</v>
      </c>
      <c r="N84" s="20">
        <f>[1]Grp_1!M82</f>
        <v>0</v>
      </c>
      <c r="O84" s="20">
        <f>[1]Grp_1!N82</f>
        <v>0</v>
      </c>
      <c r="P84" s="20">
        <f>[1]Grp_1!O82</f>
        <v>0</v>
      </c>
      <c r="Q84" s="20">
        <f>[1]Grp_1!P82</f>
        <v>0</v>
      </c>
      <c r="R84" s="20">
        <f>[1]Grp_1!Q82</f>
        <v>0</v>
      </c>
      <c r="S84" s="21">
        <f>[1]Grp_1!R82</f>
        <v>0</v>
      </c>
      <c r="T84" s="9"/>
      <c r="U84" s="9"/>
      <c r="V84" s="10"/>
    </row>
    <row r="85" spans="1:22">
      <c r="A85" s="2">
        <v>82</v>
      </c>
      <c r="B85" s="17" t="str">
        <f>[1]Grp_1!A83</f>
        <v>8086A</v>
      </c>
      <c r="C85" s="30" t="str">
        <f>[1]Grp_1!B83</f>
        <v>Semiconductors</v>
      </c>
      <c r="D85" s="18" t="str">
        <f>[1]Grp_1!C83</f>
        <v>Team Semiconductors</v>
      </c>
      <c r="E85" s="31" t="str">
        <f>[1]Grp_1!D83</f>
        <v>Glen Allen, Virginia, United States</v>
      </c>
      <c r="F85" s="34">
        <f>[1]Grp_1!E83</f>
        <v>223</v>
      </c>
      <c r="G85" s="19">
        <f>[1]Grp_1!F83</f>
        <v>230</v>
      </c>
      <c r="H85" s="37">
        <f>[1]Grp_1!G83</f>
        <v>119.036</v>
      </c>
      <c r="I85" s="38">
        <f>[1]Grp_1!H83</f>
        <v>94.817999999999998</v>
      </c>
      <c r="J85" s="20">
        <f>[1]Grp_1!I83</f>
        <v>119.036</v>
      </c>
      <c r="K85" s="20">
        <f>[1]Grp_1!J83</f>
        <v>37.289400000000001</v>
      </c>
      <c r="L85" s="20">
        <f>[1]Grp_1!K83</f>
        <v>57.082000000000001</v>
      </c>
      <c r="M85" s="20">
        <f>[1]Grp_1!L83</f>
        <v>60.566899999999997</v>
      </c>
      <c r="N85" s="20">
        <f>[1]Grp_1!M83</f>
        <v>0</v>
      </c>
      <c r="O85" s="20">
        <f>[1]Grp_1!N83</f>
        <v>0</v>
      </c>
      <c r="P85" s="20">
        <f>[1]Grp_1!O83</f>
        <v>0</v>
      </c>
      <c r="Q85" s="20">
        <f>[1]Grp_1!P83</f>
        <v>0</v>
      </c>
      <c r="R85" s="20">
        <f>[1]Grp_1!Q83</f>
        <v>0</v>
      </c>
      <c r="S85" s="21">
        <f>[1]Grp_1!R83</f>
        <v>0</v>
      </c>
      <c r="T85" s="9"/>
      <c r="U85" s="9"/>
      <c r="V85" s="10"/>
    </row>
    <row r="86" spans="1:22">
      <c r="A86" s="2">
        <v>83</v>
      </c>
      <c r="B86" s="17" t="str">
        <f>[1]Grp_1!A84</f>
        <v>8227</v>
      </c>
      <c r="C86" s="30" t="str">
        <f>[1]Grp_1!B84</f>
        <v>Pingtan NO.1 High Sch A</v>
      </c>
      <c r="D86" s="18" t="str">
        <f>[1]Grp_1!C84</f>
        <v>Fujian Pingtan NO.1 High School</v>
      </c>
      <c r="E86" s="31" t="str">
        <f>[1]Grp_1!D84</f>
        <v>Fujian, Not Applicable or Not Listed, China</v>
      </c>
      <c r="F86" s="34">
        <f>[1]Grp_1!E84</f>
        <v>0</v>
      </c>
      <c r="G86" s="19">
        <f>[1]Grp_1!F84</f>
        <v>0</v>
      </c>
      <c r="H86" s="37">
        <f>[1]Grp_1!G84</f>
        <v>0</v>
      </c>
      <c r="I86" s="38">
        <f>[1]Grp_1!H84</f>
        <v>0</v>
      </c>
      <c r="J86" s="20">
        <f>[1]Grp_1!I84</f>
        <v>0</v>
      </c>
      <c r="K86" s="20">
        <f>[1]Grp_1!J84</f>
        <v>0</v>
      </c>
      <c r="L86" s="20">
        <f>[1]Grp_1!K84</f>
        <v>0</v>
      </c>
      <c r="M86" s="20">
        <f>[1]Grp_1!L84</f>
        <v>0</v>
      </c>
      <c r="N86" s="20">
        <f>[1]Grp_1!M84</f>
        <v>0</v>
      </c>
      <c r="O86" s="20">
        <f>[1]Grp_1!N84</f>
        <v>0</v>
      </c>
      <c r="P86" s="20">
        <f>[1]Grp_1!O84</f>
        <v>0</v>
      </c>
      <c r="Q86" s="20">
        <f>[1]Grp_1!P84</f>
        <v>0</v>
      </c>
      <c r="R86" s="20">
        <f>[1]Grp_1!Q84</f>
        <v>0</v>
      </c>
      <c r="S86" s="21">
        <f>[1]Grp_1!R84</f>
        <v>0</v>
      </c>
      <c r="T86" s="9"/>
      <c r="U86" s="9"/>
      <c r="V86" s="10"/>
    </row>
    <row r="87" spans="1:22">
      <c r="A87" s="2">
        <v>84</v>
      </c>
      <c r="B87" s="17" t="str">
        <f>[1]Grp_1!A85</f>
        <v>8468B</v>
      </c>
      <c r="C87" s="30" t="str">
        <f>[1]Grp_1!B85</f>
        <v>Urumqi NO.8 MS B</v>
      </c>
      <c r="D87" s="18" t="str">
        <f>[1]Grp_1!C85</f>
        <v>Urumqi NO.8 Middle School</v>
      </c>
      <c r="E87" s="31" t="str">
        <f>[1]Grp_1!D85</f>
        <v>Urumqi, Not Applicable or Not Listed, China</v>
      </c>
      <c r="F87" s="34">
        <f>[1]Grp_1!E85</f>
        <v>0</v>
      </c>
      <c r="G87" s="19">
        <f>[1]Grp_1!F85</f>
        <v>0</v>
      </c>
      <c r="H87" s="37">
        <f>[1]Grp_1!G85</f>
        <v>57.392600000000002</v>
      </c>
      <c r="I87" s="38">
        <f>[1]Grp_1!H85</f>
        <v>57.392600000000002</v>
      </c>
      <c r="J87" s="20">
        <f>[1]Grp_1!I85</f>
        <v>0</v>
      </c>
      <c r="K87" s="20">
        <f>[1]Grp_1!J85</f>
        <v>0</v>
      </c>
      <c r="L87" s="20">
        <f>[1]Grp_1!K85</f>
        <v>0</v>
      </c>
      <c r="M87" s="20">
        <f>[1]Grp_1!L85</f>
        <v>0</v>
      </c>
      <c r="N87" s="20">
        <f>[1]Grp_1!M85</f>
        <v>0</v>
      </c>
      <c r="O87" s="20">
        <f>[1]Grp_1!N85</f>
        <v>0</v>
      </c>
      <c r="P87" s="20">
        <f>[1]Grp_1!O85</f>
        <v>0</v>
      </c>
      <c r="Q87" s="20">
        <f>[1]Grp_1!P85</f>
        <v>0</v>
      </c>
      <c r="R87" s="20">
        <f>[1]Grp_1!Q85</f>
        <v>0</v>
      </c>
      <c r="S87" s="21">
        <f>[1]Grp_1!R85</f>
        <v>0</v>
      </c>
      <c r="T87" s="9"/>
      <c r="U87" s="9"/>
      <c r="V87" s="10"/>
    </row>
    <row r="88" spans="1:22">
      <c r="A88" s="2">
        <v>85</v>
      </c>
      <c r="B88" s="17" t="str">
        <f>[1]Grp_1!A86</f>
        <v>8615</v>
      </c>
      <c r="C88" s="30" t="str">
        <f>[1]Grp_1!B86</f>
        <v>The Vexecutors</v>
      </c>
      <c r="D88" s="18" t="str">
        <f>[1]Grp_1!C86</f>
        <v>New Hope</v>
      </c>
      <c r="E88" s="31" t="str">
        <f>[1]Grp_1!D86</f>
        <v>Columbus, Mississippi, United States</v>
      </c>
      <c r="F88" s="34">
        <f>[1]Grp_1!E86</f>
        <v>90</v>
      </c>
      <c r="G88" s="19">
        <f>[1]Grp_1!F86</f>
        <v>0</v>
      </c>
      <c r="H88" s="37">
        <f>[1]Grp_1!G86</f>
        <v>110.789</v>
      </c>
      <c r="I88" s="38">
        <f>[1]Grp_1!H86</f>
        <v>110.789</v>
      </c>
      <c r="J88" s="20">
        <f>[1]Grp_1!I86</f>
        <v>-19.095300000000002</v>
      </c>
      <c r="K88" s="20">
        <f>[1]Grp_1!J86</f>
        <v>71.371899999999997</v>
      </c>
      <c r="L88" s="20">
        <f>[1]Grp_1!K86</f>
        <v>43.491799999999998</v>
      </c>
      <c r="M88" s="20">
        <f>[1]Grp_1!L86</f>
        <v>80.772999999999996</v>
      </c>
      <c r="N88" s="20">
        <f>[1]Grp_1!M86</f>
        <v>66.251400000000004</v>
      </c>
      <c r="O88" s="20">
        <f>[1]Grp_1!N86</f>
        <v>0</v>
      </c>
      <c r="P88" s="20">
        <f>[1]Grp_1!O86</f>
        <v>0</v>
      </c>
      <c r="Q88" s="20">
        <f>[1]Grp_1!P86</f>
        <v>0</v>
      </c>
      <c r="R88" s="20">
        <f>[1]Grp_1!Q86</f>
        <v>0</v>
      </c>
      <c r="S88" s="21">
        <f>[1]Grp_1!R86</f>
        <v>0</v>
      </c>
      <c r="T88" s="9"/>
      <c r="U88" s="9"/>
      <c r="V88" s="10"/>
    </row>
    <row r="89" spans="1:22">
      <c r="A89" s="2">
        <v>86</v>
      </c>
      <c r="B89" s="17" t="str">
        <f>[1]Grp_1!A87</f>
        <v>8675</v>
      </c>
      <c r="C89" s="30" t="str">
        <f>[1]Grp_1!B87</f>
        <v>Fuzzy Wuzzy 2.0</v>
      </c>
      <c r="D89" s="18" t="str">
        <f>[1]Grp_1!C87</f>
        <v>National Robotics Academy, Inc.</v>
      </c>
      <c r="E89" s="31" t="str">
        <f>[1]Grp_1!D87</f>
        <v>Waterloo, Nebraska, United States</v>
      </c>
      <c r="F89" s="34">
        <f>[1]Grp_1!E87</f>
        <v>106</v>
      </c>
      <c r="G89" s="19">
        <f>[1]Grp_1!F87</f>
        <v>303</v>
      </c>
      <c r="H89" s="37">
        <f>[1]Grp_1!G87</f>
        <v>55.563200000000002</v>
      </c>
      <c r="I89" s="38">
        <f>[1]Grp_1!H87</f>
        <v>26.0364</v>
      </c>
      <c r="J89" s="20">
        <f>[1]Grp_1!I87</f>
        <v>32.0184</v>
      </c>
      <c r="K89" s="20">
        <f>[1]Grp_1!J87</f>
        <v>34.992100000000001</v>
      </c>
      <c r="L89" s="20">
        <f>[1]Grp_1!K87</f>
        <v>55.563200000000002</v>
      </c>
      <c r="M89" s="20">
        <f>[1]Grp_1!L87</f>
        <v>0</v>
      </c>
      <c r="N89" s="20">
        <f>[1]Grp_1!M87</f>
        <v>0</v>
      </c>
      <c r="O89" s="20">
        <f>[1]Grp_1!N87</f>
        <v>0</v>
      </c>
      <c r="P89" s="20">
        <f>[1]Grp_1!O87</f>
        <v>0</v>
      </c>
      <c r="Q89" s="20">
        <f>[1]Grp_1!P87</f>
        <v>0</v>
      </c>
      <c r="R89" s="20">
        <f>[1]Grp_1!Q87</f>
        <v>0</v>
      </c>
      <c r="S89" s="21">
        <f>[1]Grp_1!R87</f>
        <v>0</v>
      </c>
      <c r="T89" s="9"/>
      <c r="U89" s="9"/>
      <c r="V89" s="10"/>
    </row>
    <row r="90" spans="1:22">
      <c r="A90" s="2">
        <v>87</v>
      </c>
      <c r="B90" s="17" t="str">
        <f>[1]Grp_1!A88</f>
        <v>8746</v>
      </c>
      <c r="C90" s="30" t="str">
        <f>[1]Grp_1!B88</f>
        <v>Black Knights</v>
      </c>
      <c r="D90" s="18" t="str">
        <f>[1]Grp_1!C88</f>
        <v>Rome Free Academy</v>
      </c>
      <c r="E90" s="31" t="str">
        <f>[1]Grp_1!D88</f>
        <v>Rome, New York, United States</v>
      </c>
      <c r="F90" s="34">
        <f>[1]Grp_1!E88</f>
        <v>62</v>
      </c>
      <c r="G90" s="19">
        <f>[1]Grp_1!F88</f>
        <v>62</v>
      </c>
      <c r="H90" s="37">
        <f>[1]Grp_1!G88</f>
        <v>64.596800000000002</v>
      </c>
      <c r="I90" s="38">
        <f>[1]Grp_1!H88</f>
        <v>64.596800000000002</v>
      </c>
      <c r="J90" s="20">
        <f>[1]Grp_1!I88</f>
        <v>46.479100000000003</v>
      </c>
      <c r="K90" s="20">
        <f>[1]Grp_1!J88</f>
        <v>61.801699999999997</v>
      </c>
      <c r="L90" s="20">
        <f>[1]Grp_1!K88</f>
        <v>0</v>
      </c>
      <c r="M90" s="20">
        <f>[1]Grp_1!L88</f>
        <v>19.822600000000001</v>
      </c>
      <c r="N90" s="20">
        <f>[1]Grp_1!M88</f>
        <v>3.81467</v>
      </c>
      <c r="O90" s="20">
        <f>[1]Grp_1!N88</f>
        <v>25.575500000000002</v>
      </c>
      <c r="P90" s="20">
        <f>[1]Grp_1!O88</f>
        <v>0</v>
      </c>
      <c r="Q90" s="20">
        <f>[1]Grp_1!P88</f>
        <v>0</v>
      </c>
      <c r="R90" s="20">
        <f>[1]Grp_1!Q88</f>
        <v>0</v>
      </c>
      <c r="S90" s="21">
        <f>[1]Grp_1!R88</f>
        <v>0</v>
      </c>
      <c r="T90" s="9"/>
      <c r="U90" s="9"/>
      <c r="V90" s="10"/>
    </row>
    <row r="91" spans="1:22">
      <c r="A91" s="2">
        <v>88</v>
      </c>
      <c r="B91" s="17" t="str">
        <f>[1]Grp_1!A89</f>
        <v>8800</v>
      </c>
      <c r="C91" s="30" t="str">
        <f>[1]Grp_1!B89</f>
        <v>Phoenix Lights</v>
      </c>
      <c r="D91" s="18" t="str">
        <f>[1]Grp_1!C89</f>
        <v>East Valley Community Robotics</v>
      </c>
      <c r="E91" s="31" t="str">
        <f>[1]Grp_1!D89</f>
        <v>Phoenix, Arizona, United States</v>
      </c>
      <c r="F91" s="34">
        <f>[1]Grp_1!E89</f>
        <v>131</v>
      </c>
      <c r="G91" s="19">
        <f>[1]Grp_1!F89</f>
        <v>150</v>
      </c>
      <c r="H91" s="37">
        <f>[1]Grp_1!G89</f>
        <v>113.8</v>
      </c>
      <c r="I91" s="38">
        <f>[1]Grp_1!H89</f>
        <v>58.3367</v>
      </c>
      <c r="J91" s="20">
        <f>[1]Grp_1!I89</f>
        <v>25.519300000000001</v>
      </c>
      <c r="K91" s="20">
        <f>[1]Grp_1!J89</f>
        <v>113.8</v>
      </c>
      <c r="L91" s="20">
        <f>[1]Grp_1!K89</f>
        <v>102.675</v>
      </c>
      <c r="M91" s="20">
        <f>[1]Grp_1!L89</f>
        <v>0</v>
      </c>
      <c r="N91" s="20">
        <f>[1]Grp_1!M89</f>
        <v>0</v>
      </c>
      <c r="O91" s="20">
        <f>[1]Grp_1!N89</f>
        <v>0</v>
      </c>
      <c r="P91" s="20">
        <f>[1]Grp_1!O89</f>
        <v>0</v>
      </c>
      <c r="Q91" s="20">
        <f>[1]Grp_1!P89</f>
        <v>0</v>
      </c>
      <c r="R91" s="20">
        <f>[1]Grp_1!Q89</f>
        <v>0</v>
      </c>
      <c r="S91" s="21">
        <f>[1]Grp_1!R89</f>
        <v>0</v>
      </c>
      <c r="T91" s="9"/>
      <c r="U91" s="9"/>
      <c r="V91" s="10"/>
    </row>
    <row r="92" spans="1:22">
      <c r="A92" s="2">
        <v>89</v>
      </c>
      <c r="B92" s="17" t="str">
        <f>[1]Grp_1!A90</f>
        <v>8926</v>
      </c>
      <c r="C92" s="30" t="str">
        <f>[1]Grp_1!B90</f>
        <v>Combined IQ</v>
      </c>
      <c r="D92" s="18" t="str">
        <f>[1]Grp_1!C90</f>
        <v>Oakbrook Preparatory School</v>
      </c>
      <c r="E92" s="31" t="str">
        <f>[1]Grp_1!D90</f>
        <v>Spartanburg, South Carolina, United States</v>
      </c>
      <c r="F92" s="34">
        <f>[1]Grp_1!E90</f>
        <v>229</v>
      </c>
      <c r="G92" s="19">
        <f>[1]Grp_1!F90</f>
        <v>256</v>
      </c>
      <c r="H92" s="37">
        <f>[1]Grp_1!G90</f>
        <v>103.383</v>
      </c>
      <c r="I92" s="38">
        <f>[1]Grp_1!H90</f>
        <v>64.453699999999998</v>
      </c>
      <c r="J92" s="20">
        <f>[1]Grp_1!I90</f>
        <v>63.439599999999999</v>
      </c>
      <c r="K92" s="20">
        <f>[1]Grp_1!J90</f>
        <v>56.3095</v>
      </c>
      <c r="L92" s="20">
        <f>[1]Grp_1!K90</f>
        <v>103.383</v>
      </c>
      <c r="M92" s="20">
        <f>[1]Grp_1!L90</f>
        <v>37.821399999999997</v>
      </c>
      <c r="N92" s="20">
        <f>[1]Grp_1!M90</f>
        <v>53.653700000000001</v>
      </c>
      <c r="O92" s="20">
        <f>[1]Grp_1!N90</f>
        <v>0</v>
      </c>
      <c r="P92" s="20">
        <f>[1]Grp_1!O90</f>
        <v>0</v>
      </c>
      <c r="Q92" s="20">
        <f>[1]Grp_1!P90</f>
        <v>0</v>
      </c>
      <c r="R92" s="20">
        <f>[1]Grp_1!Q90</f>
        <v>0</v>
      </c>
      <c r="S92" s="21">
        <f>[1]Grp_1!R90</f>
        <v>0</v>
      </c>
      <c r="T92" s="9"/>
      <c r="U92" s="9"/>
      <c r="V92" s="10"/>
    </row>
    <row r="93" spans="1:22">
      <c r="A93" s="2">
        <v>90</v>
      </c>
      <c r="B93" s="17" t="str">
        <f>[1]Grp_1!A91</f>
        <v>9031C</v>
      </c>
      <c r="C93" s="30" t="str">
        <f>[1]Grp_1!B91</f>
        <v>Robotigers</v>
      </c>
      <c r="D93" s="18" t="str">
        <f>[1]Grp_1!C91</f>
        <v>Holy Cross School</v>
      </c>
      <c r="E93" s="31" t="str">
        <f>[1]Grp_1!D91</f>
        <v>New Orleans, Louisiana, United States</v>
      </c>
      <c r="F93" s="34">
        <f>[1]Grp_1!E91</f>
        <v>71</v>
      </c>
      <c r="G93" s="19">
        <f>[1]Grp_1!F91</f>
        <v>70</v>
      </c>
      <c r="H93" s="37">
        <f>[1]Grp_1!G91</f>
        <v>99.681700000000006</v>
      </c>
      <c r="I93" s="38">
        <f>[1]Grp_1!H91</f>
        <v>90.902699999999996</v>
      </c>
      <c r="J93" s="20">
        <f>[1]Grp_1!I91</f>
        <v>74.163200000000003</v>
      </c>
      <c r="K93" s="20">
        <f>[1]Grp_1!J91</f>
        <v>99.681700000000006</v>
      </c>
      <c r="L93" s="20">
        <f>[1]Grp_1!K91</f>
        <v>67.584500000000006</v>
      </c>
      <c r="M93" s="20">
        <f>[1]Grp_1!L91</f>
        <v>53.454300000000003</v>
      </c>
      <c r="N93" s="20">
        <f>[1]Grp_1!M91</f>
        <v>0</v>
      </c>
      <c r="O93" s="20">
        <f>[1]Grp_1!N91</f>
        <v>0</v>
      </c>
      <c r="P93" s="20">
        <f>[1]Grp_1!O91</f>
        <v>0</v>
      </c>
      <c r="Q93" s="20">
        <f>[1]Grp_1!P91</f>
        <v>0</v>
      </c>
      <c r="R93" s="20">
        <f>[1]Grp_1!Q91</f>
        <v>0</v>
      </c>
      <c r="S93" s="21">
        <f>[1]Grp_1!R91</f>
        <v>0</v>
      </c>
      <c r="T93" s="9"/>
      <c r="U93" s="9"/>
      <c r="V93" s="10"/>
    </row>
    <row r="94" spans="1:22">
      <c r="A94" s="2">
        <v>91</v>
      </c>
      <c r="B94" s="17" t="str">
        <f>[1]Grp_1!A92</f>
        <v>9142A</v>
      </c>
      <c r="C94" s="30" t="str">
        <f>[1]Grp_1!B92</f>
        <v>Claremore Public Schools</v>
      </c>
      <c r="D94" s="18" t="str">
        <f>[1]Grp_1!C92</f>
        <v>Claremore Public Schools</v>
      </c>
      <c r="E94" s="31" t="str">
        <f>[1]Grp_1!D92</f>
        <v>Claremore, Oklahoma, United States</v>
      </c>
      <c r="F94" s="34">
        <f>[1]Grp_1!E92</f>
        <v>200</v>
      </c>
      <c r="G94" s="19">
        <f>[1]Grp_1!F92</f>
        <v>83</v>
      </c>
      <c r="H94" s="37">
        <f>[1]Grp_1!G92</f>
        <v>140.988</v>
      </c>
      <c r="I94" s="38">
        <f>[1]Grp_1!H92</f>
        <v>90.652699999999996</v>
      </c>
      <c r="J94" s="20">
        <f>[1]Grp_1!I92</f>
        <v>140.988</v>
      </c>
      <c r="K94" s="20">
        <f>[1]Grp_1!J92</f>
        <v>134.58199999999999</v>
      </c>
      <c r="L94" s="20">
        <f>[1]Grp_1!K92</f>
        <v>93.232399999999998</v>
      </c>
      <c r="M94" s="20">
        <f>[1]Grp_1!L92</f>
        <v>81.768699999999995</v>
      </c>
      <c r="N94" s="20">
        <f>[1]Grp_1!M92</f>
        <v>0</v>
      </c>
      <c r="O94" s="20">
        <f>[1]Grp_1!N92</f>
        <v>0</v>
      </c>
      <c r="P94" s="20">
        <f>[1]Grp_1!O92</f>
        <v>0</v>
      </c>
      <c r="Q94" s="20">
        <f>[1]Grp_1!P92</f>
        <v>0</v>
      </c>
      <c r="R94" s="20">
        <f>[1]Grp_1!Q92</f>
        <v>0</v>
      </c>
      <c r="S94" s="21">
        <f>[1]Grp_1!R92</f>
        <v>0</v>
      </c>
      <c r="T94" s="9"/>
      <c r="U94" s="9"/>
      <c r="V94" s="10"/>
    </row>
    <row r="95" spans="1:22">
      <c r="A95" s="2">
        <v>92</v>
      </c>
      <c r="B95" s="17" t="str">
        <f>[1]Grp_1!A93</f>
        <v>9343A</v>
      </c>
      <c r="C95" s="30" t="str">
        <f>[1]Grp_1!B93</f>
        <v>Gearheads</v>
      </c>
      <c r="D95" s="18" t="str">
        <f>[1]Grp_1!C93</f>
        <v>Hampden Academy</v>
      </c>
      <c r="E95" s="31" t="str">
        <f>[1]Grp_1!D93</f>
        <v>Hampden, Maine, United States</v>
      </c>
      <c r="F95" s="34">
        <f>[1]Grp_1!E93</f>
        <v>40</v>
      </c>
      <c r="G95" s="19">
        <f>[1]Grp_1!F93</f>
        <v>0</v>
      </c>
      <c r="H95" s="37">
        <f>[1]Grp_1!G93</f>
        <v>64.891400000000004</v>
      </c>
      <c r="I95" s="38">
        <f>[1]Grp_1!H93</f>
        <v>64.361199999999997</v>
      </c>
      <c r="J95" s="20">
        <f>[1]Grp_1!I93</f>
        <v>64.891400000000004</v>
      </c>
      <c r="K95" s="20">
        <f>[1]Grp_1!J93</f>
        <v>-4.6024500000000002</v>
      </c>
      <c r="L95" s="20">
        <f>[1]Grp_1!K93</f>
        <v>12.2348</v>
      </c>
      <c r="M95" s="20">
        <f>[1]Grp_1!L93</f>
        <v>0</v>
      </c>
      <c r="N95" s="20">
        <f>[1]Grp_1!M93</f>
        <v>0</v>
      </c>
      <c r="O95" s="20">
        <f>[1]Grp_1!N93</f>
        <v>0</v>
      </c>
      <c r="P95" s="20">
        <f>[1]Grp_1!O93</f>
        <v>0</v>
      </c>
      <c r="Q95" s="20">
        <f>[1]Grp_1!P93</f>
        <v>0</v>
      </c>
      <c r="R95" s="20">
        <f>[1]Grp_1!Q93</f>
        <v>0</v>
      </c>
      <c r="S95" s="21">
        <f>[1]Grp_1!R93</f>
        <v>0</v>
      </c>
      <c r="T95" s="9"/>
      <c r="U95" s="9"/>
      <c r="V95" s="10"/>
    </row>
    <row r="96" spans="1:22">
      <c r="A96" s="2">
        <v>93</v>
      </c>
      <c r="B96" s="17" t="str">
        <f>[1]Grp_1!A94</f>
        <v>9421X</v>
      </c>
      <c r="C96" s="30" t="str">
        <f>[1]Grp_1!B94</f>
        <v>FHS Robotics X</v>
      </c>
      <c r="D96" s="18" t="str">
        <f>[1]Grp_1!C94</f>
        <v>Framingham High School</v>
      </c>
      <c r="E96" s="31" t="str">
        <f>[1]Grp_1!D94</f>
        <v>Framingham, Massachusetts, United States</v>
      </c>
      <c r="F96" s="34">
        <f>[1]Grp_1!E94</f>
        <v>270</v>
      </c>
      <c r="G96" s="19">
        <f>[1]Grp_1!F94</f>
        <v>115</v>
      </c>
      <c r="H96" s="37">
        <f>[1]Grp_1!G94</f>
        <v>70.030100000000004</v>
      </c>
      <c r="I96" s="38">
        <f>[1]Grp_1!H94</f>
        <v>12.969900000000001</v>
      </c>
      <c r="J96" s="20">
        <f>[1]Grp_1!I94</f>
        <v>24.338999999999999</v>
      </c>
      <c r="K96" s="20">
        <f>[1]Grp_1!J94</f>
        <v>70.030100000000004</v>
      </c>
      <c r="L96" s="20">
        <f>[1]Grp_1!K94</f>
        <v>31.1999</v>
      </c>
      <c r="M96" s="20">
        <f>[1]Grp_1!L94</f>
        <v>54.4236</v>
      </c>
      <c r="N96" s="20">
        <f>[1]Grp_1!M94</f>
        <v>33.117600000000003</v>
      </c>
      <c r="O96" s="20">
        <f>[1]Grp_1!N94</f>
        <v>0</v>
      </c>
      <c r="P96" s="20">
        <f>[1]Grp_1!O94</f>
        <v>0</v>
      </c>
      <c r="Q96" s="20">
        <f>[1]Grp_1!P94</f>
        <v>0</v>
      </c>
      <c r="R96" s="20">
        <f>[1]Grp_1!Q94</f>
        <v>0</v>
      </c>
      <c r="S96" s="21">
        <f>[1]Grp_1!R94</f>
        <v>0</v>
      </c>
      <c r="T96" s="9"/>
      <c r="U96" s="9"/>
      <c r="V96" s="10"/>
    </row>
    <row r="97" spans="1:22">
      <c r="A97" s="2">
        <v>94</v>
      </c>
      <c r="B97" s="17" t="str">
        <f>[1]Grp_1!A95</f>
        <v>9594C</v>
      </c>
      <c r="C97" s="30" t="str">
        <f>[1]Grp_1!B95</f>
        <v>Mechanical Synergy</v>
      </c>
      <c r="D97" s="18" t="str">
        <f>[1]Grp_1!C95</f>
        <v>Collingwood</v>
      </c>
      <c r="E97" s="31" t="str">
        <f>[1]Grp_1!D95</f>
        <v>West Vancouver, British Columbia, Canada</v>
      </c>
      <c r="F97" s="34">
        <f>[1]Grp_1!E95</f>
        <v>283</v>
      </c>
      <c r="G97" s="19">
        <f>[1]Grp_1!F95</f>
        <v>209</v>
      </c>
      <c r="H97" s="37">
        <f>[1]Grp_1!G95</f>
        <v>153.70699999999999</v>
      </c>
      <c r="I97" s="38">
        <f>[1]Grp_1!H95</f>
        <v>59.813600000000001</v>
      </c>
      <c r="J97" s="20">
        <f>[1]Grp_1!I95</f>
        <v>44.654600000000002</v>
      </c>
      <c r="K97" s="20">
        <f>[1]Grp_1!J95</f>
        <v>153.70699999999999</v>
      </c>
      <c r="L97" s="20">
        <f>[1]Grp_1!K95</f>
        <v>134.161</v>
      </c>
      <c r="M97" s="20">
        <f>[1]Grp_1!L95</f>
        <v>53.292000000000002</v>
      </c>
      <c r="N97" s="20">
        <f>[1]Grp_1!M95</f>
        <v>75.747500000000002</v>
      </c>
      <c r="O97" s="20">
        <f>[1]Grp_1!N95</f>
        <v>0</v>
      </c>
      <c r="P97" s="20">
        <f>[1]Grp_1!O95</f>
        <v>0</v>
      </c>
      <c r="Q97" s="20">
        <f>[1]Grp_1!P95</f>
        <v>0</v>
      </c>
      <c r="R97" s="20">
        <f>[1]Grp_1!Q95</f>
        <v>0</v>
      </c>
      <c r="S97" s="21">
        <f>[1]Grp_1!R95</f>
        <v>0</v>
      </c>
      <c r="T97" s="9"/>
      <c r="U97" s="9"/>
      <c r="V97" s="10"/>
    </row>
    <row r="98" spans="1:22">
      <c r="A98" s="2">
        <v>95</v>
      </c>
      <c r="B98" s="17" t="str">
        <f>[1]Grp_1!A96</f>
        <v>9727A</v>
      </c>
      <c r="C98" s="30" t="str">
        <f>[1]Grp_1!B96</f>
        <v>OSOS 110</v>
      </c>
      <c r="D98" s="18" t="str">
        <f>[1]Grp_1!C96</f>
        <v>CBTIS 110</v>
      </c>
      <c r="E98" s="31" t="str">
        <f>[1]Grp_1!D96</f>
        <v>Durango, Durango, Mexico</v>
      </c>
      <c r="F98" s="34">
        <f>[1]Grp_1!E96</f>
        <v>270</v>
      </c>
      <c r="G98" s="19">
        <f>[1]Grp_1!F96</f>
        <v>220</v>
      </c>
      <c r="H98" s="37">
        <f>[1]Grp_1!G96</f>
        <v>143.84800000000001</v>
      </c>
      <c r="I98" s="38">
        <f>[1]Grp_1!H96</f>
        <v>143.84800000000001</v>
      </c>
      <c r="J98" s="20">
        <f>[1]Grp_1!I96</f>
        <v>115.693</v>
      </c>
      <c r="K98" s="20">
        <f>[1]Grp_1!J96</f>
        <v>136.88999999999999</v>
      </c>
      <c r="L98" s="20">
        <f>[1]Grp_1!K96</f>
        <v>42.951500000000003</v>
      </c>
      <c r="M98" s="20">
        <f>[1]Grp_1!L96</f>
        <v>77.642099999999999</v>
      </c>
      <c r="N98" s="20">
        <f>[1]Grp_1!M96</f>
        <v>49.655299999999997</v>
      </c>
      <c r="O98" s="20">
        <f>[1]Grp_1!N96</f>
        <v>0</v>
      </c>
      <c r="P98" s="20">
        <f>[1]Grp_1!O96</f>
        <v>0</v>
      </c>
      <c r="Q98" s="20">
        <f>[1]Grp_1!P96</f>
        <v>0</v>
      </c>
      <c r="R98" s="20">
        <f>[1]Grp_1!Q96</f>
        <v>0</v>
      </c>
      <c r="S98" s="21">
        <f>[1]Grp_1!R96</f>
        <v>0</v>
      </c>
      <c r="T98" s="9"/>
      <c r="U98" s="9"/>
      <c r="V98" s="10"/>
    </row>
    <row r="99" spans="1:22">
      <c r="A99" s="2">
        <v>96</v>
      </c>
      <c r="B99" s="17" t="str">
        <f>[1]Grp_1!A97</f>
        <v>9908W</v>
      </c>
      <c r="C99" s="30" t="str">
        <f>[1]Grp_1!B97</f>
        <v>Windham Whippet Robotics</v>
      </c>
      <c r="D99" s="18" t="str">
        <f>[1]Grp_1!C97</f>
        <v>Windham High School</v>
      </c>
      <c r="E99" s="31" t="str">
        <f>[1]Grp_1!D97</f>
        <v>Willimantic, Connecticut, United States</v>
      </c>
      <c r="F99" s="34">
        <f>[1]Grp_1!E97</f>
        <v>76</v>
      </c>
      <c r="G99" s="19">
        <f>[1]Grp_1!F97</f>
        <v>86</v>
      </c>
      <c r="H99" s="37">
        <f>[1]Grp_1!G97</f>
        <v>89.516999999999996</v>
      </c>
      <c r="I99" s="38">
        <f>[1]Grp_1!H97</f>
        <v>71.617699999999999</v>
      </c>
      <c r="J99" s="20">
        <f>[1]Grp_1!I97</f>
        <v>89.516999999999996</v>
      </c>
      <c r="K99" s="20">
        <f>[1]Grp_1!J97</f>
        <v>68.813599999999994</v>
      </c>
      <c r="L99" s="20">
        <f>[1]Grp_1!K97</f>
        <v>61.268700000000003</v>
      </c>
      <c r="M99" s="20">
        <f>[1]Grp_1!L97</f>
        <v>17.6904</v>
      </c>
      <c r="N99" s="20">
        <f>[1]Grp_1!M97</f>
        <v>0</v>
      </c>
      <c r="O99" s="20">
        <f>[1]Grp_1!N97</f>
        <v>0</v>
      </c>
      <c r="P99" s="20">
        <f>[1]Grp_1!O97</f>
        <v>0</v>
      </c>
      <c r="Q99" s="20">
        <f>[1]Grp_1!P97</f>
        <v>0</v>
      </c>
      <c r="R99" s="20">
        <f>[1]Grp_1!Q97</f>
        <v>0</v>
      </c>
      <c r="S99" s="21">
        <f>[1]Grp_1!R97</f>
        <v>0</v>
      </c>
      <c r="T99" s="9"/>
      <c r="U99" s="9"/>
      <c r="V99" s="10"/>
    </row>
    <row r="100" spans="1:22">
      <c r="A100" s="2">
        <v>97</v>
      </c>
      <c r="B100" s="17" t="str">
        <f>[1]Grp_1!A98</f>
        <v>9973A</v>
      </c>
      <c r="C100" s="30" t="str">
        <f>[1]Grp_1!B98</f>
        <v>Urumqi NO.1 MS A</v>
      </c>
      <c r="D100" s="18" t="str">
        <f>[1]Grp_1!C98</f>
        <v>Urumqi NO.1 Middle School</v>
      </c>
      <c r="E100" s="31" t="str">
        <f>[1]Grp_1!D98</f>
        <v>Urumqi, Not Applicable or Not Listed, China</v>
      </c>
      <c r="F100" s="34">
        <f>[1]Grp_1!E98</f>
        <v>89</v>
      </c>
      <c r="G100" s="19">
        <f>[1]Grp_1!F98</f>
        <v>0</v>
      </c>
      <c r="H100" s="37">
        <f>[1]Grp_1!G98</f>
        <v>135.39400000000001</v>
      </c>
      <c r="I100" s="38">
        <f>[1]Grp_1!H98</f>
        <v>135.39400000000001</v>
      </c>
      <c r="J100" s="20">
        <f>[1]Grp_1!I98</f>
        <v>0</v>
      </c>
      <c r="K100" s="20">
        <f>[1]Grp_1!J98</f>
        <v>0</v>
      </c>
      <c r="L100" s="20">
        <f>[1]Grp_1!K98</f>
        <v>0</v>
      </c>
      <c r="M100" s="20">
        <f>[1]Grp_1!L98</f>
        <v>0</v>
      </c>
      <c r="N100" s="20">
        <f>[1]Grp_1!M98</f>
        <v>0</v>
      </c>
      <c r="O100" s="20">
        <f>[1]Grp_1!N98</f>
        <v>0</v>
      </c>
      <c r="P100" s="20">
        <f>[1]Grp_1!O98</f>
        <v>0</v>
      </c>
      <c r="Q100" s="20">
        <f>[1]Grp_1!P98</f>
        <v>0</v>
      </c>
      <c r="R100" s="20">
        <f>[1]Grp_1!Q98</f>
        <v>0</v>
      </c>
      <c r="S100" s="21">
        <f>[1]Grp_1!R98</f>
        <v>0</v>
      </c>
      <c r="T100" s="9"/>
      <c r="U100" s="9"/>
      <c r="V100" s="10"/>
    </row>
    <row r="101" spans="1:22">
      <c r="A101" s="2">
        <v>99</v>
      </c>
      <c r="B101" s="17" t="str">
        <f>[1]Grp_1!A100</f>
        <v>99288</v>
      </c>
      <c r="C101" s="30" t="str">
        <f>[1]Grp_1!B100</f>
        <v>MOT Charter School</v>
      </c>
      <c r="D101" s="18" t="str">
        <f>[1]Grp_1!C100</f>
        <v>MOT Charter School</v>
      </c>
      <c r="E101" s="31" t="str">
        <f>[1]Grp_1!D100</f>
        <v>Middletown, Delaware, United States</v>
      </c>
      <c r="F101" s="34">
        <f>[1]Grp_1!E100</f>
        <v>12</v>
      </c>
      <c r="G101" s="19">
        <f>[1]Grp_1!F100</f>
        <v>0</v>
      </c>
      <c r="H101" s="37">
        <f>[1]Grp_1!G100</f>
        <v>15.087400000000001</v>
      </c>
      <c r="I101" s="38">
        <f>[1]Grp_1!H100</f>
        <v>9.7326599999999992</v>
      </c>
      <c r="J101" s="20">
        <f>[1]Grp_1!I100</f>
        <v>15.087400000000001</v>
      </c>
      <c r="K101" s="20">
        <f>[1]Grp_1!J100</f>
        <v>0</v>
      </c>
      <c r="L101" s="20">
        <f>[1]Grp_1!K100</f>
        <v>0</v>
      </c>
      <c r="M101" s="20">
        <f>[1]Grp_1!L100</f>
        <v>0</v>
      </c>
      <c r="N101" s="20">
        <f>[1]Grp_1!M100</f>
        <v>0</v>
      </c>
      <c r="O101" s="20">
        <f>[1]Grp_1!N100</f>
        <v>0</v>
      </c>
      <c r="P101" s="20">
        <f>[1]Grp_1!O100</f>
        <v>0</v>
      </c>
      <c r="Q101" s="20">
        <f>[1]Grp_1!P100</f>
        <v>0</v>
      </c>
      <c r="R101" s="20">
        <f>[1]Grp_1!Q100</f>
        <v>0</v>
      </c>
      <c r="S101" s="21">
        <f>[1]Grp_1!R99</f>
        <v>0</v>
      </c>
      <c r="T101" s="9"/>
      <c r="U101" s="9"/>
      <c r="V101" s="10"/>
    </row>
    <row r="102" spans="1:22">
      <c r="A102" s="2">
        <v>98</v>
      </c>
      <c r="B102" s="22" t="str">
        <f>[1]Grp_1!A99</f>
        <v>97511</v>
      </c>
      <c r="C102" s="32" t="str">
        <f>[1]Grp_1!B99</f>
        <v>ROBOTIQS</v>
      </c>
      <c r="D102" s="23" t="str">
        <f>[1]Grp_1!C99</f>
        <v>ABA Innovation Lab</v>
      </c>
      <c r="E102" s="33" t="str">
        <f>[1]Grp_1!D99</f>
        <v>Istanbul, N/A, Turkey</v>
      </c>
      <c r="F102" s="36">
        <f>[1]Grp_1!E99</f>
        <v>0</v>
      </c>
      <c r="G102" s="24">
        <f>[1]Grp_1!F99</f>
        <v>0</v>
      </c>
      <c r="H102" s="39">
        <f>[1]Grp_1!G99</f>
        <v>0</v>
      </c>
      <c r="I102" s="40">
        <f>[1]Grp_1!H99</f>
        <v>0</v>
      </c>
      <c r="J102" s="25">
        <f>[1]Grp_1!I99</f>
        <v>0</v>
      </c>
      <c r="K102" s="25">
        <f>[1]Grp_1!J99</f>
        <v>0</v>
      </c>
      <c r="L102" s="25">
        <f>[1]Grp_1!K99</f>
        <v>0</v>
      </c>
      <c r="M102" s="25">
        <f>[1]Grp_1!L99</f>
        <v>0</v>
      </c>
      <c r="N102" s="25">
        <f>[1]Grp_1!M99</f>
        <v>0</v>
      </c>
      <c r="O102" s="25">
        <f>[1]Grp_1!N99</f>
        <v>0</v>
      </c>
      <c r="P102" s="25">
        <f>[1]Grp_1!O99</f>
        <v>0</v>
      </c>
      <c r="Q102" s="25">
        <f>[1]Grp_1!P99</f>
        <v>0</v>
      </c>
      <c r="R102" s="25">
        <f>[1]Grp_1!Q99</f>
        <v>0</v>
      </c>
      <c r="S102" s="26">
        <f>[1]Grp_1!R100</f>
        <v>0</v>
      </c>
      <c r="T102" s="9"/>
      <c r="U102" s="9"/>
      <c r="V102" s="10"/>
    </row>
    <row r="103" spans="1:22">
      <c r="A103" s="2">
        <v>100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2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</sheetData>
  <sortState ref="A3:R100">
    <sortCondition ref="A2"/>
  </sortState>
  <customSheetViews>
    <customSheetView guid="{C0930836-1C27-4000-8923-162C1722C997}" showPageBreaks="1" zeroValues="0" hiddenColumns="1">
      <pane xSplit="1" ySplit="2" topLeftCell="B54" activePane="bottomRight" state="frozen"/>
      <selection pane="bottomRight" activeCell="V86" sqref="V86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V503"/>
  <sheetViews>
    <sheetView showZeros="0" workbookViewId="0">
      <pane xSplit="2" ySplit="3" topLeftCell="C4" activePane="bottomRight" state="frozen"/>
      <selection pane="topRight" activeCell="B1" sqref="B1"/>
      <selection pane="bottomLeft" activeCell="A3" sqref="A3"/>
      <selection pane="bottomRight" activeCell="H1" sqref="H1"/>
    </sheetView>
  </sheetViews>
  <sheetFormatPr defaultRowHeight="14.4"/>
  <cols>
    <col min="1" max="1" width="4" customWidth="1"/>
    <col min="3" max="3" width="12.6640625" customWidth="1"/>
    <col min="4" max="4" width="8.88671875" hidden="1" customWidth="1"/>
    <col min="5" max="5" width="26.88671875" customWidth="1"/>
    <col min="6" max="8" width="7.33203125" style="8" customWidth="1"/>
    <col min="9" max="19" width="7.33203125" style="3" customWidth="1"/>
    <col min="20" max="21" width="5.6640625" style="3" customWidth="1"/>
  </cols>
  <sheetData>
    <row r="1" spans="1:22" ht="15" thickBot="1"/>
    <row r="2" spans="1:22" ht="15" thickBot="1">
      <c r="A2" s="62">
        <f>MAX(A3:A505)</f>
        <v>100</v>
      </c>
      <c r="B2" s="12"/>
      <c r="C2" s="12"/>
      <c r="D2" s="13"/>
      <c r="E2" s="14" t="s">
        <v>0</v>
      </c>
      <c r="F2" s="41">
        <f t="shared" ref="F2:R2" si="0">AVERAGEIF(F4:F102,"&gt;0")</f>
        <v>184.24418604651163</v>
      </c>
      <c r="G2" s="42">
        <f t="shared" si="0"/>
        <v>145.16</v>
      </c>
      <c r="H2" s="43">
        <f t="shared" si="0"/>
        <v>97.322557340425561</v>
      </c>
      <c r="I2" s="44">
        <f t="shared" si="0"/>
        <v>90.624550439560409</v>
      </c>
      <c r="J2" s="15">
        <f t="shared" si="0"/>
        <v>75.2119638554217</v>
      </c>
      <c r="K2" s="15">
        <f t="shared" si="0"/>
        <v>68.822947586486478</v>
      </c>
      <c r="L2" s="15">
        <f t="shared" si="0"/>
        <v>65.110483437499994</v>
      </c>
      <c r="M2" s="15">
        <f t="shared" si="0"/>
        <v>56.587789387755073</v>
      </c>
      <c r="N2" s="15">
        <f t="shared" si="0"/>
        <v>53.728169062500001</v>
      </c>
      <c r="O2" s="15">
        <f t="shared" si="0"/>
        <v>46.262668999999995</v>
      </c>
      <c r="P2" s="15">
        <f t="shared" si="0"/>
        <v>46.707650000000001</v>
      </c>
      <c r="Q2" s="15">
        <f t="shared" si="0"/>
        <v>54.723300000000002</v>
      </c>
      <c r="R2" s="15">
        <f t="shared" si="0"/>
        <v>51.338700000000003</v>
      </c>
      <c r="S2" s="16"/>
    </row>
    <row r="3" spans="1:22">
      <c r="A3" s="61"/>
      <c r="B3" s="27" t="str">
        <f>[1]Grp_2!A1</f>
        <v>Team</v>
      </c>
      <c r="C3" s="27" t="str">
        <f>[1]Grp_2!B1</f>
        <v>Name</v>
      </c>
      <c r="D3" s="28" t="str">
        <f>[1]Grp_2!C1</f>
        <v>Org</v>
      </c>
      <c r="E3" s="29" t="str">
        <f>[1]Grp_2!D1</f>
        <v>Location</v>
      </c>
      <c r="F3" s="27" t="str">
        <f>[1]Grp_2!E1</f>
        <v>Drv_skills</v>
      </c>
      <c r="G3" s="28" t="str">
        <f>[1]Grp_2!F1</f>
        <v>Prg_skills</v>
      </c>
      <c r="H3" s="29" t="str">
        <f>[1]Grp_2!G1</f>
        <v>Opr_max</v>
      </c>
      <c r="I3" s="28" t="str">
        <f>[1]Grp_2!H1</f>
        <v>Opr_last</v>
      </c>
      <c r="J3" s="28" t="str">
        <f>[1]Grp_2!I1</f>
        <v>Opr-1</v>
      </c>
      <c r="K3" s="28" t="str">
        <f>[1]Grp_2!J1</f>
        <v>Opr-2</v>
      </c>
      <c r="L3" s="28" t="str">
        <f>[1]Grp_2!K1</f>
        <v>Opr-3</v>
      </c>
      <c r="M3" s="28" t="str">
        <f>[1]Grp_2!L1</f>
        <v>Opr-4</v>
      </c>
      <c r="N3" s="28" t="str">
        <f>[1]Grp_2!M1</f>
        <v>Opr-5</v>
      </c>
      <c r="O3" s="28">
        <f>[1]Grp_2!N1</f>
        <v>0</v>
      </c>
      <c r="P3" s="28">
        <f>[1]Grp_2!O1</f>
        <v>0</v>
      </c>
      <c r="Q3" s="28">
        <f>[1]Grp_2!P1</f>
        <v>0</v>
      </c>
      <c r="R3" s="28">
        <f>[1]Grp_2!Q1</f>
        <v>0</v>
      </c>
      <c r="S3" s="29">
        <f>[1]Grp_2!R1</f>
        <v>0</v>
      </c>
    </row>
    <row r="4" spans="1:22">
      <c r="A4" s="2">
        <v>13</v>
      </c>
      <c r="B4" s="17" t="str">
        <f>[1]Grp_2!A14</f>
        <v>400X</v>
      </c>
      <c r="C4" s="30" t="str">
        <f>[1]Grp_2!B14</f>
        <v>Floyd IV - Vesuvius</v>
      </c>
      <c r="D4" s="18" t="str">
        <f>[1]Grp_2!C14</f>
        <v>Galveston I.S.D. Robotics</v>
      </c>
      <c r="E4" s="31" t="str">
        <f>[1]Grp_2!D14</f>
        <v>Galveston, Texas, United States</v>
      </c>
      <c r="F4" s="34">
        <f>[1]Grp_2!E14</f>
        <v>418</v>
      </c>
      <c r="G4" s="19">
        <f>[1]Grp_2!F14</f>
        <v>106</v>
      </c>
      <c r="H4" s="37">
        <f>[1]Grp_2!G14</f>
        <v>187.78299999999999</v>
      </c>
      <c r="I4" s="38">
        <f>[1]Grp_2!H14</f>
        <v>174.571</v>
      </c>
      <c r="J4" s="20">
        <f>[1]Grp_2!I14</f>
        <v>170.553</v>
      </c>
      <c r="K4" s="20">
        <f>[1]Grp_2!J14</f>
        <v>187.78299999999999</v>
      </c>
      <c r="L4" s="20">
        <f>[1]Grp_2!K14</f>
        <v>172.44200000000001</v>
      </c>
      <c r="M4" s="20">
        <f>[1]Grp_2!L14</f>
        <v>156.32</v>
      </c>
      <c r="N4" s="20">
        <f>[1]Grp_2!M14</f>
        <v>127.54600000000001</v>
      </c>
      <c r="O4" s="20">
        <f>[1]Grp_2!N14</f>
        <v>139.81</v>
      </c>
      <c r="P4" s="20">
        <f>[1]Grp_2!O14</f>
        <v>107.895</v>
      </c>
      <c r="Q4" s="20">
        <f>[1]Grp_2!P14</f>
        <v>0</v>
      </c>
      <c r="R4" s="20">
        <f>[1]Grp_2!Q14</f>
        <v>0</v>
      </c>
      <c r="S4" s="21">
        <f>[1]Grp_2!R2</f>
        <v>0</v>
      </c>
      <c r="T4" s="9"/>
      <c r="U4" s="9"/>
      <c r="V4" s="10"/>
    </row>
    <row r="5" spans="1:22">
      <c r="A5" s="2">
        <v>38</v>
      </c>
      <c r="B5" s="17" t="str">
        <f>[1]Grp_2!A39</f>
        <v>2605A</v>
      </c>
      <c r="C5" s="30" t="str">
        <f>[1]Grp_2!B39</f>
        <v>Sehome Sea Monsters A</v>
      </c>
      <c r="D5" s="18" t="str">
        <f>[1]Grp_2!C39</f>
        <v>Sehome High School</v>
      </c>
      <c r="E5" s="31" t="str">
        <f>[1]Grp_2!D39</f>
        <v>Bellingham, Washington, United States</v>
      </c>
      <c r="F5" s="34">
        <f>[1]Grp_2!E39</f>
        <v>242</v>
      </c>
      <c r="G5" s="19">
        <f>[1]Grp_2!F39</f>
        <v>57</v>
      </c>
      <c r="H5" s="37">
        <f>[1]Grp_2!G39</f>
        <v>164.81299999999999</v>
      </c>
      <c r="I5" s="38">
        <f>[1]Grp_2!H39</f>
        <v>164.81299999999999</v>
      </c>
      <c r="J5" s="20">
        <f>[1]Grp_2!I39</f>
        <v>125.831</v>
      </c>
      <c r="K5" s="20">
        <f>[1]Grp_2!J39</f>
        <v>91.517200000000003</v>
      </c>
      <c r="L5" s="20">
        <f>[1]Grp_2!K39</f>
        <v>33.1875</v>
      </c>
      <c r="M5" s="20">
        <f>[1]Grp_2!L39</f>
        <v>0</v>
      </c>
      <c r="N5" s="20">
        <f>[1]Grp_2!M39</f>
        <v>0</v>
      </c>
      <c r="O5" s="20">
        <f>[1]Grp_2!N39</f>
        <v>0</v>
      </c>
      <c r="P5" s="20">
        <f>[1]Grp_2!O39</f>
        <v>0</v>
      </c>
      <c r="Q5" s="20">
        <f>[1]Grp_2!P39</f>
        <v>0</v>
      </c>
      <c r="R5" s="20">
        <f>[1]Grp_2!Q39</f>
        <v>0</v>
      </c>
      <c r="S5" s="21">
        <f>[1]Grp_2!R3</f>
        <v>0</v>
      </c>
      <c r="T5" s="9"/>
      <c r="U5" s="9"/>
      <c r="V5" s="10"/>
    </row>
    <row r="6" spans="1:22">
      <c r="A6" s="2">
        <v>22</v>
      </c>
      <c r="B6" s="17" t="str">
        <f>[1]Grp_2!A23</f>
        <v>1104M</v>
      </c>
      <c r="C6" s="30" t="str">
        <f>[1]Grp_2!B23</f>
        <v>Discobots Ⓜ - 🍁 #PrayForThomas2k16</v>
      </c>
      <c r="D6" s="18" t="str">
        <f>[1]Grp_2!C23</f>
        <v>Brampton Robotics Education</v>
      </c>
      <c r="E6" s="31" t="str">
        <f>[1]Grp_2!D23</f>
        <v>Brampton, Ontario, Canada</v>
      </c>
      <c r="F6" s="34">
        <f>[1]Grp_2!E23</f>
        <v>439</v>
      </c>
      <c r="G6" s="19">
        <f>[1]Grp_2!F23</f>
        <v>0</v>
      </c>
      <c r="H6" s="37">
        <f>[1]Grp_2!G23</f>
        <v>155.43299999999999</v>
      </c>
      <c r="I6" s="38">
        <f>[1]Grp_2!H23</f>
        <v>155.43299999999999</v>
      </c>
      <c r="J6" s="20">
        <f>[1]Grp_2!I23</f>
        <v>119.089</v>
      </c>
      <c r="K6" s="20">
        <f>[1]Grp_2!J23</f>
        <v>0</v>
      </c>
      <c r="L6" s="20">
        <f>[1]Grp_2!K23</f>
        <v>0</v>
      </c>
      <c r="M6" s="20">
        <f>[1]Grp_2!L23</f>
        <v>0</v>
      </c>
      <c r="N6" s="20">
        <f>[1]Grp_2!M23</f>
        <v>0</v>
      </c>
      <c r="O6" s="20">
        <f>[1]Grp_2!N23</f>
        <v>0</v>
      </c>
      <c r="P6" s="20">
        <f>[1]Grp_2!O23</f>
        <v>0</v>
      </c>
      <c r="Q6" s="20">
        <f>[1]Grp_2!P23</f>
        <v>0</v>
      </c>
      <c r="R6" s="20">
        <f>[1]Grp_2!Q23</f>
        <v>0</v>
      </c>
      <c r="S6" s="21">
        <f>[1]Grp_2!R4</f>
        <v>0</v>
      </c>
      <c r="T6" s="9"/>
      <c r="U6" s="9"/>
      <c r="V6" s="10"/>
    </row>
    <row r="7" spans="1:22">
      <c r="A7" s="2">
        <v>80</v>
      </c>
      <c r="B7" s="17" t="str">
        <f>[1]Grp_2!A81</f>
        <v>7983G</v>
      </c>
      <c r="C7" s="30" t="str">
        <f>[1]Grp_2!B81</f>
        <v>Centennial CyberHawks</v>
      </c>
      <c r="D7" s="18" t="str">
        <f>[1]Grp_2!C81</f>
        <v>Centennial High School</v>
      </c>
      <c r="E7" s="31" t="str">
        <f>[1]Grp_2!D81</f>
        <v>Bakersfield, California, United States</v>
      </c>
      <c r="F7" s="34">
        <f>[1]Grp_2!E81</f>
        <v>331</v>
      </c>
      <c r="G7" s="19">
        <f>[1]Grp_2!F81</f>
        <v>297</v>
      </c>
      <c r="H7" s="37">
        <f>[1]Grp_2!G81</f>
        <v>154.762</v>
      </c>
      <c r="I7" s="38">
        <f>[1]Grp_2!H81</f>
        <v>114.123</v>
      </c>
      <c r="J7" s="20">
        <f>[1]Grp_2!I81</f>
        <v>104.84699999999999</v>
      </c>
      <c r="K7" s="20">
        <f>[1]Grp_2!J81</f>
        <v>154.762</v>
      </c>
      <c r="L7" s="20">
        <f>[1]Grp_2!K81</f>
        <v>144.589</v>
      </c>
      <c r="M7" s="20">
        <f>[1]Grp_2!L81</f>
        <v>78.489199999999997</v>
      </c>
      <c r="N7" s="20">
        <f>[1]Grp_2!M81</f>
        <v>0</v>
      </c>
      <c r="O7" s="20">
        <f>[1]Grp_2!N81</f>
        <v>0</v>
      </c>
      <c r="P7" s="20">
        <f>[1]Grp_2!O81</f>
        <v>0</v>
      </c>
      <c r="Q7" s="20">
        <f>[1]Grp_2!P81</f>
        <v>0</v>
      </c>
      <c r="R7" s="20">
        <f>[1]Grp_2!Q81</f>
        <v>0</v>
      </c>
      <c r="S7" s="21">
        <f>[1]Grp_2!R5</f>
        <v>0</v>
      </c>
      <c r="T7" s="9"/>
      <c r="U7" s="9"/>
      <c r="V7" s="10"/>
    </row>
    <row r="8" spans="1:22">
      <c r="A8" s="2">
        <v>21</v>
      </c>
      <c r="B8" s="17" t="str">
        <f>[1]Grp_2!A22</f>
        <v>1064A</v>
      </c>
      <c r="C8" s="30" t="str">
        <f>[1]Grp_2!B22</f>
        <v>OPS - Nebraska Nerd Herd</v>
      </c>
      <c r="D8" s="18" t="str">
        <f>[1]Grp_2!C22</f>
        <v>Omaha North Magnet High School</v>
      </c>
      <c r="E8" s="31" t="str">
        <f>[1]Grp_2!D22</f>
        <v>Omaha, Nebraska, United States</v>
      </c>
      <c r="F8" s="34">
        <f>[1]Grp_2!E22</f>
        <v>295</v>
      </c>
      <c r="G8" s="19">
        <f>[1]Grp_2!F22</f>
        <v>160</v>
      </c>
      <c r="H8" s="37">
        <f>[1]Grp_2!G22</f>
        <v>150.851</v>
      </c>
      <c r="I8" s="38">
        <f>[1]Grp_2!H22</f>
        <v>145.79499999999999</v>
      </c>
      <c r="J8" s="20">
        <f>[1]Grp_2!I22</f>
        <v>134.976</v>
      </c>
      <c r="K8" s="20">
        <f>[1]Grp_2!J22</f>
        <v>132.99199999999999</v>
      </c>
      <c r="L8" s="20">
        <f>[1]Grp_2!K22</f>
        <v>150.851</v>
      </c>
      <c r="M8" s="20">
        <f>[1]Grp_2!L22</f>
        <v>108.76900000000001</v>
      </c>
      <c r="N8" s="20">
        <f>[1]Grp_2!M22</f>
        <v>63.1111</v>
      </c>
      <c r="O8" s="20">
        <f>[1]Grp_2!N22</f>
        <v>47.601999999999997</v>
      </c>
      <c r="P8" s="20">
        <f>[1]Grp_2!O22</f>
        <v>0</v>
      </c>
      <c r="Q8" s="20">
        <f>[1]Grp_2!P22</f>
        <v>0</v>
      </c>
      <c r="R8" s="20">
        <f>[1]Grp_2!Q22</f>
        <v>0</v>
      </c>
      <c r="S8" s="21">
        <f>[1]Grp_2!R6</f>
        <v>0</v>
      </c>
      <c r="T8" s="9"/>
      <c r="U8" s="9"/>
      <c r="V8" s="10"/>
    </row>
    <row r="9" spans="1:22">
      <c r="A9" s="2">
        <v>34</v>
      </c>
      <c r="B9" s="17" t="str">
        <f>[1]Grp_2!A35</f>
        <v>2131G</v>
      </c>
      <c r="C9" s="30" t="str">
        <f>[1]Grp_2!B35</f>
        <v>Golden StallionZ</v>
      </c>
      <c r="D9" s="18" t="str">
        <f>[1]Grp_2!C35</f>
        <v>Davis High School</v>
      </c>
      <c r="E9" s="31" t="str">
        <f>[1]Grp_2!D35</f>
        <v>Kaysville, Utah, United States</v>
      </c>
      <c r="F9" s="34">
        <f>[1]Grp_2!E35</f>
        <v>277</v>
      </c>
      <c r="G9" s="19">
        <f>[1]Grp_2!F35</f>
        <v>280</v>
      </c>
      <c r="H9" s="37">
        <f>[1]Grp_2!G35</f>
        <v>142.321</v>
      </c>
      <c r="I9" s="38">
        <f>[1]Grp_2!H35</f>
        <v>142.321</v>
      </c>
      <c r="J9" s="20">
        <f>[1]Grp_2!I35</f>
        <v>121.52</v>
      </c>
      <c r="K9" s="20">
        <f>[1]Grp_2!J35</f>
        <v>122.584</v>
      </c>
      <c r="L9" s="20">
        <f>[1]Grp_2!K35</f>
        <v>121.661</v>
      </c>
      <c r="M9" s="20">
        <f>[1]Grp_2!L35</f>
        <v>36.493899999999996</v>
      </c>
      <c r="N9" s="20">
        <f>[1]Grp_2!M35</f>
        <v>88.694199999999995</v>
      </c>
      <c r="O9" s="20">
        <f>[1]Grp_2!N35</f>
        <v>134.239</v>
      </c>
      <c r="P9" s="20">
        <f>[1]Grp_2!O35</f>
        <v>0</v>
      </c>
      <c r="Q9" s="20">
        <f>[1]Grp_2!P35</f>
        <v>0</v>
      </c>
      <c r="R9" s="20">
        <f>[1]Grp_2!Q35</f>
        <v>0</v>
      </c>
      <c r="S9" s="21">
        <f>[1]Grp_2!R7</f>
        <v>0</v>
      </c>
      <c r="T9" s="9"/>
      <c r="U9" s="9"/>
      <c r="V9" s="10"/>
    </row>
    <row r="10" spans="1:22">
      <c r="A10" s="2">
        <v>5</v>
      </c>
      <c r="B10" s="17" t="str">
        <f>[1]Grp_2!A6</f>
        <v>78</v>
      </c>
      <c r="C10" s="30" t="str">
        <f>[1]Grp_2!B6</f>
        <v>AIR Strike</v>
      </c>
      <c r="D10" s="18" t="str">
        <f>[1]Grp_2!C6</f>
        <v>Aquidneck Island Robotics 4-H Club</v>
      </c>
      <c r="E10" s="31" t="str">
        <f>[1]Grp_2!D6</f>
        <v>Middletown, Rhode Island, United States</v>
      </c>
      <c r="F10" s="34">
        <f>[1]Grp_2!E6</f>
        <v>209</v>
      </c>
      <c r="G10" s="19">
        <f>[1]Grp_2!F6</f>
        <v>105</v>
      </c>
      <c r="H10" s="37">
        <f>[1]Grp_2!G6</f>
        <v>139.774</v>
      </c>
      <c r="I10" s="38">
        <f>[1]Grp_2!H6</f>
        <v>139.774</v>
      </c>
      <c r="J10" s="20">
        <f>[1]Grp_2!I6</f>
        <v>101.133</v>
      </c>
      <c r="K10" s="20">
        <f>[1]Grp_2!J6</f>
        <v>70.418599999999998</v>
      </c>
      <c r="L10" s="20">
        <f>[1]Grp_2!K6</f>
        <v>68.198099999999997</v>
      </c>
      <c r="M10" s="20">
        <f>[1]Grp_2!L6</f>
        <v>66.542900000000003</v>
      </c>
      <c r="N10" s="20">
        <f>[1]Grp_2!M6</f>
        <v>59.273899999999998</v>
      </c>
      <c r="O10" s="20">
        <f>[1]Grp_2!N6</f>
        <v>38.919699999999999</v>
      </c>
      <c r="P10" s="20">
        <f>[1]Grp_2!O6</f>
        <v>0</v>
      </c>
      <c r="Q10" s="20">
        <f>[1]Grp_2!P6</f>
        <v>0</v>
      </c>
      <c r="R10" s="20">
        <f>[1]Grp_2!Q6</f>
        <v>0</v>
      </c>
      <c r="S10" s="21">
        <f>[1]Grp_2!R8</f>
        <v>0</v>
      </c>
      <c r="T10" s="9"/>
      <c r="U10" s="9"/>
      <c r="V10" s="10"/>
    </row>
    <row r="11" spans="1:22">
      <c r="A11" s="2">
        <v>43</v>
      </c>
      <c r="B11" s="17" t="str">
        <f>[1]Grp_2!A44</f>
        <v>3388T</v>
      </c>
      <c r="C11" s="30" t="str">
        <f>[1]Grp_2!B44</f>
        <v>TurboTech</v>
      </c>
      <c r="D11" s="18" t="str">
        <f>[1]Grp_2!C44</f>
        <v>Sir Winston Churchill High School</v>
      </c>
      <c r="E11" s="31" t="str">
        <f>[1]Grp_2!D44</f>
        <v>Calgary, Alberta, Canada</v>
      </c>
      <c r="F11" s="34">
        <f>[1]Grp_2!E44</f>
        <v>305</v>
      </c>
      <c r="G11" s="19">
        <f>[1]Grp_2!F44</f>
        <v>145</v>
      </c>
      <c r="H11" s="37">
        <f>[1]Grp_2!G44</f>
        <v>138.31899999999999</v>
      </c>
      <c r="I11" s="38">
        <f>[1]Grp_2!H44</f>
        <v>138.31899999999999</v>
      </c>
      <c r="J11" s="20">
        <f>[1]Grp_2!I44</f>
        <v>95.3</v>
      </c>
      <c r="K11" s="20">
        <f>[1]Grp_2!J44</f>
        <v>124.664</v>
      </c>
      <c r="L11" s="20">
        <f>[1]Grp_2!K44</f>
        <v>73.139600000000002</v>
      </c>
      <c r="M11" s="20">
        <f>[1]Grp_2!L44</f>
        <v>0</v>
      </c>
      <c r="N11" s="20">
        <f>[1]Grp_2!M44</f>
        <v>0</v>
      </c>
      <c r="O11" s="20">
        <f>[1]Grp_2!N44</f>
        <v>0</v>
      </c>
      <c r="P11" s="20">
        <f>[1]Grp_2!O44</f>
        <v>0</v>
      </c>
      <c r="Q11" s="20">
        <f>[1]Grp_2!P44</f>
        <v>0</v>
      </c>
      <c r="R11" s="20">
        <f>[1]Grp_2!Q44</f>
        <v>0</v>
      </c>
      <c r="S11" s="21">
        <f>[1]Grp_2!R9</f>
        <v>0</v>
      </c>
      <c r="T11" s="9"/>
      <c r="U11" s="9"/>
      <c r="V11" s="10"/>
    </row>
    <row r="12" spans="1:22">
      <c r="A12" s="2">
        <v>33</v>
      </c>
      <c r="B12" s="17" t="str">
        <f>[1]Grp_2!A34</f>
        <v>2105A</v>
      </c>
      <c r="C12" s="30" t="str">
        <f>[1]Grp_2!B34</f>
        <v>Swampbotics</v>
      </c>
      <c r="D12" s="18" t="str">
        <f>[1]Grp_2!C34</f>
        <v>Ware County High School</v>
      </c>
      <c r="E12" s="31" t="str">
        <f>[1]Grp_2!D34</f>
        <v>Waycross, Georgia, United States</v>
      </c>
      <c r="F12" s="34">
        <f>[1]Grp_2!E34</f>
        <v>314</v>
      </c>
      <c r="G12" s="19">
        <f>[1]Grp_2!F34</f>
        <v>330</v>
      </c>
      <c r="H12" s="37">
        <f>[1]Grp_2!G34</f>
        <v>136.68</v>
      </c>
      <c r="I12" s="38">
        <f>[1]Grp_2!H34</f>
        <v>136.68</v>
      </c>
      <c r="J12" s="20">
        <f>[1]Grp_2!I34</f>
        <v>58.663600000000002</v>
      </c>
      <c r="K12" s="20">
        <f>[1]Grp_2!J34</f>
        <v>58.347099999999998</v>
      </c>
      <c r="L12" s="20">
        <f>[1]Grp_2!K34</f>
        <v>68.696299999999994</v>
      </c>
      <c r="M12" s="20">
        <f>[1]Grp_2!L34</f>
        <v>57.115600000000001</v>
      </c>
      <c r="N12" s="20">
        <f>[1]Grp_2!M34</f>
        <v>75.795500000000004</v>
      </c>
      <c r="O12" s="20">
        <f>[1]Grp_2!N34</f>
        <v>0</v>
      </c>
      <c r="P12" s="20">
        <f>[1]Grp_2!O34</f>
        <v>0</v>
      </c>
      <c r="Q12" s="20">
        <f>[1]Grp_2!P34</f>
        <v>0</v>
      </c>
      <c r="R12" s="20">
        <f>[1]Grp_2!Q34</f>
        <v>0</v>
      </c>
      <c r="S12" s="21">
        <f>[1]Grp_2!R10</f>
        <v>0</v>
      </c>
      <c r="T12" s="9"/>
      <c r="U12" s="9"/>
      <c r="V12" s="10"/>
    </row>
    <row r="13" spans="1:22">
      <c r="A13" s="2">
        <v>20</v>
      </c>
      <c r="B13" s="17" t="str">
        <f>[1]Grp_2!A21</f>
        <v>1007H</v>
      </c>
      <c r="C13" s="30" t="str">
        <f>[1]Grp_2!B21</f>
        <v>VARC High School</v>
      </c>
      <c r="D13" s="18" t="str">
        <f>[1]Grp_2!C21</f>
        <v>Vermillion Area Robotics Club</v>
      </c>
      <c r="E13" s="31" t="str">
        <f>[1]Grp_2!D21</f>
        <v>Vermillion, South Dakota, United States</v>
      </c>
      <c r="F13" s="34">
        <f>[1]Grp_2!E21</f>
        <v>0</v>
      </c>
      <c r="G13" s="19">
        <f>[1]Grp_2!F21</f>
        <v>0</v>
      </c>
      <c r="H13" s="37">
        <f>[1]Grp_2!G21</f>
        <v>136.34299999999999</v>
      </c>
      <c r="I13" s="38">
        <f>[1]Grp_2!H21</f>
        <v>97.197699999999998</v>
      </c>
      <c r="J13" s="20">
        <f>[1]Grp_2!I21</f>
        <v>136.34299999999999</v>
      </c>
      <c r="K13" s="20">
        <f>[1]Grp_2!J21</f>
        <v>0</v>
      </c>
      <c r="L13" s="20">
        <f>[1]Grp_2!K21</f>
        <v>0</v>
      </c>
      <c r="M13" s="20">
        <f>[1]Grp_2!L21</f>
        <v>0</v>
      </c>
      <c r="N13" s="20">
        <f>[1]Grp_2!M21</f>
        <v>0</v>
      </c>
      <c r="O13" s="20">
        <f>[1]Grp_2!N21</f>
        <v>0</v>
      </c>
      <c r="P13" s="20">
        <f>[1]Grp_2!O21</f>
        <v>0</v>
      </c>
      <c r="Q13" s="20">
        <f>[1]Grp_2!P21</f>
        <v>0</v>
      </c>
      <c r="R13" s="20">
        <f>[1]Grp_2!Q21</f>
        <v>0</v>
      </c>
      <c r="S13" s="21">
        <f>[1]Grp_2!R11</f>
        <v>0</v>
      </c>
      <c r="T13" s="9"/>
      <c r="U13" s="9"/>
      <c r="V13" s="10"/>
    </row>
    <row r="14" spans="1:22">
      <c r="A14" s="2">
        <v>62</v>
      </c>
      <c r="B14" s="17" t="str">
        <f>[1]Grp_2!A63</f>
        <v>5801</v>
      </c>
      <c r="C14" s="30" t="str">
        <f>[1]Grp_2!B63</f>
        <v>Robo Storm</v>
      </c>
      <c r="D14" s="18" t="str">
        <f>[1]Grp_2!C63</f>
        <v>T.E.A.C.H. Homeschool</v>
      </c>
      <c r="E14" s="31" t="str">
        <f>[1]Grp_2!D63</f>
        <v>Grawn, Michigan, United States</v>
      </c>
      <c r="F14" s="34">
        <f>[1]Grp_2!E63</f>
        <v>153</v>
      </c>
      <c r="G14" s="19">
        <f>[1]Grp_2!F63</f>
        <v>125</v>
      </c>
      <c r="H14" s="37">
        <f>[1]Grp_2!G63</f>
        <v>133.18</v>
      </c>
      <c r="I14" s="38">
        <f>[1]Grp_2!H63</f>
        <v>93.208500000000001</v>
      </c>
      <c r="J14" s="20">
        <f>[1]Grp_2!I63</f>
        <v>113.197</v>
      </c>
      <c r="K14" s="20">
        <f>[1]Grp_2!J63</f>
        <v>133.18</v>
      </c>
      <c r="L14" s="20">
        <f>[1]Grp_2!K63</f>
        <v>59.2866</v>
      </c>
      <c r="M14" s="20">
        <f>[1]Grp_2!L63</f>
        <v>5.69231</v>
      </c>
      <c r="N14" s="20">
        <f>[1]Grp_2!M63</f>
        <v>0</v>
      </c>
      <c r="O14" s="20">
        <f>[1]Grp_2!N63</f>
        <v>0</v>
      </c>
      <c r="P14" s="20">
        <f>[1]Grp_2!O63</f>
        <v>0</v>
      </c>
      <c r="Q14" s="20">
        <f>[1]Grp_2!P63</f>
        <v>0</v>
      </c>
      <c r="R14" s="20">
        <f>[1]Grp_2!Q63</f>
        <v>0</v>
      </c>
      <c r="S14" s="21">
        <f>[1]Grp_2!R12</f>
        <v>0</v>
      </c>
      <c r="T14" s="9"/>
      <c r="U14" s="9"/>
      <c r="V14" s="10"/>
    </row>
    <row r="15" spans="1:22">
      <c r="A15" s="2">
        <v>83</v>
      </c>
      <c r="B15" s="17" t="str">
        <f>[1]Grp_2!A84</f>
        <v>8229</v>
      </c>
      <c r="C15" s="30" t="str">
        <f>[1]Grp_2!B84</f>
        <v>NO.1 HS AT ECNU A</v>
      </c>
      <c r="D15" s="18" t="str">
        <f>[1]Grp_2!C84</f>
        <v>NO.1 High School Affiliated to East China Normal U</v>
      </c>
      <c r="E15" s="31" t="str">
        <f>[1]Grp_2!D84</f>
        <v>Shanghai, Not Applicable or Not Listed, China</v>
      </c>
      <c r="F15" s="34">
        <f>[1]Grp_2!E84</f>
        <v>0</v>
      </c>
      <c r="G15" s="19">
        <f>[1]Grp_2!F84</f>
        <v>0</v>
      </c>
      <c r="H15" s="37">
        <f>[1]Grp_2!G84</f>
        <v>128.98599999999999</v>
      </c>
      <c r="I15" s="38">
        <f>[1]Grp_2!H84</f>
        <v>128.98599999999999</v>
      </c>
      <c r="J15" s="20">
        <f>[1]Grp_2!I84</f>
        <v>0</v>
      </c>
      <c r="K15" s="20">
        <f>[1]Grp_2!J84</f>
        <v>0</v>
      </c>
      <c r="L15" s="20">
        <f>[1]Grp_2!K84</f>
        <v>0</v>
      </c>
      <c r="M15" s="20">
        <f>[1]Grp_2!L84</f>
        <v>0</v>
      </c>
      <c r="N15" s="20">
        <f>[1]Grp_2!M84</f>
        <v>0</v>
      </c>
      <c r="O15" s="20">
        <f>[1]Grp_2!N84</f>
        <v>0</v>
      </c>
      <c r="P15" s="20">
        <f>[1]Grp_2!O84</f>
        <v>0</v>
      </c>
      <c r="Q15" s="20">
        <f>[1]Grp_2!P84</f>
        <v>0</v>
      </c>
      <c r="R15" s="20">
        <f>[1]Grp_2!Q84</f>
        <v>0</v>
      </c>
      <c r="S15" s="21">
        <f>[1]Grp_2!R13</f>
        <v>0</v>
      </c>
      <c r="T15" s="9"/>
      <c r="U15" s="9"/>
      <c r="V15" s="10"/>
    </row>
    <row r="16" spans="1:22">
      <c r="A16" s="2">
        <v>81</v>
      </c>
      <c r="B16" s="17" t="str">
        <f>[1]Grp_2!A82</f>
        <v>8044</v>
      </c>
      <c r="C16" s="30" t="str">
        <f>[1]Grp_2!B82</f>
        <v>Gear Geeks</v>
      </c>
      <c r="D16" s="18" t="str">
        <f>[1]Grp_2!C82</f>
        <v>Mountain Farm Robotics</v>
      </c>
      <c r="E16" s="31" t="str">
        <f>[1]Grp_2!D82</f>
        <v>Broad Run, Virginia, United States</v>
      </c>
      <c r="F16" s="34">
        <f>[1]Grp_2!E82</f>
        <v>256</v>
      </c>
      <c r="G16" s="19">
        <f>[1]Grp_2!F82</f>
        <v>227</v>
      </c>
      <c r="H16" s="37">
        <f>[1]Grp_2!G82</f>
        <v>126.711</v>
      </c>
      <c r="I16" s="38">
        <f>[1]Grp_2!H82</f>
        <v>82.661299999999997</v>
      </c>
      <c r="J16" s="20">
        <f>[1]Grp_2!I82</f>
        <v>83.185400000000001</v>
      </c>
      <c r="K16" s="20">
        <f>[1]Grp_2!J82</f>
        <v>118.23699999999999</v>
      </c>
      <c r="L16" s="20">
        <f>[1]Grp_2!K82</f>
        <v>71.727400000000003</v>
      </c>
      <c r="M16" s="20">
        <f>[1]Grp_2!L82</f>
        <v>126.711</v>
      </c>
      <c r="N16" s="20">
        <f>[1]Grp_2!M82</f>
        <v>13.5869</v>
      </c>
      <c r="O16" s="20">
        <f>[1]Grp_2!N82</f>
        <v>0</v>
      </c>
      <c r="P16" s="20">
        <f>[1]Grp_2!O82</f>
        <v>0</v>
      </c>
      <c r="Q16" s="20">
        <f>[1]Grp_2!P82</f>
        <v>0</v>
      </c>
      <c r="R16" s="20">
        <f>[1]Grp_2!Q82</f>
        <v>0</v>
      </c>
      <c r="S16" s="21">
        <f>[1]Grp_2!R14</f>
        <v>0</v>
      </c>
      <c r="T16" s="9"/>
      <c r="U16" s="9"/>
      <c r="V16" s="10"/>
    </row>
    <row r="17" spans="1:22">
      <c r="A17" s="2">
        <v>4</v>
      </c>
      <c r="B17" s="17" t="str">
        <f>[1]Grp_2!A5</f>
        <v>62</v>
      </c>
      <c r="C17" s="30" t="str">
        <f>[1]Grp_2!B5</f>
        <v>Kanagasabapathys</v>
      </c>
      <c r="D17" s="18" t="str">
        <f>[1]Grp_2!C5</f>
        <v>Harvard-Westlake</v>
      </c>
      <c r="E17" s="31" t="str">
        <f>[1]Grp_2!D5</f>
        <v>Studio City, California, United States</v>
      </c>
      <c r="F17" s="34">
        <f>[1]Grp_2!E5</f>
        <v>345</v>
      </c>
      <c r="G17" s="19">
        <f>[1]Grp_2!F5</f>
        <v>160</v>
      </c>
      <c r="H17" s="37">
        <f>[1]Grp_2!G5</f>
        <v>126.161</v>
      </c>
      <c r="I17" s="38">
        <f>[1]Grp_2!H5</f>
        <v>90.535600000000002</v>
      </c>
      <c r="J17" s="20">
        <f>[1]Grp_2!I5</f>
        <v>126.161</v>
      </c>
      <c r="K17" s="20">
        <f>[1]Grp_2!J5</f>
        <v>26.6843</v>
      </c>
      <c r="L17" s="20">
        <f>[1]Grp_2!K5</f>
        <v>84.885999999999996</v>
      </c>
      <c r="M17" s="20">
        <f>[1]Grp_2!L5</f>
        <v>121.535</v>
      </c>
      <c r="N17" s="20">
        <f>[1]Grp_2!M5</f>
        <v>73.419799999999995</v>
      </c>
      <c r="O17" s="20">
        <f>[1]Grp_2!N5</f>
        <v>0</v>
      </c>
      <c r="P17" s="20">
        <f>[1]Grp_2!O5</f>
        <v>0</v>
      </c>
      <c r="Q17" s="20">
        <f>[1]Grp_2!P5</f>
        <v>0</v>
      </c>
      <c r="R17" s="20">
        <f>[1]Grp_2!Q5</f>
        <v>0</v>
      </c>
      <c r="S17" s="21">
        <f>[1]Grp_2!R15</f>
        <v>0</v>
      </c>
      <c r="T17" s="9"/>
      <c r="U17" s="9"/>
      <c r="V17" s="10"/>
    </row>
    <row r="18" spans="1:22">
      <c r="A18" s="2">
        <v>53</v>
      </c>
      <c r="B18" s="17" t="str">
        <f>[1]Grp_2!A54</f>
        <v>4886A</v>
      </c>
      <c r="C18" s="30" t="str">
        <f>[1]Grp_2!B54</f>
        <v>Black Mesa</v>
      </c>
      <c r="D18" s="18" t="str">
        <f>[1]Grp_2!C54</f>
        <v>Thetford Academy</v>
      </c>
      <c r="E18" s="31" t="str">
        <f>[1]Grp_2!D54</f>
        <v>Thetford, Vermont, United States</v>
      </c>
      <c r="F18" s="34">
        <f>[1]Grp_2!E54</f>
        <v>163</v>
      </c>
      <c r="G18" s="19">
        <f>[1]Grp_2!F54</f>
        <v>146</v>
      </c>
      <c r="H18" s="37">
        <f>[1]Grp_2!G54</f>
        <v>125.179</v>
      </c>
      <c r="I18" s="38">
        <f>[1]Grp_2!H54</f>
        <v>125.179</v>
      </c>
      <c r="J18" s="20">
        <f>[1]Grp_2!I54</f>
        <v>71.413799999999995</v>
      </c>
      <c r="K18" s="20">
        <f>[1]Grp_2!J54</f>
        <v>84.884299999999996</v>
      </c>
      <c r="L18" s="20">
        <f>[1]Grp_2!K54</f>
        <v>43.179400000000001</v>
      </c>
      <c r="M18" s="20">
        <f>[1]Grp_2!L54</f>
        <v>31.5123</v>
      </c>
      <c r="N18" s="20">
        <f>[1]Grp_2!M54</f>
        <v>0</v>
      </c>
      <c r="O18" s="20">
        <f>[1]Grp_2!N54</f>
        <v>0</v>
      </c>
      <c r="P18" s="20">
        <f>[1]Grp_2!O54</f>
        <v>0</v>
      </c>
      <c r="Q18" s="20">
        <f>[1]Grp_2!P54</f>
        <v>0</v>
      </c>
      <c r="R18" s="20">
        <f>[1]Grp_2!Q54</f>
        <v>0</v>
      </c>
      <c r="S18" s="21">
        <f>[1]Grp_2!R16</f>
        <v>0</v>
      </c>
      <c r="T18" s="9"/>
      <c r="U18" s="9"/>
      <c r="V18" s="10"/>
    </row>
    <row r="19" spans="1:22">
      <c r="A19" s="2">
        <v>26</v>
      </c>
      <c r="B19" s="17" t="str">
        <f>[1]Grp_2!A27</f>
        <v>1356C</v>
      </c>
      <c r="C19" s="30" t="str">
        <f>[1]Grp_2!B27</f>
        <v>Parkview Panthers Team C</v>
      </c>
      <c r="D19" s="18" t="str">
        <f>[1]Grp_2!C27</f>
        <v>Parkview High School - Gwinnett</v>
      </c>
      <c r="E19" s="31" t="str">
        <f>[1]Grp_2!D27</f>
        <v>Lilburn, Georgia, United States</v>
      </c>
      <c r="F19" s="34">
        <f>[1]Grp_2!E27</f>
        <v>298</v>
      </c>
      <c r="G19" s="19">
        <f>[1]Grp_2!F27</f>
        <v>150</v>
      </c>
      <c r="H19" s="37">
        <f>[1]Grp_2!G27</f>
        <v>124.67100000000001</v>
      </c>
      <c r="I19" s="38">
        <f>[1]Grp_2!H27</f>
        <v>112.67</v>
      </c>
      <c r="J19" s="20">
        <f>[1]Grp_2!I27</f>
        <v>124.67100000000001</v>
      </c>
      <c r="K19" s="20">
        <f>[1]Grp_2!J27</f>
        <v>96.465599999999995</v>
      </c>
      <c r="L19" s="20">
        <f>[1]Grp_2!K27</f>
        <v>54.965600000000002</v>
      </c>
      <c r="M19" s="20">
        <f>[1]Grp_2!L27</f>
        <v>25.523800000000001</v>
      </c>
      <c r="N19" s="20">
        <f>[1]Grp_2!M27</f>
        <v>54.368499999999997</v>
      </c>
      <c r="O19" s="20">
        <f>[1]Grp_2!N27</f>
        <v>44.743699999999997</v>
      </c>
      <c r="P19" s="20">
        <f>[1]Grp_2!O27</f>
        <v>0</v>
      </c>
      <c r="Q19" s="20">
        <f>[1]Grp_2!P27</f>
        <v>0</v>
      </c>
      <c r="R19" s="20">
        <f>[1]Grp_2!Q27</f>
        <v>0</v>
      </c>
      <c r="S19" s="21">
        <f>[1]Grp_2!R17</f>
        <v>0</v>
      </c>
      <c r="T19" s="9"/>
      <c r="U19" s="9"/>
      <c r="V19" s="10"/>
    </row>
    <row r="20" spans="1:22">
      <c r="A20" s="2">
        <v>58</v>
      </c>
      <c r="B20" s="17" t="str">
        <f>[1]Grp_2!A59</f>
        <v>5454F</v>
      </c>
      <c r="C20" s="30" t="str">
        <f>[1]Grp_2!B59</f>
        <v>FLAMINGOS</v>
      </c>
      <c r="D20" s="18" t="str">
        <f>[1]Grp_2!C59</f>
        <v>Elkhorn Crossing School</v>
      </c>
      <c r="E20" s="31" t="str">
        <f>[1]Grp_2!D59</f>
        <v>Georgetown, Kentucky, United States</v>
      </c>
      <c r="F20" s="34">
        <f>[1]Grp_2!E59</f>
        <v>290</v>
      </c>
      <c r="G20" s="19">
        <f>[1]Grp_2!F59</f>
        <v>160</v>
      </c>
      <c r="H20" s="37">
        <f>[1]Grp_2!G59</f>
        <v>122.809</v>
      </c>
      <c r="I20" s="38">
        <f>[1]Grp_2!H59</f>
        <v>114.095</v>
      </c>
      <c r="J20" s="20">
        <f>[1]Grp_2!I59</f>
        <v>116.666</v>
      </c>
      <c r="K20" s="20">
        <f>[1]Grp_2!J59</f>
        <v>122.809</v>
      </c>
      <c r="L20" s="20">
        <f>[1]Grp_2!K59</f>
        <v>52.152000000000001</v>
      </c>
      <c r="M20" s="20">
        <f>[1]Grp_2!L59</f>
        <v>31.690200000000001</v>
      </c>
      <c r="N20" s="20">
        <f>[1]Grp_2!M59</f>
        <v>9.6425400000000003</v>
      </c>
      <c r="O20" s="20">
        <f>[1]Grp_2!N59</f>
        <v>14.485099999999999</v>
      </c>
      <c r="P20" s="20">
        <f>[1]Grp_2!O59</f>
        <v>14.7494</v>
      </c>
      <c r="Q20" s="20">
        <f>[1]Grp_2!P59</f>
        <v>0</v>
      </c>
      <c r="R20" s="20">
        <f>[1]Grp_2!Q59</f>
        <v>0</v>
      </c>
      <c r="S20" s="21">
        <f>[1]Grp_2!R18</f>
        <v>0</v>
      </c>
      <c r="T20" s="9"/>
      <c r="U20" s="9"/>
      <c r="V20" s="10"/>
    </row>
    <row r="21" spans="1:22">
      <c r="A21" s="2">
        <v>60</v>
      </c>
      <c r="B21" s="17" t="str">
        <f>[1]Grp_2!A61</f>
        <v>5691X</v>
      </c>
      <c r="C21" s="30" t="str">
        <f>[1]Grp_2!B61</f>
        <v>BHE Skunkworks Division</v>
      </c>
      <c r="D21" s="18" t="str">
        <f>[1]Grp_2!C61</f>
        <v>Bryant High School</v>
      </c>
      <c r="E21" s="31" t="str">
        <f>[1]Grp_2!D61</f>
        <v>Bryant, Arkansas, United States</v>
      </c>
      <c r="F21" s="34">
        <f>[1]Grp_2!E61</f>
        <v>227</v>
      </c>
      <c r="G21" s="19">
        <f>[1]Grp_2!F61</f>
        <v>0</v>
      </c>
      <c r="H21" s="37">
        <f>[1]Grp_2!G61</f>
        <v>122.761</v>
      </c>
      <c r="I21" s="38">
        <f>[1]Grp_2!H61</f>
        <v>122.761</v>
      </c>
      <c r="J21" s="20">
        <f>[1]Grp_2!I61</f>
        <v>0</v>
      </c>
      <c r="K21" s="20">
        <f>[1]Grp_2!J61</f>
        <v>0</v>
      </c>
      <c r="L21" s="20">
        <f>[1]Grp_2!K61</f>
        <v>0</v>
      </c>
      <c r="M21" s="20">
        <f>[1]Grp_2!L61</f>
        <v>0</v>
      </c>
      <c r="N21" s="20">
        <f>[1]Grp_2!M61</f>
        <v>0</v>
      </c>
      <c r="O21" s="20">
        <f>[1]Grp_2!N61</f>
        <v>0</v>
      </c>
      <c r="P21" s="20">
        <f>[1]Grp_2!O61</f>
        <v>0</v>
      </c>
      <c r="Q21" s="20">
        <f>[1]Grp_2!P61</f>
        <v>0</v>
      </c>
      <c r="R21" s="20">
        <f>[1]Grp_2!Q61</f>
        <v>0</v>
      </c>
      <c r="S21" s="21">
        <f>[1]Grp_2!R19</f>
        <v>0</v>
      </c>
      <c r="T21" s="9"/>
      <c r="U21" s="9"/>
      <c r="V21" s="10"/>
    </row>
    <row r="22" spans="1:22">
      <c r="A22" s="2">
        <v>9</v>
      </c>
      <c r="B22" s="17" t="str">
        <f>[1]Grp_2!A10</f>
        <v>231Z</v>
      </c>
      <c r="C22" s="30" t="str">
        <f>[1]Grp_2!B10</f>
        <v>PASADENA ISD ROBOTICS</v>
      </c>
      <c r="D22" s="18" t="str">
        <f>[1]Grp_2!C10</f>
        <v>PASADENA ISD ROBOTICS</v>
      </c>
      <c r="E22" s="31" t="str">
        <f>[1]Grp_2!D10</f>
        <v>HOUSTON, Texas, United States</v>
      </c>
      <c r="F22" s="34">
        <f>[1]Grp_2!E10</f>
        <v>163</v>
      </c>
      <c r="G22" s="19">
        <f>[1]Grp_2!F10</f>
        <v>120</v>
      </c>
      <c r="H22" s="37">
        <f>[1]Grp_2!G10</f>
        <v>122.67400000000001</v>
      </c>
      <c r="I22" s="38">
        <f>[1]Grp_2!H10</f>
        <v>120.40600000000001</v>
      </c>
      <c r="J22" s="20">
        <f>[1]Grp_2!I10</f>
        <v>105.80200000000001</v>
      </c>
      <c r="K22" s="20">
        <f>[1]Grp_2!J10</f>
        <v>122.67400000000001</v>
      </c>
      <c r="L22" s="20">
        <f>[1]Grp_2!K10</f>
        <v>115.88800000000001</v>
      </c>
      <c r="M22" s="20">
        <f>[1]Grp_2!L10</f>
        <v>118.33</v>
      </c>
      <c r="N22" s="20">
        <f>[1]Grp_2!M10</f>
        <v>0</v>
      </c>
      <c r="O22" s="20">
        <f>[1]Grp_2!N10</f>
        <v>0</v>
      </c>
      <c r="P22" s="20">
        <f>[1]Grp_2!O10</f>
        <v>0</v>
      </c>
      <c r="Q22" s="20">
        <f>[1]Grp_2!P10</f>
        <v>0</v>
      </c>
      <c r="R22" s="20">
        <f>[1]Grp_2!Q10</f>
        <v>0</v>
      </c>
      <c r="S22" s="21">
        <f>[1]Grp_2!R20</f>
        <v>0</v>
      </c>
      <c r="T22" s="9"/>
      <c r="U22" s="9"/>
      <c r="V22" s="10"/>
    </row>
    <row r="23" spans="1:22">
      <c r="A23" s="2">
        <v>86</v>
      </c>
      <c r="B23" s="17" t="str">
        <f>[1]Grp_2!A87</f>
        <v>8691C</v>
      </c>
      <c r="C23" s="30" t="str">
        <f>[1]Grp_2!B87</f>
        <v>hefei NO.8 SMSch C</v>
      </c>
      <c r="D23" s="18" t="str">
        <f>[1]Grp_2!C87</f>
        <v>Hefei No.8 Senior Middle School</v>
      </c>
      <c r="E23" s="31" t="str">
        <f>[1]Grp_2!D87</f>
        <v>hefei, Not Applicable or Not Listed, China</v>
      </c>
      <c r="F23" s="34">
        <f>[1]Grp_2!E87</f>
        <v>244</v>
      </c>
      <c r="G23" s="19">
        <f>[1]Grp_2!F87</f>
        <v>0</v>
      </c>
      <c r="H23" s="37">
        <f>[1]Grp_2!G87</f>
        <v>122.401</v>
      </c>
      <c r="I23" s="38">
        <f>[1]Grp_2!H87</f>
        <v>122.401</v>
      </c>
      <c r="J23" s="20">
        <f>[1]Grp_2!I87</f>
        <v>0</v>
      </c>
      <c r="K23" s="20">
        <f>[1]Grp_2!J87</f>
        <v>0</v>
      </c>
      <c r="L23" s="20">
        <f>[1]Grp_2!K87</f>
        <v>0</v>
      </c>
      <c r="M23" s="20">
        <f>[1]Grp_2!L87</f>
        <v>0</v>
      </c>
      <c r="N23" s="20">
        <f>[1]Grp_2!M87</f>
        <v>0</v>
      </c>
      <c r="O23" s="20">
        <f>[1]Grp_2!N87</f>
        <v>0</v>
      </c>
      <c r="P23" s="20">
        <f>[1]Grp_2!O87</f>
        <v>0</v>
      </c>
      <c r="Q23" s="20">
        <f>[1]Grp_2!P87</f>
        <v>0</v>
      </c>
      <c r="R23" s="20">
        <f>[1]Grp_2!Q87</f>
        <v>0</v>
      </c>
      <c r="S23" s="21">
        <f>[1]Grp_2!R21</f>
        <v>0</v>
      </c>
      <c r="T23" s="9"/>
      <c r="U23" s="9"/>
      <c r="V23" s="10"/>
    </row>
    <row r="24" spans="1:22">
      <c r="A24" s="2">
        <v>23</v>
      </c>
      <c r="B24" s="17" t="str">
        <f>[1]Grp_2!A24</f>
        <v>1114Z</v>
      </c>
      <c r="C24" s="30" t="str">
        <f>[1]Grp_2!B24</f>
        <v>Simbotics</v>
      </c>
      <c r="D24" s="18" t="str">
        <f>[1]Grp_2!C24</f>
        <v>Governor Simcoe Secondary School</v>
      </c>
      <c r="E24" s="31" t="str">
        <f>[1]Grp_2!D24</f>
        <v>St Catharines, Ontario, Canada</v>
      </c>
      <c r="F24" s="34">
        <f>[1]Grp_2!E24</f>
        <v>224</v>
      </c>
      <c r="G24" s="19">
        <f>[1]Grp_2!F24</f>
        <v>115</v>
      </c>
      <c r="H24" s="37">
        <f>[1]Grp_2!G24</f>
        <v>121.893</v>
      </c>
      <c r="I24" s="38">
        <f>[1]Grp_2!H24</f>
        <v>121.893</v>
      </c>
      <c r="J24" s="20">
        <f>[1]Grp_2!I24</f>
        <v>94.248199999999997</v>
      </c>
      <c r="K24" s="20">
        <f>[1]Grp_2!J24</f>
        <v>113.78400000000001</v>
      </c>
      <c r="L24" s="20">
        <f>[1]Grp_2!K24</f>
        <v>0</v>
      </c>
      <c r="M24" s="20">
        <f>[1]Grp_2!L24</f>
        <v>0</v>
      </c>
      <c r="N24" s="20">
        <f>[1]Grp_2!M24</f>
        <v>0</v>
      </c>
      <c r="O24" s="20">
        <f>[1]Grp_2!N24</f>
        <v>0</v>
      </c>
      <c r="P24" s="20">
        <f>[1]Grp_2!O24</f>
        <v>0</v>
      </c>
      <c r="Q24" s="20">
        <f>[1]Grp_2!P24</f>
        <v>0</v>
      </c>
      <c r="R24" s="20">
        <f>[1]Grp_2!Q24</f>
        <v>0</v>
      </c>
      <c r="S24" s="21">
        <f>[1]Grp_2!R22</f>
        <v>0</v>
      </c>
      <c r="T24" s="9"/>
      <c r="U24" s="9"/>
      <c r="V24" s="10"/>
    </row>
    <row r="25" spans="1:22">
      <c r="A25" s="2">
        <v>46</v>
      </c>
      <c r="B25" s="17" t="str">
        <f>[1]Grp_2!A47</f>
        <v>4029A</v>
      </c>
      <c r="C25" s="30" t="str">
        <f>[1]Grp_2!B47</f>
        <v>Excalibots</v>
      </c>
      <c r="D25" s="18" t="str">
        <f>[1]Grp_2!C47</f>
        <v xml:space="preserve">Leesburg Robotics Alliance </v>
      </c>
      <c r="E25" s="31" t="str">
        <f>[1]Grp_2!D47</f>
        <v>Leesburg, Florida, United States</v>
      </c>
      <c r="F25" s="34">
        <f>[1]Grp_2!E47</f>
        <v>167</v>
      </c>
      <c r="G25" s="19">
        <f>[1]Grp_2!F47</f>
        <v>231</v>
      </c>
      <c r="H25" s="37">
        <f>[1]Grp_2!G47</f>
        <v>119.961</v>
      </c>
      <c r="I25" s="38">
        <f>[1]Grp_2!H47</f>
        <v>119.961</v>
      </c>
      <c r="J25" s="20">
        <f>[1]Grp_2!I47</f>
        <v>80.898799999999994</v>
      </c>
      <c r="K25" s="20">
        <f>[1]Grp_2!J47</f>
        <v>96.556899999999999</v>
      </c>
      <c r="L25" s="20">
        <f>[1]Grp_2!K47</f>
        <v>14.337300000000001</v>
      </c>
      <c r="M25" s="20">
        <f>[1]Grp_2!L47</f>
        <v>0</v>
      </c>
      <c r="N25" s="20">
        <f>[1]Grp_2!M47</f>
        <v>0</v>
      </c>
      <c r="O25" s="20">
        <f>[1]Grp_2!N47</f>
        <v>0</v>
      </c>
      <c r="P25" s="20">
        <f>[1]Grp_2!O47</f>
        <v>0</v>
      </c>
      <c r="Q25" s="20">
        <f>[1]Grp_2!P47</f>
        <v>0</v>
      </c>
      <c r="R25" s="20">
        <f>[1]Grp_2!Q47</f>
        <v>0</v>
      </c>
      <c r="S25" s="21">
        <f>[1]Grp_2!R23</f>
        <v>0</v>
      </c>
      <c r="T25" s="9"/>
      <c r="U25" s="9"/>
      <c r="V25" s="10"/>
    </row>
    <row r="26" spans="1:22">
      <c r="A26" s="2">
        <v>47</v>
      </c>
      <c r="B26" s="17" t="str">
        <f>[1]Grp_2!A48</f>
        <v>4146V</v>
      </c>
      <c r="C26" s="30" t="str">
        <f>[1]Grp_2!B48</f>
        <v>Sabercat Robotics</v>
      </c>
      <c r="D26" s="18" t="str">
        <f>[1]Grp_2!C48</f>
        <v>Scottsdale Unified Schools-- Saguaro High School</v>
      </c>
      <c r="E26" s="31" t="str">
        <f>[1]Grp_2!D48</f>
        <v>Scottsdale, Arizona, United States</v>
      </c>
      <c r="F26" s="34">
        <f>[1]Grp_2!E48</f>
        <v>130</v>
      </c>
      <c r="G26" s="19">
        <f>[1]Grp_2!F48</f>
        <v>77</v>
      </c>
      <c r="H26" s="37">
        <f>[1]Grp_2!G48</f>
        <v>118.139</v>
      </c>
      <c r="I26" s="38">
        <f>[1]Grp_2!H48</f>
        <v>118.139</v>
      </c>
      <c r="J26" s="20">
        <f>[1]Grp_2!I48</f>
        <v>88.537400000000005</v>
      </c>
      <c r="K26" s="20">
        <f>[1]Grp_2!J48</f>
        <v>75.010599999999997</v>
      </c>
      <c r="L26" s="20">
        <f>[1]Grp_2!K48</f>
        <v>70.727900000000005</v>
      </c>
      <c r="M26" s="20">
        <f>[1]Grp_2!L48</f>
        <v>0</v>
      </c>
      <c r="N26" s="20">
        <f>[1]Grp_2!M48</f>
        <v>0</v>
      </c>
      <c r="O26" s="20">
        <f>[1]Grp_2!N48</f>
        <v>0</v>
      </c>
      <c r="P26" s="20">
        <f>[1]Grp_2!O48</f>
        <v>0</v>
      </c>
      <c r="Q26" s="20">
        <f>[1]Grp_2!P48</f>
        <v>0</v>
      </c>
      <c r="R26" s="20">
        <f>[1]Grp_2!Q48</f>
        <v>0</v>
      </c>
      <c r="S26" s="21">
        <f>[1]Grp_2!R24</f>
        <v>0</v>
      </c>
      <c r="T26" s="9"/>
      <c r="U26" s="9"/>
      <c r="V26" s="10"/>
    </row>
    <row r="27" spans="1:22">
      <c r="A27" s="2">
        <v>12</v>
      </c>
      <c r="B27" s="17" t="str">
        <f>[1]Grp_2!A13</f>
        <v>359A</v>
      </c>
      <c r="C27" s="30" t="str">
        <f>[1]Grp_2!B13</f>
        <v>Hawaiian Kids</v>
      </c>
      <c r="D27" s="18" t="str">
        <f>[1]Grp_2!C13</f>
        <v>Waialua High * Intermediate School</v>
      </c>
      <c r="E27" s="31" t="str">
        <f>[1]Grp_2!D13</f>
        <v>Waialua, Hawaii, United States</v>
      </c>
      <c r="F27" s="34">
        <f>[1]Grp_2!E13</f>
        <v>248</v>
      </c>
      <c r="G27" s="19">
        <f>[1]Grp_2!F13</f>
        <v>109</v>
      </c>
      <c r="H27" s="37">
        <f>[1]Grp_2!G13</f>
        <v>117.15300000000001</v>
      </c>
      <c r="I27" s="38">
        <f>[1]Grp_2!H13</f>
        <v>86.387200000000007</v>
      </c>
      <c r="J27" s="20">
        <f>[1]Grp_2!I13</f>
        <v>117.15300000000001</v>
      </c>
      <c r="K27" s="20">
        <f>[1]Grp_2!J13</f>
        <v>114.411</v>
      </c>
      <c r="L27" s="20">
        <f>[1]Grp_2!K13</f>
        <v>103.30800000000001</v>
      </c>
      <c r="M27" s="20">
        <f>[1]Grp_2!L13</f>
        <v>0</v>
      </c>
      <c r="N27" s="20">
        <f>[1]Grp_2!M13</f>
        <v>0</v>
      </c>
      <c r="O27" s="20">
        <f>[1]Grp_2!N13</f>
        <v>0</v>
      </c>
      <c r="P27" s="20">
        <f>[1]Grp_2!O13</f>
        <v>0</v>
      </c>
      <c r="Q27" s="20">
        <f>[1]Grp_2!P13</f>
        <v>0</v>
      </c>
      <c r="R27" s="20">
        <f>[1]Grp_2!Q13</f>
        <v>0</v>
      </c>
      <c r="S27" s="21">
        <f>[1]Grp_2!R25</f>
        <v>0</v>
      </c>
      <c r="T27" s="9"/>
      <c r="U27" s="9"/>
      <c r="V27" s="10"/>
    </row>
    <row r="28" spans="1:22">
      <c r="A28" s="2">
        <v>14</v>
      </c>
      <c r="B28" s="17" t="str">
        <f>[1]Grp_2!A15</f>
        <v>563</v>
      </c>
      <c r="C28" s="30" t="str">
        <f>[1]Grp_2!B15</f>
        <v>Titan Robotics</v>
      </c>
      <c r="D28" s="18" t="str">
        <f>[1]Grp_2!C15</f>
        <v>Nipomo High School</v>
      </c>
      <c r="E28" s="31" t="str">
        <f>[1]Grp_2!D15</f>
        <v>Nipomo, California, United States</v>
      </c>
      <c r="F28" s="34">
        <f>[1]Grp_2!E15</f>
        <v>126</v>
      </c>
      <c r="G28" s="19">
        <f>[1]Grp_2!F15</f>
        <v>65</v>
      </c>
      <c r="H28" s="37">
        <f>[1]Grp_2!G15</f>
        <v>116.889</v>
      </c>
      <c r="I28" s="38">
        <f>[1]Grp_2!H15</f>
        <v>97.425600000000003</v>
      </c>
      <c r="J28" s="20">
        <f>[1]Grp_2!I15</f>
        <v>84.377399999999994</v>
      </c>
      <c r="K28" s="20">
        <f>[1]Grp_2!J15</f>
        <v>98.027699999999996</v>
      </c>
      <c r="L28" s="20">
        <f>[1]Grp_2!K15</f>
        <v>116.889</v>
      </c>
      <c r="M28" s="20">
        <f>[1]Grp_2!L15</f>
        <v>94.840900000000005</v>
      </c>
      <c r="N28" s="20">
        <f>[1]Grp_2!M15</f>
        <v>109.651</v>
      </c>
      <c r="O28" s="20">
        <f>[1]Grp_2!N15</f>
        <v>0</v>
      </c>
      <c r="P28" s="20">
        <f>[1]Grp_2!O15</f>
        <v>0</v>
      </c>
      <c r="Q28" s="20">
        <f>[1]Grp_2!P15</f>
        <v>0</v>
      </c>
      <c r="R28" s="20">
        <f>[1]Grp_2!Q15</f>
        <v>0</v>
      </c>
      <c r="S28" s="21">
        <f>[1]Grp_2!R26</f>
        <v>0</v>
      </c>
      <c r="T28" s="9"/>
      <c r="U28" s="9"/>
      <c r="V28" s="10"/>
    </row>
    <row r="29" spans="1:22">
      <c r="A29" s="2">
        <v>27</v>
      </c>
      <c r="B29" s="17" t="str">
        <f>[1]Grp_2!A28</f>
        <v>1429P</v>
      </c>
      <c r="C29" s="30" t="str">
        <f>[1]Grp_2!B28</f>
        <v>KAOS   ►ö</v>
      </c>
      <c r="D29" s="18" t="str">
        <f>[1]Grp_2!C28</f>
        <v>Galena Park High School</v>
      </c>
      <c r="E29" s="31" t="str">
        <f>[1]Grp_2!D28</f>
        <v>Galena Park, Texas, United States</v>
      </c>
      <c r="F29" s="34">
        <f>[1]Grp_2!E28</f>
        <v>4</v>
      </c>
      <c r="G29" s="19">
        <f>[1]Grp_2!F28</f>
        <v>0</v>
      </c>
      <c r="H29" s="37">
        <f>[1]Grp_2!G28</f>
        <v>116.209</v>
      </c>
      <c r="I29" s="38">
        <f>[1]Grp_2!H28</f>
        <v>116.209</v>
      </c>
      <c r="J29" s="20">
        <f>[1]Grp_2!I28</f>
        <v>39.122500000000002</v>
      </c>
      <c r="K29" s="20">
        <f>[1]Grp_2!J28</f>
        <v>38.046700000000001</v>
      </c>
      <c r="L29" s="20">
        <f>[1]Grp_2!K28</f>
        <v>11.446</v>
      </c>
      <c r="M29" s="20">
        <f>[1]Grp_2!L28</f>
        <v>0</v>
      </c>
      <c r="N29" s="20">
        <f>[1]Grp_2!M28</f>
        <v>0</v>
      </c>
      <c r="O29" s="20">
        <f>[1]Grp_2!N28</f>
        <v>0</v>
      </c>
      <c r="P29" s="20">
        <f>[1]Grp_2!O28</f>
        <v>0</v>
      </c>
      <c r="Q29" s="20">
        <f>[1]Grp_2!P28</f>
        <v>0</v>
      </c>
      <c r="R29" s="20">
        <f>[1]Grp_2!Q28</f>
        <v>0</v>
      </c>
      <c r="S29" s="21">
        <f>[1]Grp_2!R27</f>
        <v>0</v>
      </c>
      <c r="T29" s="9"/>
      <c r="U29" s="9"/>
      <c r="V29" s="10"/>
    </row>
    <row r="30" spans="1:22">
      <c r="A30" s="2">
        <v>44</v>
      </c>
      <c r="B30" s="17" t="str">
        <f>[1]Grp_2!A45</f>
        <v>3767B</v>
      </c>
      <c r="C30" s="30" t="str">
        <f>[1]Grp_2!B45</f>
        <v>Titan Robotics</v>
      </c>
      <c r="D30" s="18" t="str">
        <f>[1]Grp_2!C45</f>
        <v>West Senior High School</v>
      </c>
      <c r="E30" s="31" t="str">
        <f>[1]Grp_2!D45</f>
        <v>Traverse City, Michigan, United States</v>
      </c>
      <c r="F30" s="34">
        <f>[1]Grp_2!E45</f>
        <v>139</v>
      </c>
      <c r="G30" s="19">
        <f>[1]Grp_2!F45</f>
        <v>137</v>
      </c>
      <c r="H30" s="37">
        <f>[1]Grp_2!G45</f>
        <v>114.527</v>
      </c>
      <c r="I30" s="38">
        <f>[1]Grp_2!H45</f>
        <v>114.527</v>
      </c>
      <c r="J30" s="20">
        <f>[1]Grp_2!I45</f>
        <v>113.779</v>
      </c>
      <c r="K30" s="20">
        <f>[1]Grp_2!J45</f>
        <v>-5.69231</v>
      </c>
      <c r="L30" s="20">
        <f>[1]Grp_2!K45</f>
        <v>0</v>
      </c>
      <c r="M30" s="20">
        <f>[1]Grp_2!L45</f>
        <v>0</v>
      </c>
      <c r="N30" s="20">
        <f>[1]Grp_2!M45</f>
        <v>0</v>
      </c>
      <c r="O30" s="20">
        <f>[1]Grp_2!N45</f>
        <v>0</v>
      </c>
      <c r="P30" s="20">
        <f>[1]Grp_2!O45</f>
        <v>0</v>
      </c>
      <c r="Q30" s="20">
        <f>[1]Grp_2!P45</f>
        <v>0</v>
      </c>
      <c r="R30" s="20">
        <f>[1]Grp_2!Q45</f>
        <v>0</v>
      </c>
      <c r="S30" s="21">
        <f>[1]Grp_2!R28</f>
        <v>0</v>
      </c>
      <c r="T30" s="9"/>
      <c r="U30" s="9"/>
      <c r="V30" s="10"/>
    </row>
    <row r="31" spans="1:22">
      <c r="A31" s="2">
        <v>91</v>
      </c>
      <c r="B31" s="17" t="str">
        <f>[1]Grp_2!A92</f>
        <v>9181B</v>
      </c>
      <c r="C31" s="30" t="str">
        <f>[1]Grp_2!B92</f>
        <v>Seaquam Seahawks</v>
      </c>
      <c r="D31" s="18" t="str">
        <f>[1]Grp_2!C92</f>
        <v>Seaquam Secondary</v>
      </c>
      <c r="E31" s="31" t="str">
        <f>[1]Grp_2!D92</f>
        <v>Delta, British Columbia, Canada</v>
      </c>
      <c r="F31" s="34">
        <f>[1]Grp_2!E92</f>
        <v>315</v>
      </c>
      <c r="G31" s="19">
        <f>[1]Grp_2!F92</f>
        <v>259</v>
      </c>
      <c r="H31" s="37">
        <f>[1]Grp_2!G92</f>
        <v>113.373</v>
      </c>
      <c r="I31" s="38">
        <f>[1]Grp_2!H92</f>
        <v>113.373</v>
      </c>
      <c r="J31" s="20">
        <f>[1]Grp_2!I92</f>
        <v>93.694299999999998</v>
      </c>
      <c r="K31" s="20">
        <f>[1]Grp_2!J92</f>
        <v>28.156099999999999</v>
      </c>
      <c r="L31" s="20">
        <f>[1]Grp_2!K92</f>
        <v>67.011899999999997</v>
      </c>
      <c r="M31" s="20">
        <f>[1]Grp_2!L92</f>
        <v>48.703600000000002</v>
      </c>
      <c r="N31" s="20">
        <f>[1]Grp_2!M92</f>
        <v>0</v>
      </c>
      <c r="O31" s="20">
        <f>[1]Grp_2!N92</f>
        <v>0</v>
      </c>
      <c r="P31" s="20">
        <f>[1]Grp_2!O92</f>
        <v>0</v>
      </c>
      <c r="Q31" s="20">
        <f>[1]Grp_2!P92</f>
        <v>0</v>
      </c>
      <c r="R31" s="20">
        <f>[1]Grp_2!Q92</f>
        <v>0</v>
      </c>
      <c r="S31" s="21">
        <f>[1]Grp_2!R29</f>
        <v>0</v>
      </c>
      <c r="T31" s="9"/>
      <c r="U31" s="9"/>
      <c r="V31" s="10"/>
    </row>
    <row r="32" spans="1:22">
      <c r="A32" s="2">
        <v>16</v>
      </c>
      <c r="B32" s="17" t="str">
        <f>[1]Grp_2!A17</f>
        <v>675C</v>
      </c>
      <c r="C32" s="30" t="str">
        <f>[1]Grp_2!B17</f>
        <v>RoboDragons C</v>
      </c>
      <c r="D32" s="18" t="str">
        <f>[1]Grp_2!C17</f>
        <v>Gwinnett School of Mathem, Science, and Technology</v>
      </c>
      <c r="E32" s="31" t="str">
        <f>[1]Grp_2!D17</f>
        <v>Lawrenceville, Georgia, United States</v>
      </c>
      <c r="F32" s="34">
        <f>[1]Grp_2!E17</f>
        <v>78</v>
      </c>
      <c r="G32" s="19">
        <f>[1]Grp_2!F17</f>
        <v>20</v>
      </c>
      <c r="H32" s="37">
        <f>[1]Grp_2!G17</f>
        <v>112.68600000000001</v>
      </c>
      <c r="I32" s="38">
        <f>[1]Grp_2!H17</f>
        <v>109.571</v>
      </c>
      <c r="J32" s="20">
        <f>[1]Grp_2!I17</f>
        <v>98.698300000000003</v>
      </c>
      <c r="K32" s="20">
        <f>[1]Grp_2!J17</f>
        <v>75.9392</v>
      </c>
      <c r="L32" s="20">
        <f>[1]Grp_2!K17</f>
        <v>87.627600000000001</v>
      </c>
      <c r="M32" s="20">
        <f>[1]Grp_2!L17</f>
        <v>112.68600000000001</v>
      </c>
      <c r="N32" s="20">
        <f>[1]Grp_2!M17</f>
        <v>95.554900000000004</v>
      </c>
      <c r="O32" s="20">
        <f>[1]Grp_2!N17</f>
        <v>68.699200000000005</v>
      </c>
      <c r="P32" s="20">
        <f>[1]Grp_2!O17</f>
        <v>0</v>
      </c>
      <c r="Q32" s="20">
        <f>[1]Grp_2!P17</f>
        <v>0</v>
      </c>
      <c r="R32" s="20">
        <f>[1]Grp_2!Q17</f>
        <v>0</v>
      </c>
      <c r="S32" s="21">
        <f>[1]Grp_2!R30</f>
        <v>0</v>
      </c>
      <c r="T32" s="9"/>
      <c r="U32" s="9"/>
      <c r="V32" s="10"/>
    </row>
    <row r="33" spans="1:22">
      <c r="A33" s="2">
        <v>7</v>
      </c>
      <c r="B33" s="17" t="str">
        <f>[1]Grp_2!A8</f>
        <v>177X</v>
      </c>
      <c r="C33" s="30" t="str">
        <f>[1]Grp_2!B8</f>
        <v>Twisted Botz</v>
      </c>
      <c r="D33" s="18" t="str">
        <f>[1]Grp_2!C8</f>
        <v>Hanover Homeschoolers</v>
      </c>
      <c r="E33" s="31" t="str">
        <f>[1]Grp_2!D8</f>
        <v>Ashland, Virginia, United States</v>
      </c>
      <c r="F33" s="34">
        <f>[1]Grp_2!E8</f>
        <v>311</v>
      </c>
      <c r="G33" s="19">
        <f>[1]Grp_2!F8</f>
        <v>217</v>
      </c>
      <c r="H33" s="37">
        <f>[1]Grp_2!G8</f>
        <v>111.157</v>
      </c>
      <c r="I33" s="38">
        <f>[1]Grp_2!H8</f>
        <v>111.157</v>
      </c>
      <c r="J33" s="20">
        <f>[1]Grp_2!I8</f>
        <v>110.562</v>
      </c>
      <c r="K33" s="20">
        <f>[1]Grp_2!J8</f>
        <v>68.711200000000005</v>
      </c>
      <c r="L33" s="20">
        <f>[1]Grp_2!K8</f>
        <v>74.629499999999993</v>
      </c>
      <c r="M33" s="20">
        <f>[1]Grp_2!L8</f>
        <v>93.874499999999998</v>
      </c>
      <c r="N33" s="20">
        <f>[1]Grp_2!M8</f>
        <v>0</v>
      </c>
      <c r="O33" s="20">
        <f>[1]Grp_2!N8</f>
        <v>0</v>
      </c>
      <c r="P33" s="20">
        <f>[1]Grp_2!O8</f>
        <v>0</v>
      </c>
      <c r="Q33" s="20">
        <f>[1]Grp_2!P8</f>
        <v>0</v>
      </c>
      <c r="R33" s="20">
        <f>[1]Grp_2!Q8</f>
        <v>0</v>
      </c>
      <c r="S33" s="21">
        <f>[1]Grp_2!R31</f>
        <v>0</v>
      </c>
      <c r="T33" s="9"/>
      <c r="U33" s="9"/>
      <c r="V33" s="10"/>
    </row>
    <row r="34" spans="1:22">
      <c r="A34" s="2">
        <v>24</v>
      </c>
      <c r="B34" s="17" t="str">
        <f>[1]Grp_2!A25</f>
        <v>1233A</v>
      </c>
      <c r="C34" s="30" t="str">
        <f>[1]Grp_2!B25</f>
        <v>UnderDogs</v>
      </c>
      <c r="D34" s="18" t="str">
        <f>[1]Grp_2!C25</f>
        <v>Crown Point High School</v>
      </c>
      <c r="E34" s="31" t="str">
        <f>[1]Grp_2!D25</f>
        <v>Crown Point, Indiana, United States</v>
      </c>
      <c r="F34" s="34">
        <f>[1]Grp_2!E25</f>
        <v>236</v>
      </c>
      <c r="G34" s="19">
        <f>[1]Grp_2!F25</f>
        <v>141</v>
      </c>
      <c r="H34" s="37">
        <f>[1]Grp_2!G25</f>
        <v>109.902</v>
      </c>
      <c r="I34" s="38">
        <f>[1]Grp_2!H25</f>
        <v>92.043300000000002</v>
      </c>
      <c r="J34" s="20">
        <f>[1]Grp_2!I25</f>
        <v>63.863900000000001</v>
      </c>
      <c r="K34" s="20">
        <f>[1]Grp_2!J25</f>
        <v>109.902</v>
      </c>
      <c r="L34" s="20">
        <f>[1]Grp_2!K25</f>
        <v>89.919499999999999</v>
      </c>
      <c r="M34" s="20">
        <f>[1]Grp_2!L25</f>
        <v>53.512300000000003</v>
      </c>
      <c r="N34" s="20">
        <f>[1]Grp_2!M25</f>
        <v>84.398300000000006</v>
      </c>
      <c r="O34" s="20">
        <f>[1]Grp_2!N25</f>
        <v>54.042400000000001</v>
      </c>
      <c r="P34" s="20">
        <f>[1]Grp_2!O25</f>
        <v>68.332800000000006</v>
      </c>
      <c r="Q34" s="20">
        <f>[1]Grp_2!P25</f>
        <v>54.723300000000002</v>
      </c>
      <c r="R34" s="20">
        <f>[1]Grp_2!Q25</f>
        <v>51.338700000000003</v>
      </c>
      <c r="S34" s="21">
        <f>[1]Grp_2!R32</f>
        <v>0</v>
      </c>
      <c r="T34" s="9"/>
      <c r="U34" s="9"/>
      <c r="V34" s="10"/>
    </row>
    <row r="35" spans="1:22">
      <c r="A35" s="2">
        <v>76</v>
      </c>
      <c r="B35" s="17" t="str">
        <f>[1]Grp_2!A77</f>
        <v>7618A</v>
      </c>
      <c r="C35" s="30" t="str">
        <f>[1]Grp_2!B77</f>
        <v>Xiangming HSch A</v>
      </c>
      <c r="D35" s="18" t="str">
        <f>[1]Grp_2!C77</f>
        <v>Shanghai Xiangming High School</v>
      </c>
      <c r="E35" s="31" t="str">
        <f>[1]Grp_2!D77</f>
        <v>Shanghai, Not Applicable or Not Listed, China</v>
      </c>
      <c r="F35" s="34">
        <f>[1]Grp_2!E77</f>
        <v>0</v>
      </c>
      <c r="G35" s="19">
        <f>[1]Grp_2!F77</f>
        <v>0</v>
      </c>
      <c r="H35" s="37">
        <f>[1]Grp_2!G77</f>
        <v>109.654</v>
      </c>
      <c r="I35" s="38">
        <f>[1]Grp_2!H77</f>
        <v>109.654</v>
      </c>
      <c r="J35" s="20">
        <f>[1]Grp_2!I77</f>
        <v>0</v>
      </c>
      <c r="K35" s="20">
        <f>[1]Grp_2!J77</f>
        <v>0</v>
      </c>
      <c r="L35" s="20">
        <f>[1]Grp_2!K77</f>
        <v>0</v>
      </c>
      <c r="M35" s="20">
        <f>[1]Grp_2!L77</f>
        <v>0</v>
      </c>
      <c r="N35" s="20">
        <f>[1]Grp_2!M77</f>
        <v>0</v>
      </c>
      <c r="O35" s="20">
        <f>[1]Grp_2!N77</f>
        <v>0</v>
      </c>
      <c r="P35" s="20">
        <f>[1]Grp_2!O77</f>
        <v>0</v>
      </c>
      <c r="Q35" s="20">
        <f>[1]Grp_2!P77</f>
        <v>0</v>
      </c>
      <c r="R35" s="20">
        <f>[1]Grp_2!Q77</f>
        <v>0</v>
      </c>
      <c r="S35" s="21">
        <f>[1]Grp_2!R33</f>
        <v>0</v>
      </c>
      <c r="T35" s="9"/>
      <c r="U35" s="9"/>
      <c r="V35" s="10"/>
    </row>
    <row r="36" spans="1:22">
      <c r="A36" s="2">
        <v>37</v>
      </c>
      <c r="B36" s="17" t="str">
        <f>[1]Grp_2!A38</f>
        <v>2567A</v>
      </c>
      <c r="C36" s="30" t="str">
        <f>[1]Grp_2!B38</f>
        <v>Porta-Botz!</v>
      </c>
      <c r="D36" s="18" t="str">
        <f>[1]Grp_2!C38</f>
        <v>Portage High School PLTW</v>
      </c>
      <c r="E36" s="31" t="str">
        <f>[1]Grp_2!D38</f>
        <v>Portage, Indiana, United States</v>
      </c>
      <c r="F36" s="34">
        <f>[1]Grp_2!E38</f>
        <v>217</v>
      </c>
      <c r="G36" s="19">
        <f>[1]Grp_2!F38</f>
        <v>135</v>
      </c>
      <c r="H36" s="37">
        <f>[1]Grp_2!G38</f>
        <v>108.62</v>
      </c>
      <c r="I36" s="38">
        <f>[1]Grp_2!H38</f>
        <v>105.48699999999999</v>
      </c>
      <c r="J36" s="20">
        <f>[1]Grp_2!I38</f>
        <v>100.172</v>
      </c>
      <c r="K36" s="20">
        <f>[1]Grp_2!J38</f>
        <v>108.62</v>
      </c>
      <c r="L36" s="20">
        <f>[1]Grp_2!K38</f>
        <v>96.934399999999997</v>
      </c>
      <c r="M36" s="20">
        <f>[1]Grp_2!L38</f>
        <v>80.688500000000005</v>
      </c>
      <c r="N36" s="20">
        <f>[1]Grp_2!M38</f>
        <v>17.560700000000001</v>
      </c>
      <c r="O36" s="20">
        <f>[1]Grp_2!N38</f>
        <v>6.1615399999999996</v>
      </c>
      <c r="P36" s="20">
        <f>[1]Grp_2!O38</f>
        <v>10.694699999999999</v>
      </c>
      <c r="Q36" s="20">
        <f>[1]Grp_2!P38</f>
        <v>0</v>
      </c>
      <c r="R36" s="20">
        <f>[1]Grp_2!Q38</f>
        <v>0</v>
      </c>
      <c r="S36" s="21">
        <f>[1]Grp_2!R34</f>
        <v>0</v>
      </c>
      <c r="T36" s="9"/>
      <c r="U36" s="9"/>
      <c r="V36" s="10"/>
    </row>
    <row r="37" spans="1:22">
      <c r="A37" s="2">
        <v>93</v>
      </c>
      <c r="B37" s="17" t="str">
        <f>[1]Grp_2!A94</f>
        <v>9457A</v>
      </c>
      <c r="C37" s="30" t="str">
        <f>[1]Grp_2!B94</f>
        <v>MEHS Robotics</v>
      </c>
      <c r="D37" s="18" t="str">
        <f>[1]Grp_2!C94</f>
        <v>Mankato East High School</v>
      </c>
      <c r="E37" s="31" t="str">
        <f>[1]Grp_2!D94</f>
        <v>Mankato, Minnesota, United States</v>
      </c>
      <c r="F37" s="34">
        <f>[1]Grp_2!E94</f>
        <v>93</v>
      </c>
      <c r="G37" s="19">
        <f>[1]Grp_2!F94</f>
        <v>86</v>
      </c>
      <c r="H37" s="37">
        <f>[1]Grp_2!G94</f>
        <v>107.681</v>
      </c>
      <c r="I37" s="38">
        <f>[1]Grp_2!H94</f>
        <v>98.941999999999993</v>
      </c>
      <c r="J37" s="20">
        <f>[1]Grp_2!I94</f>
        <v>107.681</v>
      </c>
      <c r="K37" s="20">
        <f>[1]Grp_2!J94</f>
        <v>65.904600000000002</v>
      </c>
      <c r="L37" s="20">
        <f>[1]Grp_2!K94</f>
        <v>26.8203</v>
      </c>
      <c r="M37" s="20">
        <f>[1]Grp_2!L94</f>
        <v>0</v>
      </c>
      <c r="N37" s="20">
        <f>[1]Grp_2!M94</f>
        <v>0</v>
      </c>
      <c r="O37" s="20">
        <f>[1]Grp_2!N94</f>
        <v>0</v>
      </c>
      <c r="P37" s="20">
        <f>[1]Grp_2!O94</f>
        <v>0</v>
      </c>
      <c r="Q37" s="20">
        <f>[1]Grp_2!P94</f>
        <v>0</v>
      </c>
      <c r="R37" s="20">
        <f>[1]Grp_2!Q94</f>
        <v>0</v>
      </c>
      <c r="S37" s="21">
        <f>[1]Grp_2!R35</f>
        <v>0</v>
      </c>
      <c r="T37" s="9"/>
      <c r="U37" s="9"/>
      <c r="V37" s="10"/>
    </row>
    <row r="38" spans="1:22">
      <c r="A38" s="2">
        <v>70</v>
      </c>
      <c r="B38" s="17" t="str">
        <f>[1]Grp_2!A71</f>
        <v>6813B</v>
      </c>
      <c r="C38" s="30" t="str">
        <f>[1]Grp_2!B71</f>
        <v>MW M^3</v>
      </c>
      <c r="D38" s="18" t="str">
        <f>[1]Grp_2!C71</f>
        <v>MILLARD WEST HIGH SCHOOL</v>
      </c>
      <c r="E38" s="31" t="str">
        <f>[1]Grp_2!D71</f>
        <v>OMAHA, Nebraska, United States</v>
      </c>
      <c r="F38" s="34">
        <f>[1]Grp_2!E71</f>
        <v>306</v>
      </c>
      <c r="G38" s="19">
        <f>[1]Grp_2!F71</f>
        <v>141</v>
      </c>
      <c r="H38" s="37">
        <f>[1]Grp_2!G71</f>
        <v>107.57599999999999</v>
      </c>
      <c r="I38" s="38">
        <f>[1]Grp_2!H71</f>
        <v>93.349800000000002</v>
      </c>
      <c r="J38" s="20">
        <f>[1]Grp_2!I71</f>
        <v>34.460500000000003</v>
      </c>
      <c r="K38" s="20">
        <f>[1]Grp_2!J71</f>
        <v>67.002300000000005</v>
      </c>
      <c r="L38" s="20">
        <f>[1]Grp_2!K71</f>
        <v>90.234099999999998</v>
      </c>
      <c r="M38" s="20">
        <f>[1]Grp_2!L71</f>
        <v>107.57599999999999</v>
      </c>
      <c r="N38" s="20">
        <f>[1]Grp_2!M71</f>
        <v>88.331800000000001</v>
      </c>
      <c r="O38" s="20">
        <f>[1]Grp_2!N71</f>
        <v>0</v>
      </c>
      <c r="P38" s="20">
        <f>[1]Grp_2!O71</f>
        <v>0</v>
      </c>
      <c r="Q38" s="20">
        <f>[1]Grp_2!P71</f>
        <v>0</v>
      </c>
      <c r="R38" s="20">
        <f>[1]Grp_2!Q71</f>
        <v>0</v>
      </c>
      <c r="S38" s="21">
        <f>[1]Grp_2!R36</f>
        <v>0</v>
      </c>
      <c r="T38" s="9"/>
      <c r="U38" s="9"/>
      <c r="V38" s="10"/>
    </row>
    <row r="39" spans="1:22">
      <c r="A39" s="2">
        <v>2</v>
      </c>
      <c r="B39" s="17" t="str">
        <f>[1]Grp_2!A3</f>
        <v>24A</v>
      </c>
      <c r="C39" s="30" t="str">
        <f>[1]Grp_2!B3</f>
        <v>Super Sonic Sparks A</v>
      </c>
      <c r="D39" s="18" t="str">
        <f>[1]Grp_2!C3</f>
        <v>SPARKS 4-H Club</v>
      </c>
      <c r="E39" s="31" t="str">
        <f>[1]Grp_2!D3</f>
        <v>Westminster, Maryland, United States</v>
      </c>
      <c r="F39" s="34">
        <f>[1]Grp_2!E3</f>
        <v>265</v>
      </c>
      <c r="G39" s="19">
        <f>[1]Grp_2!F3</f>
        <v>121</v>
      </c>
      <c r="H39" s="37">
        <f>[1]Grp_2!G3</f>
        <v>107.136</v>
      </c>
      <c r="I39" s="38">
        <f>[1]Grp_2!H3</f>
        <v>87.996499999999997</v>
      </c>
      <c r="J39" s="20">
        <f>[1]Grp_2!I3</f>
        <v>107.136</v>
      </c>
      <c r="K39" s="20">
        <f>[1]Grp_2!J3</f>
        <v>60.262599999999999</v>
      </c>
      <c r="L39" s="20">
        <f>[1]Grp_2!K3</f>
        <v>12.3642</v>
      </c>
      <c r="M39" s="20">
        <f>[1]Grp_2!L3</f>
        <v>41.787599999999998</v>
      </c>
      <c r="N39" s="20">
        <f>[1]Grp_2!M3</f>
        <v>39.940300000000001</v>
      </c>
      <c r="O39" s="20">
        <f>[1]Grp_2!N3</f>
        <v>33.211500000000001</v>
      </c>
      <c r="P39" s="20">
        <f>[1]Grp_2!O3</f>
        <v>0</v>
      </c>
      <c r="Q39" s="20">
        <f>[1]Grp_2!P3</f>
        <v>0</v>
      </c>
      <c r="R39" s="20">
        <f>[1]Grp_2!Q3</f>
        <v>0</v>
      </c>
      <c r="S39" s="21">
        <f>[1]Grp_2!R37</f>
        <v>0</v>
      </c>
      <c r="T39" s="9"/>
      <c r="U39" s="9"/>
      <c r="V39" s="10"/>
    </row>
    <row r="40" spans="1:22">
      <c r="A40" s="2">
        <v>95</v>
      </c>
      <c r="B40" s="17" t="str">
        <f>[1]Grp_2!A96</f>
        <v>9727B</v>
      </c>
      <c r="C40" s="30" t="str">
        <f>[1]Grp_2!B96</f>
        <v>CBTIS 110_B</v>
      </c>
      <c r="D40" s="18" t="str">
        <f>[1]Grp_2!C96</f>
        <v>CBTIS 110</v>
      </c>
      <c r="E40" s="31" t="str">
        <f>[1]Grp_2!D96</f>
        <v>Durango, Durango, Mexico</v>
      </c>
      <c r="F40" s="34">
        <f>[1]Grp_2!E96</f>
        <v>12</v>
      </c>
      <c r="G40" s="19">
        <f>[1]Grp_2!F96</f>
        <v>71</v>
      </c>
      <c r="H40" s="37">
        <f>[1]Grp_2!G96</f>
        <v>106.756</v>
      </c>
      <c r="I40" s="38">
        <f>[1]Grp_2!H96</f>
        <v>106.756</v>
      </c>
      <c r="J40" s="20">
        <f>[1]Grp_2!I96</f>
        <v>75.142799999999994</v>
      </c>
      <c r="K40" s="20">
        <f>[1]Grp_2!J96</f>
        <v>64.145799999999994</v>
      </c>
      <c r="L40" s="20">
        <f>[1]Grp_2!K96</f>
        <v>56.624400000000001</v>
      </c>
      <c r="M40" s="20">
        <f>[1]Grp_2!L96</f>
        <v>95.110600000000005</v>
      </c>
      <c r="N40" s="20">
        <f>[1]Grp_2!M96</f>
        <v>90.411000000000001</v>
      </c>
      <c r="O40" s="20">
        <f>[1]Grp_2!N96</f>
        <v>0</v>
      </c>
      <c r="P40" s="20">
        <f>[1]Grp_2!O96</f>
        <v>0</v>
      </c>
      <c r="Q40" s="20">
        <f>[1]Grp_2!P96</f>
        <v>0</v>
      </c>
      <c r="R40" s="20">
        <f>[1]Grp_2!Q96</f>
        <v>0</v>
      </c>
      <c r="S40" s="21">
        <f>[1]Grp_2!R38</f>
        <v>0</v>
      </c>
      <c r="T40" s="9"/>
      <c r="U40" s="9"/>
      <c r="V40" s="10"/>
    </row>
    <row r="41" spans="1:22">
      <c r="A41" s="2">
        <v>59</v>
      </c>
      <c r="B41" s="17" t="str">
        <f>[1]Grp_2!A60</f>
        <v>5509A</v>
      </c>
      <c r="C41" s="30" t="str">
        <f>[1]Grp_2!B60</f>
        <v>VHS Crusaders</v>
      </c>
      <c r="D41" s="18" t="str">
        <f>[1]Grp_2!C60</f>
        <v>Valley Home Schoolers</v>
      </c>
      <c r="E41" s="31" t="str">
        <f>[1]Grp_2!D60</f>
        <v>Greenville, Wisconsin, United States</v>
      </c>
      <c r="F41" s="34">
        <f>[1]Grp_2!E60</f>
        <v>216</v>
      </c>
      <c r="G41" s="19">
        <f>[1]Grp_2!F60</f>
        <v>206</v>
      </c>
      <c r="H41" s="37">
        <f>[1]Grp_2!G60</f>
        <v>106.464</v>
      </c>
      <c r="I41" s="38">
        <f>[1]Grp_2!H60</f>
        <v>106.464</v>
      </c>
      <c r="J41" s="20">
        <f>[1]Grp_2!I60</f>
        <v>88.784400000000005</v>
      </c>
      <c r="K41" s="20">
        <f>[1]Grp_2!J60</f>
        <v>85.892300000000006</v>
      </c>
      <c r="L41" s="20">
        <f>[1]Grp_2!K60</f>
        <v>63.3521</v>
      </c>
      <c r="M41" s="20">
        <f>[1]Grp_2!L60</f>
        <v>22.5182</v>
      </c>
      <c r="N41" s="20">
        <f>[1]Grp_2!M60</f>
        <v>74.718800000000002</v>
      </c>
      <c r="O41" s="20">
        <f>[1]Grp_2!N60</f>
        <v>0</v>
      </c>
      <c r="P41" s="20">
        <f>[1]Grp_2!O60</f>
        <v>0</v>
      </c>
      <c r="Q41" s="20">
        <f>[1]Grp_2!P60</f>
        <v>0</v>
      </c>
      <c r="R41" s="20">
        <f>[1]Grp_2!Q60</f>
        <v>0</v>
      </c>
      <c r="S41" s="21">
        <f>[1]Grp_2!R39</f>
        <v>0</v>
      </c>
      <c r="T41" s="9"/>
      <c r="U41" s="9"/>
      <c r="V41" s="10"/>
    </row>
    <row r="42" spans="1:22">
      <c r="A42" s="2">
        <v>72</v>
      </c>
      <c r="B42" s="17" t="str">
        <f>[1]Grp_2!A73</f>
        <v>7010A</v>
      </c>
      <c r="C42" s="30" t="str">
        <f>[1]Grp_2!B73</f>
        <v>Conalep Chiapas A</v>
      </c>
      <c r="D42" s="18" t="str">
        <f>[1]Grp_2!C73</f>
        <v>Colegio Nacional de Educación Profesional Técnica (Conalep Chiapas)</v>
      </c>
      <c r="E42" s="31" t="str">
        <f>[1]Grp_2!D73</f>
        <v>Tuxtal Gutierrez , Chiapas, Chiapas, Mexico</v>
      </c>
      <c r="F42" s="34">
        <f>[1]Grp_2!E73</f>
        <v>93</v>
      </c>
      <c r="G42" s="19">
        <f>[1]Grp_2!F73</f>
        <v>61</v>
      </c>
      <c r="H42" s="37">
        <f>[1]Grp_2!G73</f>
        <v>105.673</v>
      </c>
      <c r="I42" s="38">
        <f>[1]Grp_2!H73</f>
        <v>87.343599999999995</v>
      </c>
      <c r="J42" s="20">
        <f>[1]Grp_2!I73</f>
        <v>105.673</v>
      </c>
      <c r="K42" s="20">
        <f>[1]Grp_2!J73</f>
        <v>68.730900000000005</v>
      </c>
      <c r="L42" s="20">
        <f>[1]Grp_2!K73</f>
        <v>89.027699999999996</v>
      </c>
      <c r="M42" s="20">
        <f>[1]Grp_2!L73</f>
        <v>0</v>
      </c>
      <c r="N42" s="20">
        <f>[1]Grp_2!M73</f>
        <v>0</v>
      </c>
      <c r="O42" s="20">
        <f>[1]Grp_2!N73</f>
        <v>0</v>
      </c>
      <c r="P42" s="20">
        <f>[1]Grp_2!O73</f>
        <v>0</v>
      </c>
      <c r="Q42" s="20">
        <f>[1]Grp_2!P73</f>
        <v>0</v>
      </c>
      <c r="R42" s="20">
        <f>[1]Grp_2!Q73</f>
        <v>0</v>
      </c>
      <c r="S42" s="21">
        <f>[1]Grp_2!R40</f>
        <v>0</v>
      </c>
      <c r="T42" s="9"/>
      <c r="U42" s="9"/>
      <c r="V42" s="10"/>
    </row>
    <row r="43" spans="1:22">
      <c r="A43" s="2">
        <v>92</v>
      </c>
      <c r="B43" s="17" t="str">
        <f>[1]Grp_2!A93</f>
        <v>9364</v>
      </c>
      <c r="C43" s="30" t="str">
        <f>[1]Grp_2!B93</f>
        <v>Iron Eagles</v>
      </c>
      <c r="D43" s="18" t="str">
        <f>[1]Grp_2!C93</f>
        <v>Brentwood Academy</v>
      </c>
      <c r="E43" s="31" t="str">
        <f>[1]Grp_2!D93</f>
        <v>Brentwood, Tennessee, United States</v>
      </c>
      <c r="F43" s="34">
        <f>[1]Grp_2!E93</f>
        <v>245</v>
      </c>
      <c r="G43" s="19">
        <f>[1]Grp_2!F93</f>
        <v>160</v>
      </c>
      <c r="H43" s="37">
        <f>[1]Grp_2!G93</f>
        <v>104.468</v>
      </c>
      <c r="I43" s="38">
        <f>[1]Grp_2!H93</f>
        <v>104.468</v>
      </c>
      <c r="J43" s="20">
        <f>[1]Grp_2!I93</f>
        <v>81.416799999999995</v>
      </c>
      <c r="K43" s="20">
        <f>[1]Grp_2!J93</f>
        <v>88.412199999999999</v>
      </c>
      <c r="L43" s="20">
        <f>[1]Grp_2!K93</f>
        <v>103.43899999999999</v>
      </c>
      <c r="M43" s="20">
        <f>[1]Grp_2!L93</f>
        <v>51.926000000000002</v>
      </c>
      <c r="N43" s="20">
        <f>[1]Grp_2!M93</f>
        <v>26.883099999999999</v>
      </c>
      <c r="O43" s="20">
        <f>[1]Grp_2!N93</f>
        <v>61.805500000000002</v>
      </c>
      <c r="P43" s="20">
        <f>[1]Grp_2!O93</f>
        <v>57.299199999999999</v>
      </c>
      <c r="Q43" s="20">
        <f>[1]Grp_2!P93</f>
        <v>0</v>
      </c>
      <c r="R43" s="20">
        <f>[1]Grp_2!Q93</f>
        <v>0</v>
      </c>
      <c r="S43" s="21">
        <f>[1]Grp_2!R41</f>
        <v>0</v>
      </c>
      <c r="T43" s="9"/>
      <c r="U43" s="9"/>
      <c r="V43" s="10"/>
    </row>
    <row r="44" spans="1:22">
      <c r="A44" s="2">
        <v>45</v>
      </c>
      <c r="B44" s="17" t="str">
        <f>[1]Grp_2!A46</f>
        <v>3946A</v>
      </c>
      <c r="C44" s="30" t="str">
        <f>[1]Grp_2!B46</f>
        <v>Sun Devils</v>
      </c>
      <c r="D44" s="18" t="str">
        <f>[1]Grp_2!C46</f>
        <v>Kent Denver School</v>
      </c>
      <c r="E44" s="31" t="str">
        <f>[1]Grp_2!D46</f>
        <v>Englewood, Colorado, United States</v>
      </c>
      <c r="F44" s="34">
        <f>[1]Grp_2!E46</f>
        <v>359</v>
      </c>
      <c r="G44" s="19">
        <f>[1]Grp_2!F46</f>
        <v>148</v>
      </c>
      <c r="H44" s="37">
        <f>[1]Grp_2!G46</f>
        <v>104.44199999999999</v>
      </c>
      <c r="I44" s="38">
        <f>[1]Grp_2!H46</f>
        <v>96.911000000000001</v>
      </c>
      <c r="J44" s="20">
        <f>[1]Grp_2!I46</f>
        <v>69.733599999999996</v>
      </c>
      <c r="K44" s="20">
        <f>[1]Grp_2!J46</f>
        <v>68.135000000000005</v>
      </c>
      <c r="L44" s="20">
        <f>[1]Grp_2!K46</f>
        <v>104.44199999999999</v>
      </c>
      <c r="M44" s="20">
        <f>[1]Grp_2!L46</f>
        <v>50.923400000000001</v>
      </c>
      <c r="N44" s="20">
        <f>[1]Grp_2!M46</f>
        <v>73.137</v>
      </c>
      <c r="O44" s="20">
        <f>[1]Grp_2!N46</f>
        <v>0</v>
      </c>
      <c r="P44" s="20">
        <f>[1]Grp_2!O46</f>
        <v>0</v>
      </c>
      <c r="Q44" s="20">
        <f>[1]Grp_2!P46</f>
        <v>0</v>
      </c>
      <c r="R44" s="20">
        <f>[1]Grp_2!Q46</f>
        <v>0</v>
      </c>
      <c r="S44" s="21">
        <f>[1]Grp_2!R42</f>
        <v>0</v>
      </c>
      <c r="T44" s="9"/>
      <c r="U44" s="9"/>
      <c r="V44" s="10"/>
    </row>
    <row r="45" spans="1:22">
      <c r="A45" s="2">
        <v>66</v>
      </c>
      <c r="B45" s="17" t="str">
        <f>[1]Grp_2!A67</f>
        <v>6165S</v>
      </c>
      <c r="C45" s="30" t="str">
        <f>[1]Grp_2!B67</f>
        <v>Salvauth Park</v>
      </c>
      <c r="D45" s="18" t="str">
        <f>[1]Grp_2!C67</f>
        <v>El Raco dels Robotaires</v>
      </c>
      <c r="E45" s="31" t="str">
        <f>[1]Grp_2!D67</f>
        <v>Girona, Girona, Spain</v>
      </c>
      <c r="F45" s="34">
        <f>[1]Grp_2!E67</f>
        <v>0</v>
      </c>
      <c r="G45" s="19">
        <f>[1]Grp_2!F67</f>
        <v>0</v>
      </c>
      <c r="H45" s="37">
        <f>[1]Grp_2!G67</f>
        <v>104.044</v>
      </c>
      <c r="I45" s="38">
        <f>[1]Grp_2!H67</f>
        <v>104.044</v>
      </c>
      <c r="J45" s="20">
        <f>[1]Grp_2!I67</f>
        <v>0</v>
      </c>
      <c r="K45" s="20">
        <f>[1]Grp_2!J67</f>
        <v>0</v>
      </c>
      <c r="L45" s="20">
        <f>[1]Grp_2!K67</f>
        <v>0</v>
      </c>
      <c r="M45" s="20">
        <f>[1]Grp_2!L67</f>
        <v>0</v>
      </c>
      <c r="N45" s="20">
        <f>[1]Grp_2!M67</f>
        <v>0</v>
      </c>
      <c r="O45" s="20">
        <f>[1]Grp_2!N67</f>
        <v>0</v>
      </c>
      <c r="P45" s="20">
        <f>[1]Grp_2!O67</f>
        <v>0</v>
      </c>
      <c r="Q45" s="20">
        <f>[1]Grp_2!P67</f>
        <v>0</v>
      </c>
      <c r="R45" s="20">
        <f>[1]Grp_2!Q67</f>
        <v>0</v>
      </c>
      <c r="S45" s="21">
        <f>[1]Grp_2!R43</f>
        <v>0</v>
      </c>
      <c r="T45" s="9"/>
      <c r="U45" s="9"/>
      <c r="V45" s="10"/>
    </row>
    <row r="46" spans="1:22">
      <c r="A46" s="2">
        <v>35</v>
      </c>
      <c r="B46" s="17" t="str">
        <f>[1]Grp_2!A36</f>
        <v>2250F</v>
      </c>
      <c r="C46" s="30" t="str">
        <f>[1]Grp_2!B36</f>
        <v>Brigida Alvarez-HS ADV</v>
      </c>
      <c r="D46" s="18" t="str">
        <f>[1]Grp_2!C36</f>
        <v>Brigida Alvarez Rodriguez</v>
      </c>
      <c r="E46" s="31" t="str">
        <f>[1]Grp_2!D36</f>
        <v>Vega Baja, Not Applicable or Not Listed, Puerto Rico</v>
      </c>
      <c r="F46" s="34">
        <f>[1]Grp_2!E36</f>
        <v>211</v>
      </c>
      <c r="G46" s="19">
        <f>[1]Grp_2!F36</f>
        <v>123</v>
      </c>
      <c r="H46" s="37">
        <f>[1]Grp_2!G36</f>
        <v>103.84099999999999</v>
      </c>
      <c r="I46" s="38">
        <f>[1]Grp_2!H36</f>
        <v>93.130700000000004</v>
      </c>
      <c r="J46" s="20">
        <f>[1]Grp_2!I36</f>
        <v>103.84099999999999</v>
      </c>
      <c r="K46" s="20">
        <f>[1]Grp_2!J36</f>
        <v>22.650300000000001</v>
      </c>
      <c r="L46" s="20">
        <f>[1]Grp_2!K36</f>
        <v>0</v>
      </c>
      <c r="M46" s="20">
        <f>[1]Grp_2!L36</f>
        <v>0</v>
      </c>
      <c r="N46" s="20">
        <f>[1]Grp_2!M36</f>
        <v>0</v>
      </c>
      <c r="O46" s="20">
        <f>[1]Grp_2!N36</f>
        <v>0</v>
      </c>
      <c r="P46" s="20">
        <f>[1]Grp_2!O36</f>
        <v>0</v>
      </c>
      <c r="Q46" s="20">
        <f>[1]Grp_2!P36</f>
        <v>0</v>
      </c>
      <c r="R46" s="20">
        <f>[1]Grp_2!Q36</f>
        <v>0</v>
      </c>
      <c r="S46" s="21">
        <f>[1]Grp_2!R44</f>
        <v>0</v>
      </c>
      <c r="T46" s="9"/>
      <c r="U46" s="9"/>
      <c r="V46" s="10"/>
    </row>
    <row r="47" spans="1:22">
      <c r="A47" s="2">
        <v>50</v>
      </c>
      <c r="B47" s="17" t="str">
        <f>[1]Grp_2!A51</f>
        <v>4478F</v>
      </c>
      <c r="C47" s="30" t="str">
        <f>[1]Grp_2!B51</f>
        <v>Vex Hunters</v>
      </c>
      <c r="D47" s="18" t="str">
        <f>[1]Grp_2!C51</f>
        <v>Masuk High School Robotics Team</v>
      </c>
      <c r="E47" s="31" t="str">
        <f>[1]Grp_2!D51</f>
        <v>Monroe, Connecticut, United States</v>
      </c>
      <c r="F47" s="34">
        <f>[1]Grp_2!E51</f>
        <v>103</v>
      </c>
      <c r="G47" s="19">
        <f>[1]Grp_2!F51</f>
        <v>81</v>
      </c>
      <c r="H47" s="37">
        <f>[1]Grp_2!G51</f>
        <v>102.669</v>
      </c>
      <c r="I47" s="38">
        <f>[1]Grp_2!H51</f>
        <v>92.849500000000006</v>
      </c>
      <c r="J47" s="20">
        <f>[1]Grp_2!I51</f>
        <v>89.517099999999999</v>
      </c>
      <c r="K47" s="20">
        <f>[1]Grp_2!J51</f>
        <v>54.122500000000002</v>
      </c>
      <c r="L47" s="20">
        <f>[1]Grp_2!K51</f>
        <v>102.669</v>
      </c>
      <c r="M47" s="20">
        <f>[1]Grp_2!L51</f>
        <v>33.683900000000001</v>
      </c>
      <c r="N47" s="20">
        <f>[1]Grp_2!M51</f>
        <v>1.4581999999999999</v>
      </c>
      <c r="O47" s="20">
        <f>[1]Grp_2!N51</f>
        <v>13.5002</v>
      </c>
      <c r="P47" s="20">
        <f>[1]Grp_2!O51</f>
        <v>0</v>
      </c>
      <c r="Q47" s="20">
        <f>[1]Grp_2!P51</f>
        <v>0</v>
      </c>
      <c r="R47" s="20">
        <f>[1]Grp_2!Q51</f>
        <v>0</v>
      </c>
      <c r="S47" s="21">
        <f>[1]Grp_2!R45</f>
        <v>0</v>
      </c>
      <c r="T47" s="9"/>
      <c r="U47" s="9"/>
      <c r="V47" s="10"/>
    </row>
    <row r="48" spans="1:22">
      <c r="A48" s="2">
        <v>29</v>
      </c>
      <c r="B48" s="17" t="str">
        <f>[1]Grp_2!A30</f>
        <v>1575B</v>
      </c>
      <c r="C48" s="30" t="str">
        <f>[1]Grp_2!B30</f>
        <v>Bifrost</v>
      </c>
      <c r="D48" s="18" t="str">
        <f>[1]Grp_2!C30</f>
        <v>Woodbridge Senior High School</v>
      </c>
      <c r="E48" s="31" t="str">
        <f>[1]Grp_2!D30</f>
        <v>Woodbridge, Virginia, United States</v>
      </c>
      <c r="F48" s="34">
        <f>[1]Grp_2!E30</f>
        <v>251</v>
      </c>
      <c r="G48" s="19">
        <f>[1]Grp_2!F30</f>
        <v>153</v>
      </c>
      <c r="H48" s="37">
        <f>[1]Grp_2!G30</f>
        <v>102.548</v>
      </c>
      <c r="I48" s="38">
        <f>[1]Grp_2!H30</f>
        <v>90.414100000000005</v>
      </c>
      <c r="J48" s="20">
        <f>[1]Grp_2!I30</f>
        <v>75.868399999999994</v>
      </c>
      <c r="K48" s="20">
        <f>[1]Grp_2!J30</f>
        <v>47.656100000000002</v>
      </c>
      <c r="L48" s="20">
        <f>[1]Grp_2!K30</f>
        <v>102.548</v>
      </c>
      <c r="M48" s="20">
        <f>[1]Grp_2!L30</f>
        <v>52.654699999999998</v>
      </c>
      <c r="N48" s="20">
        <f>[1]Grp_2!M30</f>
        <v>25.3125</v>
      </c>
      <c r="O48" s="20">
        <f>[1]Grp_2!N30</f>
        <v>21.375599999999999</v>
      </c>
      <c r="P48" s="20">
        <f>[1]Grp_2!O30</f>
        <v>0</v>
      </c>
      <c r="Q48" s="20">
        <f>[1]Grp_2!P30</f>
        <v>0</v>
      </c>
      <c r="R48" s="20">
        <f>[1]Grp_2!Q30</f>
        <v>0</v>
      </c>
      <c r="S48" s="21">
        <f>[1]Grp_2!R46</f>
        <v>0</v>
      </c>
      <c r="T48" s="9"/>
      <c r="U48" s="9"/>
      <c r="V48" s="10"/>
    </row>
    <row r="49" spans="1:22">
      <c r="A49" s="2">
        <v>28</v>
      </c>
      <c r="B49" s="17" t="str">
        <f>[1]Grp_2!A29</f>
        <v>1492Y</v>
      </c>
      <c r="C49" s="30" t="str">
        <f>[1]Grp_2!B29</f>
        <v>W.A.S.A.B.I.</v>
      </c>
      <c r="D49" s="18" t="str">
        <f>[1]Grp_2!C29</f>
        <v>Big Brains Education</v>
      </c>
      <c r="E49" s="31" t="str">
        <f>[1]Grp_2!D29</f>
        <v>Bellevue, Washington, United States</v>
      </c>
      <c r="F49" s="34">
        <f>[1]Grp_2!E29</f>
        <v>219</v>
      </c>
      <c r="G49" s="19">
        <f>[1]Grp_2!F29</f>
        <v>240</v>
      </c>
      <c r="H49" s="37">
        <f>[1]Grp_2!G29</f>
        <v>102.09699999999999</v>
      </c>
      <c r="I49" s="38">
        <f>[1]Grp_2!H29</f>
        <v>70.155600000000007</v>
      </c>
      <c r="J49" s="20">
        <f>[1]Grp_2!I29</f>
        <v>53.765999999999998</v>
      </c>
      <c r="K49" s="20">
        <f>[1]Grp_2!J29</f>
        <v>60.601999999999997</v>
      </c>
      <c r="L49" s="20">
        <f>[1]Grp_2!K29</f>
        <v>62.368899999999996</v>
      </c>
      <c r="M49" s="20">
        <f>[1]Grp_2!L29</f>
        <v>102.09699999999999</v>
      </c>
      <c r="N49" s="20">
        <f>[1]Grp_2!M29</f>
        <v>67.354699999999994</v>
      </c>
      <c r="O49" s="20">
        <f>[1]Grp_2!N29</f>
        <v>83.266800000000003</v>
      </c>
      <c r="P49" s="20">
        <f>[1]Grp_2!O29</f>
        <v>0</v>
      </c>
      <c r="Q49" s="20">
        <f>[1]Grp_2!P29</f>
        <v>0</v>
      </c>
      <c r="R49" s="20">
        <f>[1]Grp_2!Q29</f>
        <v>0</v>
      </c>
      <c r="S49" s="21">
        <f>[1]Grp_2!R47</f>
        <v>0</v>
      </c>
      <c r="T49" s="9"/>
      <c r="U49" s="9"/>
      <c r="V49" s="10"/>
    </row>
    <row r="50" spans="1:22">
      <c r="A50" s="2">
        <v>77</v>
      </c>
      <c r="B50" s="17" t="str">
        <f>[1]Grp_2!A78</f>
        <v>7700R</v>
      </c>
      <c r="C50" s="30" t="str">
        <f>[1]Grp_2!B78</f>
        <v>Rolling Robots</v>
      </c>
      <c r="D50" s="18" t="str">
        <f>[1]Grp_2!C78</f>
        <v>Rolling Robots</v>
      </c>
      <c r="E50" s="31" t="str">
        <f>[1]Grp_2!D78</f>
        <v>Rolling Hills Estates, California, United States</v>
      </c>
      <c r="F50" s="34">
        <f>[1]Grp_2!E78</f>
        <v>154</v>
      </c>
      <c r="G50" s="19">
        <f>[1]Grp_2!F78</f>
        <v>209</v>
      </c>
      <c r="H50" s="37">
        <f>[1]Grp_2!G78</f>
        <v>100.035</v>
      </c>
      <c r="I50" s="38">
        <f>[1]Grp_2!H78</f>
        <v>100.035</v>
      </c>
      <c r="J50" s="20">
        <f>[1]Grp_2!I78</f>
        <v>64.263599999999997</v>
      </c>
      <c r="K50" s="20">
        <f>[1]Grp_2!J78</f>
        <v>89.839699999999993</v>
      </c>
      <c r="L50" s="20">
        <f>[1]Grp_2!K78</f>
        <v>60.7712</v>
      </c>
      <c r="M50" s="20">
        <f>[1]Grp_2!L78</f>
        <v>2.0360900000000002</v>
      </c>
      <c r="N50" s="20">
        <f>[1]Grp_2!M78</f>
        <v>57.265000000000001</v>
      </c>
      <c r="O50" s="20">
        <f>[1]Grp_2!N78</f>
        <v>47.5458</v>
      </c>
      <c r="P50" s="20">
        <f>[1]Grp_2!O78</f>
        <v>21.274799999999999</v>
      </c>
      <c r="Q50" s="20">
        <f>[1]Grp_2!P78</f>
        <v>0</v>
      </c>
      <c r="R50" s="20">
        <f>[1]Grp_2!Q78</f>
        <v>0</v>
      </c>
      <c r="S50" s="21">
        <f>[1]Grp_2!R48</f>
        <v>0</v>
      </c>
      <c r="T50" s="9"/>
      <c r="U50" s="9"/>
      <c r="V50" s="10"/>
    </row>
    <row r="51" spans="1:22">
      <c r="A51" s="2">
        <v>40</v>
      </c>
      <c r="B51" s="17" t="str">
        <f>[1]Grp_2!A41</f>
        <v>2918E</v>
      </c>
      <c r="C51" s="30" t="str">
        <f>[1]Grp_2!B41</f>
        <v>GCEC E</v>
      </c>
      <c r="D51" s="18" t="str">
        <f>[1]Grp_2!C41</f>
        <v>Glenfield College</v>
      </c>
      <c r="E51" s="31" t="str">
        <f>[1]Grp_2!D41</f>
        <v>Glenfield, Not Applicable or Not Listed, New Zealand</v>
      </c>
      <c r="F51" s="34">
        <f>[1]Grp_2!E41</f>
        <v>220</v>
      </c>
      <c r="G51" s="19">
        <f>[1]Grp_2!F41</f>
        <v>0</v>
      </c>
      <c r="H51" s="37">
        <f>[1]Grp_2!G41</f>
        <v>98.222300000000004</v>
      </c>
      <c r="I51" s="38">
        <f>[1]Grp_2!H41</f>
        <v>86.288899999999998</v>
      </c>
      <c r="J51" s="20">
        <f>[1]Grp_2!I41</f>
        <v>98.222300000000004</v>
      </c>
      <c r="K51" s="20">
        <f>[1]Grp_2!J41</f>
        <v>32.287599999999998</v>
      </c>
      <c r="L51" s="20">
        <f>[1]Grp_2!K41</f>
        <v>0</v>
      </c>
      <c r="M51" s="20">
        <f>[1]Grp_2!L41</f>
        <v>0</v>
      </c>
      <c r="N51" s="20">
        <f>[1]Grp_2!M41</f>
        <v>0</v>
      </c>
      <c r="O51" s="20">
        <f>[1]Grp_2!N41</f>
        <v>0</v>
      </c>
      <c r="P51" s="20">
        <f>[1]Grp_2!O41</f>
        <v>0</v>
      </c>
      <c r="Q51" s="20">
        <f>[1]Grp_2!P41</f>
        <v>0</v>
      </c>
      <c r="R51" s="20">
        <f>[1]Grp_2!Q41</f>
        <v>0</v>
      </c>
      <c r="S51" s="21">
        <f>[1]Grp_2!R49</f>
        <v>0</v>
      </c>
      <c r="T51" s="9"/>
      <c r="U51" s="9"/>
      <c r="V51" s="10"/>
    </row>
    <row r="52" spans="1:22">
      <c r="A52" s="2">
        <v>3</v>
      </c>
      <c r="B52" s="17" t="str">
        <f>[1]Grp_2!A4</f>
        <v>35B</v>
      </c>
      <c r="C52" s="30" t="str">
        <f>[1]Grp_2!B4</f>
        <v>The Baylyfe Brigade</v>
      </c>
      <c r="D52" s="18" t="str">
        <f>[1]Grp_2!C4</f>
        <v>Cranbrook Schools</v>
      </c>
      <c r="E52" s="31" t="str">
        <f>[1]Grp_2!D4</f>
        <v>Bloomfield Hills, Michigan, United States</v>
      </c>
      <c r="F52" s="34">
        <f>[1]Grp_2!E4</f>
        <v>198</v>
      </c>
      <c r="G52" s="19">
        <f>[1]Grp_2!F4</f>
        <v>270</v>
      </c>
      <c r="H52" s="37">
        <f>[1]Grp_2!G4</f>
        <v>97.616</v>
      </c>
      <c r="I52" s="38">
        <f>[1]Grp_2!H4</f>
        <v>97.616</v>
      </c>
      <c r="J52" s="20">
        <f>[1]Grp_2!I4</f>
        <v>54.735199999999999</v>
      </c>
      <c r="K52" s="20">
        <f>[1]Grp_2!J4</f>
        <v>91.7881</v>
      </c>
      <c r="L52" s="20">
        <f>[1]Grp_2!K4</f>
        <v>25.4038</v>
      </c>
      <c r="M52" s="20">
        <f>[1]Grp_2!L4</f>
        <v>42.045000000000002</v>
      </c>
      <c r="N52" s="20">
        <f>[1]Grp_2!M4</f>
        <v>37.795699999999997</v>
      </c>
      <c r="O52" s="20">
        <f>[1]Grp_2!N4</f>
        <v>0</v>
      </c>
      <c r="P52" s="20">
        <f>[1]Grp_2!O4</f>
        <v>0</v>
      </c>
      <c r="Q52" s="20">
        <f>[1]Grp_2!P4</f>
        <v>0</v>
      </c>
      <c r="R52" s="20">
        <f>[1]Grp_2!Q4</f>
        <v>0</v>
      </c>
      <c r="S52" s="21">
        <f>[1]Grp_2!R50</f>
        <v>0</v>
      </c>
      <c r="T52" s="9"/>
      <c r="U52" s="9"/>
      <c r="V52" s="10"/>
    </row>
    <row r="53" spans="1:22">
      <c r="A53" s="2">
        <v>78</v>
      </c>
      <c r="B53" s="17" t="str">
        <f>[1]Grp_2!A79</f>
        <v>7853D</v>
      </c>
      <c r="C53" s="30" t="str">
        <f>[1]Grp_2!B79</f>
        <v>Black Knights-NCC-1701</v>
      </c>
      <c r="D53" s="18" t="str">
        <f>[1]Grp_2!C79</f>
        <v>Sierra Vista High School</v>
      </c>
      <c r="E53" s="31" t="str">
        <f>[1]Grp_2!D79</f>
        <v>Las Vegas, Nevada, United States</v>
      </c>
      <c r="F53" s="34">
        <f>[1]Grp_2!E79</f>
        <v>121</v>
      </c>
      <c r="G53" s="19">
        <f>[1]Grp_2!F79</f>
        <v>140</v>
      </c>
      <c r="H53" s="37">
        <f>[1]Grp_2!G79</f>
        <v>96.869100000000003</v>
      </c>
      <c r="I53" s="38">
        <f>[1]Grp_2!H79</f>
        <v>96.869100000000003</v>
      </c>
      <c r="J53" s="20">
        <f>[1]Grp_2!I79</f>
        <v>70.109899999999996</v>
      </c>
      <c r="K53" s="20">
        <f>[1]Grp_2!J79</f>
        <v>67.726799999999997</v>
      </c>
      <c r="L53" s="20">
        <f>[1]Grp_2!K79</f>
        <v>-5.1007699999999998</v>
      </c>
      <c r="M53" s="20">
        <f>[1]Grp_2!L79</f>
        <v>0</v>
      </c>
      <c r="N53" s="20">
        <f>[1]Grp_2!M79</f>
        <v>0</v>
      </c>
      <c r="O53" s="20">
        <f>[1]Grp_2!N79</f>
        <v>0</v>
      </c>
      <c r="P53" s="20">
        <f>[1]Grp_2!O79</f>
        <v>0</v>
      </c>
      <c r="Q53" s="20">
        <f>[1]Grp_2!P79</f>
        <v>0</v>
      </c>
      <c r="R53" s="20">
        <f>[1]Grp_2!Q79</f>
        <v>0</v>
      </c>
      <c r="S53" s="21">
        <f>[1]Grp_2!R51</f>
        <v>0</v>
      </c>
      <c r="T53" s="9"/>
      <c r="U53" s="9"/>
      <c r="V53" s="10"/>
    </row>
    <row r="54" spans="1:22">
      <c r="A54" s="2">
        <v>6</v>
      </c>
      <c r="B54" s="17" t="str">
        <f>[1]Grp_2!A7</f>
        <v>134D</v>
      </c>
      <c r="C54" s="30" t="str">
        <f>[1]Grp_2!B7</f>
        <v>Team Discovery - Delta</v>
      </c>
      <c r="D54" s="18" t="str">
        <f>[1]Grp_2!C7</f>
        <v>Pembroke Academy</v>
      </c>
      <c r="E54" s="31" t="str">
        <f>[1]Grp_2!D7</f>
        <v>Pembroke, New Hampshire, United States</v>
      </c>
      <c r="F54" s="34">
        <f>[1]Grp_2!E7</f>
        <v>114</v>
      </c>
      <c r="G54" s="19">
        <f>[1]Grp_2!F7</f>
        <v>133</v>
      </c>
      <c r="H54" s="37">
        <f>[1]Grp_2!G7</f>
        <v>96.254000000000005</v>
      </c>
      <c r="I54" s="38">
        <f>[1]Grp_2!H7</f>
        <v>96.254000000000005</v>
      </c>
      <c r="J54" s="20">
        <f>[1]Grp_2!I7</f>
        <v>94.664599999999993</v>
      </c>
      <c r="K54" s="20">
        <f>[1]Grp_2!J7</f>
        <v>80.083399999999997</v>
      </c>
      <c r="L54" s="20">
        <f>[1]Grp_2!K7</f>
        <v>79.641099999999994</v>
      </c>
      <c r="M54" s="20">
        <f>[1]Grp_2!L7</f>
        <v>77.951800000000006</v>
      </c>
      <c r="N54" s="20">
        <f>[1]Grp_2!M7</f>
        <v>39.320500000000003</v>
      </c>
      <c r="O54" s="20">
        <f>[1]Grp_2!N7</f>
        <v>35.006999999999998</v>
      </c>
      <c r="P54" s="20">
        <f>[1]Grp_2!O7</f>
        <v>0</v>
      </c>
      <c r="Q54" s="20">
        <f>[1]Grp_2!P7</f>
        <v>0</v>
      </c>
      <c r="R54" s="20">
        <f>[1]Grp_2!Q7</f>
        <v>0</v>
      </c>
      <c r="S54" s="21">
        <f>[1]Grp_2!R52</f>
        <v>0</v>
      </c>
      <c r="T54" s="9"/>
      <c r="U54" s="9"/>
      <c r="V54" s="10"/>
    </row>
    <row r="55" spans="1:22">
      <c r="A55" s="2">
        <v>94</v>
      </c>
      <c r="B55" s="17" t="str">
        <f>[1]Grp_2!A95</f>
        <v>9623B</v>
      </c>
      <c r="C55" s="30" t="str">
        <f>[1]Grp_2!B95</f>
        <v>WARP Drive</v>
      </c>
      <c r="D55" s="18" t="str">
        <f>[1]Grp_2!C95</f>
        <v>West Ashley High School</v>
      </c>
      <c r="E55" s="31" t="str">
        <f>[1]Grp_2!D95</f>
        <v>Charleston, South Carolina, United States</v>
      </c>
      <c r="F55" s="34">
        <f>[1]Grp_2!E95</f>
        <v>148</v>
      </c>
      <c r="G55" s="19">
        <f>[1]Grp_2!F95</f>
        <v>141</v>
      </c>
      <c r="H55" s="37">
        <f>[1]Grp_2!G95</f>
        <v>94.595399999999998</v>
      </c>
      <c r="I55" s="38">
        <f>[1]Grp_2!H95</f>
        <v>94.595399999999998</v>
      </c>
      <c r="J55" s="20">
        <f>[1]Grp_2!I95</f>
        <v>84.184299999999993</v>
      </c>
      <c r="K55" s="20">
        <f>[1]Grp_2!J95</f>
        <v>75.329599999999999</v>
      </c>
      <c r="L55" s="20">
        <f>[1]Grp_2!K95</f>
        <v>48.988100000000003</v>
      </c>
      <c r="M55" s="20">
        <f>[1]Grp_2!L95</f>
        <v>72.926199999999994</v>
      </c>
      <c r="N55" s="20">
        <f>[1]Grp_2!M95</f>
        <v>0</v>
      </c>
      <c r="O55" s="20">
        <f>[1]Grp_2!N95</f>
        <v>0</v>
      </c>
      <c r="P55" s="20">
        <f>[1]Grp_2!O95</f>
        <v>0</v>
      </c>
      <c r="Q55" s="20">
        <f>[1]Grp_2!P95</f>
        <v>0</v>
      </c>
      <c r="R55" s="20">
        <f>[1]Grp_2!Q95</f>
        <v>0</v>
      </c>
      <c r="S55" s="21">
        <f>[1]Grp_2!R53</f>
        <v>0</v>
      </c>
      <c r="T55" s="9"/>
      <c r="U55" s="9"/>
      <c r="V55" s="10"/>
    </row>
    <row r="56" spans="1:22">
      <c r="A56" s="2">
        <v>73</v>
      </c>
      <c r="B56" s="17" t="str">
        <f>[1]Grp_2!A74</f>
        <v>7192</v>
      </c>
      <c r="C56" s="30" t="str">
        <f>[1]Grp_2!B74</f>
        <v>Windom Eagles A Team</v>
      </c>
      <c r="D56" s="18" t="str">
        <f>[1]Grp_2!C74</f>
        <v>Windom MS &amp; HS</v>
      </c>
      <c r="E56" s="31" t="str">
        <f>[1]Grp_2!D74</f>
        <v>Windom, Minnesota, United States</v>
      </c>
      <c r="F56" s="34">
        <f>[1]Grp_2!E74</f>
        <v>182</v>
      </c>
      <c r="G56" s="19">
        <f>[1]Grp_2!F74</f>
        <v>105</v>
      </c>
      <c r="H56" s="37">
        <f>[1]Grp_2!G74</f>
        <v>93.274799999999999</v>
      </c>
      <c r="I56" s="38">
        <f>[1]Grp_2!H74</f>
        <v>93.274799999999999</v>
      </c>
      <c r="J56" s="20">
        <f>[1]Grp_2!I74</f>
        <v>50.068300000000001</v>
      </c>
      <c r="K56" s="20">
        <f>[1]Grp_2!J74</f>
        <v>43.6616</v>
      </c>
      <c r="L56" s="20">
        <f>[1]Grp_2!K74</f>
        <v>60.573099999999997</v>
      </c>
      <c r="M56" s="20">
        <f>[1]Grp_2!L74</f>
        <v>49.757399999999997</v>
      </c>
      <c r="N56" s="20">
        <f>[1]Grp_2!M74</f>
        <v>4.8033700000000001</v>
      </c>
      <c r="O56" s="20">
        <f>[1]Grp_2!N74</f>
        <v>44.098700000000001</v>
      </c>
      <c r="P56" s="20">
        <f>[1]Grp_2!O74</f>
        <v>0</v>
      </c>
      <c r="Q56" s="20">
        <f>[1]Grp_2!P74</f>
        <v>0</v>
      </c>
      <c r="R56" s="20">
        <f>[1]Grp_2!Q74</f>
        <v>0</v>
      </c>
      <c r="S56" s="21">
        <f>[1]Grp_2!R54</f>
        <v>0</v>
      </c>
      <c r="T56" s="9"/>
      <c r="U56" s="9"/>
      <c r="V56" s="10"/>
    </row>
    <row r="57" spans="1:22">
      <c r="A57" s="2">
        <v>61</v>
      </c>
      <c r="B57" s="17" t="str">
        <f>[1]Grp_2!A62</f>
        <v>5776</v>
      </c>
      <c r="C57" s="30" t="str">
        <f>[1]Grp_2!B62</f>
        <v>DVHS Robotics</v>
      </c>
      <c r="D57" s="18" t="str">
        <f>[1]Grp_2!C62</f>
        <v>Dougherty Valley High School</v>
      </c>
      <c r="E57" s="31" t="str">
        <f>[1]Grp_2!D62</f>
        <v>San Ramon, California, United States</v>
      </c>
      <c r="F57" s="34">
        <f>[1]Grp_2!E62</f>
        <v>309</v>
      </c>
      <c r="G57" s="19">
        <f>[1]Grp_2!F62</f>
        <v>273</v>
      </c>
      <c r="H57" s="37">
        <f>[1]Grp_2!G62</f>
        <v>93.028599999999997</v>
      </c>
      <c r="I57" s="38">
        <f>[1]Grp_2!H62</f>
        <v>93.028599999999997</v>
      </c>
      <c r="J57" s="20">
        <f>[1]Grp_2!I62</f>
        <v>81.656599999999997</v>
      </c>
      <c r="K57" s="20">
        <f>[1]Grp_2!J62</f>
        <v>62.527999999999999</v>
      </c>
      <c r="L57" s="20">
        <f>[1]Grp_2!K62</f>
        <v>89.557699999999997</v>
      </c>
      <c r="M57" s="20">
        <f>[1]Grp_2!L62</f>
        <v>55.154000000000003</v>
      </c>
      <c r="N57" s="20">
        <f>[1]Grp_2!M62</f>
        <v>64.810699999999997</v>
      </c>
      <c r="O57" s="20">
        <f>[1]Grp_2!N62</f>
        <v>0</v>
      </c>
      <c r="P57" s="20">
        <f>[1]Grp_2!O62</f>
        <v>0</v>
      </c>
      <c r="Q57" s="20">
        <f>[1]Grp_2!P62</f>
        <v>0</v>
      </c>
      <c r="R57" s="20">
        <f>[1]Grp_2!Q62</f>
        <v>0</v>
      </c>
      <c r="S57" s="21">
        <f>[1]Grp_2!R55</f>
        <v>0</v>
      </c>
      <c r="T57" s="9"/>
      <c r="U57" s="9"/>
      <c r="V57" s="10"/>
    </row>
    <row r="58" spans="1:22">
      <c r="A58" s="2">
        <v>75</v>
      </c>
      <c r="B58" s="17" t="str">
        <f>[1]Grp_2!A76</f>
        <v>7479</v>
      </c>
      <c r="C58" s="30" t="str">
        <f>[1]Grp_2!B76</f>
        <v>Hillcrest</v>
      </c>
      <c r="D58" s="18" t="str">
        <f>[1]Grp_2!C76</f>
        <v>Hillcrest Christian College</v>
      </c>
      <c r="E58" s="31" t="str">
        <f>[1]Grp_2!D76</f>
        <v>Beaconsfield, N/A, Australia</v>
      </c>
      <c r="F58" s="34">
        <f>[1]Grp_2!E76</f>
        <v>97</v>
      </c>
      <c r="G58" s="19">
        <f>[1]Grp_2!F76</f>
        <v>0</v>
      </c>
      <c r="H58" s="37">
        <f>[1]Grp_2!G76</f>
        <v>91.844099999999997</v>
      </c>
      <c r="I58" s="38">
        <f>[1]Grp_2!H76</f>
        <v>91.844099999999997</v>
      </c>
      <c r="J58" s="20">
        <f>[1]Grp_2!I76</f>
        <v>0</v>
      </c>
      <c r="K58" s="20">
        <f>[1]Grp_2!J76</f>
        <v>0</v>
      </c>
      <c r="L58" s="20">
        <f>[1]Grp_2!K76</f>
        <v>0</v>
      </c>
      <c r="M58" s="20">
        <f>[1]Grp_2!L76</f>
        <v>0</v>
      </c>
      <c r="N58" s="20">
        <f>[1]Grp_2!M76</f>
        <v>0</v>
      </c>
      <c r="O58" s="20">
        <f>[1]Grp_2!N76</f>
        <v>0</v>
      </c>
      <c r="P58" s="20">
        <f>[1]Grp_2!O76</f>
        <v>0</v>
      </c>
      <c r="Q58" s="20">
        <f>[1]Grp_2!P76</f>
        <v>0</v>
      </c>
      <c r="R58" s="20">
        <f>[1]Grp_2!Q76</f>
        <v>0</v>
      </c>
      <c r="S58" s="21">
        <f>[1]Grp_2!R56</f>
        <v>0</v>
      </c>
      <c r="T58" s="9"/>
      <c r="U58" s="9"/>
      <c r="V58" s="10"/>
    </row>
    <row r="59" spans="1:22">
      <c r="A59" s="2">
        <v>52</v>
      </c>
      <c r="B59" s="17" t="str">
        <f>[1]Grp_2!A53</f>
        <v>4815B</v>
      </c>
      <c r="C59" s="30" t="str">
        <f>[1]Grp_2!B53</f>
        <v>CPC B Team</v>
      </c>
      <c r="D59" s="18" t="str">
        <f>[1]Grp_2!C53</f>
        <v>WEO CHANG PUI CHUNG MEMORIAL SCHOOL</v>
      </c>
      <c r="E59" s="31" t="str">
        <f>[1]Grp_2!D53</f>
        <v>TSEUNG KWAN O, Not Applicable or Not Listed, Hong Kong</v>
      </c>
      <c r="F59" s="34">
        <f>[1]Grp_2!E53</f>
        <v>295</v>
      </c>
      <c r="G59" s="19">
        <f>[1]Grp_2!F53</f>
        <v>263</v>
      </c>
      <c r="H59" s="37">
        <f>[1]Grp_2!G53</f>
        <v>91.036600000000007</v>
      </c>
      <c r="I59" s="38">
        <f>[1]Grp_2!H53</f>
        <v>91.036600000000007</v>
      </c>
      <c r="J59" s="20">
        <f>[1]Grp_2!I53</f>
        <v>0</v>
      </c>
      <c r="K59" s="20">
        <f>[1]Grp_2!J53</f>
        <v>0</v>
      </c>
      <c r="L59" s="20">
        <f>[1]Grp_2!K53</f>
        <v>0</v>
      </c>
      <c r="M59" s="20">
        <f>[1]Grp_2!L53</f>
        <v>0</v>
      </c>
      <c r="N59" s="20">
        <f>[1]Grp_2!M53</f>
        <v>0</v>
      </c>
      <c r="O59" s="20">
        <f>[1]Grp_2!N53</f>
        <v>0</v>
      </c>
      <c r="P59" s="20">
        <f>[1]Grp_2!O53</f>
        <v>0</v>
      </c>
      <c r="Q59" s="20">
        <f>[1]Grp_2!P53</f>
        <v>0</v>
      </c>
      <c r="R59" s="20">
        <f>[1]Grp_2!Q53</f>
        <v>0</v>
      </c>
      <c r="S59" s="21">
        <f>[1]Grp_2!R57</f>
        <v>0</v>
      </c>
      <c r="T59" s="9"/>
      <c r="U59" s="9"/>
      <c r="V59" s="10"/>
    </row>
    <row r="60" spans="1:22">
      <c r="A60" s="2">
        <v>87</v>
      </c>
      <c r="B60" s="17" t="str">
        <f>[1]Grp_2!A88</f>
        <v>8757</v>
      </c>
      <c r="C60" s="30" t="str">
        <f>[1]Grp_2!B88</f>
        <v>House of Science</v>
      </c>
      <c r="D60" s="18" t="str">
        <f>[1]Grp_2!C88</f>
        <v>House of Science TAURANGA</v>
      </c>
      <c r="E60" s="31" t="str">
        <f>[1]Grp_2!D88</f>
        <v>Tauranga, Not Applicable or Not Listed, New Zealand</v>
      </c>
      <c r="F60" s="34">
        <f>[1]Grp_2!E88</f>
        <v>104</v>
      </c>
      <c r="G60" s="19">
        <f>[1]Grp_2!F88</f>
        <v>90</v>
      </c>
      <c r="H60" s="37">
        <f>[1]Grp_2!G88</f>
        <v>89.425799999999995</v>
      </c>
      <c r="I60" s="38">
        <f>[1]Grp_2!H88</f>
        <v>89.425799999999995</v>
      </c>
      <c r="J60" s="20">
        <f>[1]Grp_2!I88</f>
        <v>74.573800000000006</v>
      </c>
      <c r="K60" s="20">
        <f>[1]Grp_2!J88</f>
        <v>28.487400000000001</v>
      </c>
      <c r="L60" s="20">
        <f>[1]Grp_2!K88</f>
        <v>0</v>
      </c>
      <c r="M60" s="20">
        <f>[1]Grp_2!L88</f>
        <v>0</v>
      </c>
      <c r="N60" s="20">
        <f>[1]Grp_2!M88</f>
        <v>0</v>
      </c>
      <c r="O60" s="20">
        <f>[1]Grp_2!N88</f>
        <v>0</v>
      </c>
      <c r="P60" s="20">
        <f>[1]Grp_2!O88</f>
        <v>0</v>
      </c>
      <c r="Q60" s="20">
        <f>[1]Grp_2!P88</f>
        <v>0</v>
      </c>
      <c r="R60" s="20">
        <f>[1]Grp_2!Q88</f>
        <v>0</v>
      </c>
      <c r="S60" s="21">
        <f>[1]Grp_2!R58</f>
        <v>0</v>
      </c>
      <c r="T60" s="9"/>
      <c r="U60" s="9"/>
      <c r="V60" s="10"/>
    </row>
    <row r="61" spans="1:22">
      <c r="A61" s="2">
        <v>67</v>
      </c>
      <c r="B61" s="17" t="str">
        <f>[1]Grp_2!A68</f>
        <v>6297E</v>
      </c>
      <c r="C61" s="30" t="str">
        <f>[1]Grp_2!B68</f>
        <v>FCS Paladins</v>
      </c>
      <c r="D61" s="18" t="str">
        <f>[1]Grp_2!C68</f>
        <v>Fellowship Christian High School</v>
      </c>
      <c r="E61" s="31" t="str">
        <f>[1]Grp_2!D68</f>
        <v>Roswell, Georgia, United States</v>
      </c>
      <c r="F61" s="34">
        <f>[1]Grp_2!E68</f>
        <v>121</v>
      </c>
      <c r="G61" s="19">
        <f>[1]Grp_2!F68</f>
        <v>32</v>
      </c>
      <c r="H61" s="37">
        <f>[1]Grp_2!G68</f>
        <v>88.700999999999993</v>
      </c>
      <c r="I61" s="38">
        <f>[1]Grp_2!H68</f>
        <v>88.700999999999993</v>
      </c>
      <c r="J61" s="20">
        <f>[1]Grp_2!I68</f>
        <v>43.420999999999999</v>
      </c>
      <c r="K61" s="20">
        <f>[1]Grp_2!J68</f>
        <v>48.035400000000003</v>
      </c>
      <c r="L61" s="20">
        <f>[1]Grp_2!K68</f>
        <v>55.786499999999997</v>
      </c>
      <c r="M61" s="20">
        <f>[1]Grp_2!L68</f>
        <v>75.762200000000007</v>
      </c>
      <c r="N61" s="20">
        <f>[1]Grp_2!M68</f>
        <v>62.820099999999996</v>
      </c>
      <c r="O61" s="20">
        <f>[1]Grp_2!N68</f>
        <v>15.883900000000001</v>
      </c>
      <c r="P61" s="20">
        <f>[1]Grp_2!O68</f>
        <v>0</v>
      </c>
      <c r="Q61" s="20">
        <f>[1]Grp_2!P68</f>
        <v>0</v>
      </c>
      <c r="R61" s="20">
        <f>[1]Grp_2!Q68</f>
        <v>0</v>
      </c>
      <c r="S61" s="21">
        <f>[1]Grp_2!R59</f>
        <v>0</v>
      </c>
      <c r="T61" s="9"/>
      <c r="U61" s="9"/>
      <c r="V61" s="10"/>
    </row>
    <row r="62" spans="1:22">
      <c r="A62" s="2">
        <v>51</v>
      </c>
      <c r="B62" s="17" t="str">
        <f>[1]Grp_2!A52</f>
        <v>4716D</v>
      </c>
      <c r="C62" s="30" t="str">
        <f>[1]Grp_2!B52</f>
        <v>Pingree Servomatics</v>
      </c>
      <c r="D62" s="18" t="str">
        <f>[1]Grp_2!C52</f>
        <v>Pingree School</v>
      </c>
      <c r="E62" s="31" t="str">
        <f>[1]Grp_2!D52</f>
        <v>S. Hamilton, Massachusetts, United States</v>
      </c>
      <c r="F62" s="34">
        <f>[1]Grp_2!E52</f>
        <v>105</v>
      </c>
      <c r="G62" s="19">
        <f>[1]Grp_2!F52</f>
        <v>150</v>
      </c>
      <c r="H62" s="37">
        <f>[1]Grp_2!G52</f>
        <v>88.680400000000006</v>
      </c>
      <c r="I62" s="38">
        <f>[1]Grp_2!H52</f>
        <v>84.113200000000006</v>
      </c>
      <c r="J62" s="20">
        <f>[1]Grp_2!I52</f>
        <v>88.680400000000006</v>
      </c>
      <c r="K62" s="20">
        <f>[1]Grp_2!J52</f>
        <v>67.422200000000004</v>
      </c>
      <c r="L62" s="20">
        <f>[1]Grp_2!K52</f>
        <v>29.464300000000001</v>
      </c>
      <c r="M62" s="20">
        <f>[1]Grp_2!L52</f>
        <v>15.8947</v>
      </c>
      <c r="N62" s="20">
        <f>[1]Grp_2!M52</f>
        <v>0</v>
      </c>
      <c r="O62" s="20">
        <f>[1]Grp_2!N52</f>
        <v>0</v>
      </c>
      <c r="P62" s="20">
        <f>[1]Grp_2!O52</f>
        <v>0</v>
      </c>
      <c r="Q62" s="20">
        <f>[1]Grp_2!P52</f>
        <v>0</v>
      </c>
      <c r="R62" s="20">
        <f>[1]Grp_2!Q52</f>
        <v>0</v>
      </c>
      <c r="S62" s="21">
        <f>[1]Grp_2!R60</f>
        <v>0</v>
      </c>
      <c r="T62" s="9"/>
      <c r="U62" s="9"/>
      <c r="V62" s="10"/>
    </row>
    <row r="63" spans="1:22">
      <c r="A63" s="2">
        <v>57</v>
      </c>
      <c r="B63" s="17" t="str">
        <f>[1]Grp_2!A58</f>
        <v>5327D</v>
      </c>
      <c r="C63" s="30" t="str">
        <f>[1]Grp_2!B58</f>
        <v>Gael Force</v>
      </c>
      <c r="D63" s="18" t="str">
        <f>[1]Grp_2!C58</f>
        <v>Dublin High School</v>
      </c>
      <c r="E63" s="31" t="str">
        <f>[1]Grp_2!D58</f>
        <v>Dublin, California, United States</v>
      </c>
      <c r="F63" s="34">
        <f>[1]Grp_2!E58</f>
        <v>270</v>
      </c>
      <c r="G63" s="19">
        <f>[1]Grp_2!F58</f>
        <v>321</v>
      </c>
      <c r="H63" s="37">
        <f>[1]Grp_2!G58</f>
        <v>86.104200000000006</v>
      </c>
      <c r="I63" s="38">
        <f>[1]Grp_2!H58</f>
        <v>71.400400000000005</v>
      </c>
      <c r="J63" s="20">
        <f>[1]Grp_2!I58</f>
        <v>86.104200000000006</v>
      </c>
      <c r="K63" s="20">
        <f>[1]Grp_2!J58</f>
        <v>14.3674</v>
      </c>
      <c r="L63" s="20">
        <f>[1]Grp_2!K58</f>
        <v>84.800799999999995</v>
      </c>
      <c r="M63" s="20">
        <f>[1]Grp_2!L58</f>
        <v>51.688899999999997</v>
      </c>
      <c r="N63" s="20">
        <f>[1]Grp_2!M58</f>
        <v>36.859099999999998</v>
      </c>
      <c r="O63" s="20">
        <f>[1]Grp_2!N58</f>
        <v>4.01694</v>
      </c>
      <c r="P63" s="20">
        <f>[1]Grp_2!O58</f>
        <v>0</v>
      </c>
      <c r="Q63" s="20">
        <f>[1]Grp_2!P58</f>
        <v>0</v>
      </c>
      <c r="R63" s="20">
        <f>[1]Grp_2!Q58</f>
        <v>0</v>
      </c>
      <c r="S63" s="21">
        <f>[1]Grp_2!R61</f>
        <v>0</v>
      </c>
      <c r="T63" s="9"/>
      <c r="U63" s="9"/>
      <c r="V63" s="10"/>
    </row>
    <row r="64" spans="1:22">
      <c r="A64" s="2">
        <v>15</v>
      </c>
      <c r="B64" s="17" t="str">
        <f>[1]Grp_2!A16</f>
        <v>590</v>
      </c>
      <c r="C64" s="30" t="str">
        <f>[1]Grp_2!B16</f>
        <v xml:space="preserve">Texas City ✭ Robotics </v>
      </c>
      <c r="D64" s="18" t="str">
        <f>[1]Grp_2!C16</f>
        <v>Texas City High School</v>
      </c>
      <c r="E64" s="31" t="str">
        <f>[1]Grp_2!D16</f>
        <v>Texas City, Texas, United States</v>
      </c>
      <c r="F64" s="34">
        <f>[1]Grp_2!E16</f>
        <v>187</v>
      </c>
      <c r="G64" s="19">
        <f>[1]Grp_2!F16</f>
        <v>131</v>
      </c>
      <c r="H64" s="37">
        <f>[1]Grp_2!G16</f>
        <v>85.793999999999997</v>
      </c>
      <c r="I64" s="38">
        <f>[1]Grp_2!H16</f>
        <v>66.753100000000003</v>
      </c>
      <c r="J64" s="20">
        <f>[1]Grp_2!I16</f>
        <v>46.641599999999997</v>
      </c>
      <c r="K64" s="20">
        <f>[1]Grp_2!J16</f>
        <v>85.793999999999997</v>
      </c>
      <c r="L64" s="20">
        <f>[1]Grp_2!K16</f>
        <v>49.989699999999999</v>
      </c>
      <c r="M64" s="20">
        <f>[1]Grp_2!L16</f>
        <v>33.604500000000002</v>
      </c>
      <c r="N64" s="20">
        <f>[1]Grp_2!M16</f>
        <v>0</v>
      </c>
      <c r="O64" s="20">
        <f>[1]Grp_2!N16</f>
        <v>0</v>
      </c>
      <c r="P64" s="20">
        <f>[1]Grp_2!O16</f>
        <v>0</v>
      </c>
      <c r="Q64" s="20">
        <f>[1]Grp_2!P16</f>
        <v>0</v>
      </c>
      <c r="R64" s="20">
        <f>[1]Grp_2!Q16</f>
        <v>0</v>
      </c>
      <c r="S64" s="21">
        <f>[1]Grp_2!R62</f>
        <v>0</v>
      </c>
      <c r="T64" s="9"/>
      <c r="U64" s="9"/>
      <c r="V64" s="10"/>
    </row>
    <row r="65" spans="1:22">
      <c r="A65" s="2">
        <v>41</v>
      </c>
      <c r="B65" s="17" t="str">
        <f>[1]Grp_2!A42</f>
        <v>3211H</v>
      </c>
      <c r="C65" s="30" t="str">
        <f>[1]Grp_2!B42</f>
        <v>BeatBotz</v>
      </c>
      <c r="D65" s="18" t="str">
        <f>[1]Grp_2!C42</f>
        <v>Boy Scouts   Troop 211</v>
      </c>
      <c r="E65" s="31" t="str">
        <f>[1]Grp_2!D42</f>
        <v>Sartell, Minnesota, United States</v>
      </c>
      <c r="F65" s="34">
        <f>[1]Grp_2!E42</f>
        <v>280</v>
      </c>
      <c r="G65" s="19">
        <f>[1]Grp_2!F42</f>
        <v>126</v>
      </c>
      <c r="H65" s="37">
        <f>[1]Grp_2!G42</f>
        <v>85.185900000000004</v>
      </c>
      <c r="I65" s="38">
        <f>[1]Grp_2!H42</f>
        <v>85.185900000000004</v>
      </c>
      <c r="J65" s="20">
        <f>[1]Grp_2!I42</f>
        <v>49.811100000000003</v>
      </c>
      <c r="K65" s="20">
        <f>[1]Grp_2!J42</f>
        <v>59.941400000000002</v>
      </c>
      <c r="L65" s="20">
        <f>[1]Grp_2!K42</f>
        <v>67.316599999999994</v>
      </c>
      <c r="M65" s="20">
        <f>[1]Grp_2!L42</f>
        <v>23.5138</v>
      </c>
      <c r="N65" s="20">
        <f>[1]Grp_2!M42</f>
        <v>0</v>
      </c>
      <c r="O65" s="20">
        <f>[1]Grp_2!N42</f>
        <v>0</v>
      </c>
      <c r="P65" s="20">
        <f>[1]Grp_2!O42</f>
        <v>0</v>
      </c>
      <c r="Q65" s="20">
        <f>[1]Grp_2!P42</f>
        <v>0</v>
      </c>
      <c r="R65" s="20">
        <f>[1]Grp_2!Q42</f>
        <v>0</v>
      </c>
      <c r="S65" s="21">
        <f>[1]Grp_2!R63</f>
        <v>0</v>
      </c>
      <c r="T65" s="9"/>
      <c r="U65" s="9"/>
      <c r="V65" s="10"/>
    </row>
    <row r="66" spans="1:22">
      <c r="A66" s="2">
        <v>90</v>
      </c>
      <c r="B66" s="17" t="str">
        <f>[1]Grp_2!A91</f>
        <v>9064A</v>
      </c>
      <c r="C66" s="30" t="str">
        <f>[1]Grp_2!B91</f>
        <v>Web Slingers</v>
      </c>
      <c r="D66" s="18" t="str">
        <f>[1]Grp_2!C91</f>
        <v>J.M. Morehead High School</v>
      </c>
      <c r="E66" s="31" t="str">
        <f>[1]Grp_2!D91</f>
        <v>Eden, North Carolina, United States</v>
      </c>
      <c r="F66" s="34">
        <f>[1]Grp_2!E91</f>
        <v>113</v>
      </c>
      <c r="G66" s="19">
        <f>[1]Grp_2!F91</f>
        <v>110</v>
      </c>
      <c r="H66" s="37">
        <f>[1]Grp_2!G91</f>
        <v>85.036000000000001</v>
      </c>
      <c r="I66" s="38">
        <f>[1]Grp_2!H91</f>
        <v>85.036000000000001</v>
      </c>
      <c r="J66" s="20">
        <f>[1]Grp_2!I91</f>
        <v>18.703299999999999</v>
      </c>
      <c r="K66" s="20">
        <f>[1]Grp_2!J91</f>
        <v>3.9861399999999998E-2</v>
      </c>
      <c r="L66" s="20">
        <f>[1]Grp_2!K91</f>
        <v>0</v>
      </c>
      <c r="M66" s="20">
        <f>[1]Grp_2!L91</f>
        <v>0</v>
      </c>
      <c r="N66" s="20">
        <f>[1]Grp_2!M91</f>
        <v>0</v>
      </c>
      <c r="O66" s="20">
        <f>[1]Grp_2!N91</f>
        <v>0</v>
      </c>
      <c r="P66" s="20">
        <f>[1]Grp_2!O91</f>
        <v>0</v>
      </c>
      <c r="Q66" s="20">
        <f>[1]Grp_2!P91</f>
        <v>0</v>
      </c>
      <c r="R66" s="20">
        <f>[1]Grp_2!Q91</f>
        <v>0</v>
      </c>
      <c r="S66" s="21">
        <f>[1]Grp_2!R64</f>
        <v>0</v>
      </c>
      <c r="T66" s="9"/>
      <c r="U66" s="9"/>
      <c r="V66" s="10"/>
    </row>
    <row r="67" spans="1:22">
      <c r="A67" s="2">
        <v>56</v>
      </c>
      <c r="B67" s="17" t="str">
        <f>[1]Grp_2!A57</f>
        <v>5225A</v>
      </c>
      <c r="C67" s="30" t="str">
        <f>[1]Grp_2!B57</f>
        <v>E-Bots Pilons</v>
      </c>
      <c r="D67" s="18" t="str">
        <f>[1]Grp_2!C57</f>
        <v>E-Bots</v>
      </c>
      <c r="E67" s="31" t="str">
        <f>[1]Grp_2!D57</f>
        <v>Oakville, Ontario, Canada</v>
      </c>
      <c r="F67" s="34">
        <f>[1]Grp_2!E57</f>
        <v>227</v>
      </c>
      <c r="G67" s="19">
        <f>[1]Grp_2!F57</f>
        <v>320</v>
      </c>
      <c r="H67" s="37">
        <f>[1]Grp_2!G57</f>
        <v>84.736699999999999</v>
      </c>
      <c r="I67" s="38">
        <f>[1]Grp_2!H57</f>
        <v>61.508400000000002</v>
      </c>
      <c r="J67" s="20">
        <f>[1]Grp_2!I57</f>
        <v>84.736699999999999</v>
      </c>
      <c r="K67" s="20">
        <f>[1]Grp_2!J57</f>
        <v>59.034799999999997</v>
      </c>
      <c r="L67" s="20">
        <f>[1]Grp_2!K57</f>
        <v>0</v>
      </c>
      <c r="M67" s="20">
        <f>[1]Grp_2!L57</f>
        <v>0</v>
      </c>
      <c r="N67" s="20">
        <f>[1]Grp_2!M57</f>
        <v>0</v>
      </c>
      <c r="O67" s="20">
        <f>[1]Grp_2!N57</f>
        <v>0</v>
      </c>
      <c r="P67" s="20">
        <f>[1]Grp_2!O57</f>
        <v>0</v>
      </c>
      <c r="Q67" s="20">
        <f>[1]Grp_2!P57</f>
        <v>0</v>
      </c>
      <c r="R67" s="20">
        <f>[1]Grp_2!Q57</f>
        <v>0</v>
      </c>
      <c r="S67" s="21">
        <f>[1]Grp_2!R65</f>
        <v>0</v>
      </c>
      <c r="T67" s="9"/>
      <c r="U67" s="9"/>
      <c r="V67" s="10"/>
    </row>
    <row r="68" spans="1:22">
      <c r="A68" s="2">
        <v>31</v>
      </c>
      <c r="B68" s="17" t="str">
        <f>[1]Grp_2!A32</f>
        <v>1841A</v>
      </c>
      <c r="C68" s="30" t="str">
        <f>[1]Grp_2!B32</f>
        <v>Buff 'n Blue</v>
      </c>
      <c r="D68" s="18" t="str">
        <f>[1]Grp_2!C32</f>
        <v>Punahou School</v>
      </c>
      <c r="E68" s="31" t="str">
        <f>[1]Grp_2!D32</f>
        <v>Honolulu, Hawaii, United States</v>
      </c>
      <c r="F68" s="34">
        <f>[1]Grp_2!E32</f>
        <v>67</v>
      </c>
      <c r="G68" s="19">
        <f>[1]Grp_2!F32</f>
        <v>80</v>
      </c>
      <c r="H68" s="37">
        <f>[1]Grp_2!G32</f>
        <v>83.081199999999995</v>
      </c>
      <c r="I68" s="38">
        <f>[1]Grp_2!H32</f>
        <v>51.180999999999997</v>
      </c>
      <c r="J68" s="20">
        <f>[1]Grp_2!I32</f>
        <v>83.081199999999995</v>
      </c>
      <c r="K68" s="20">
        <f>[1]Grp_2!J32</f>
        <v>42.198700000000002</v>
      </c>
      <c r="L68" s="20">
        <f>[1]Grp_2!K32</f>
        <v>0</v>
      </c>
      <c r="M68" s="20">
        <f>[1]Grp_2!L32</f>
        <v>0</v>
      </c>
      <c r="N68" s="20">
        <f>[1]Grp_2!M32</f>
        <v>0</v>
      </c>
      <c r="O68" s="20">
        <f>[1]Grp_2!N32</f>
        <v>0</v>
      </c>
      <c r="P68" s="20">
        <f>[1]Grp_2!O32</f>
        <v>0</v>
      </c>
      <c r="Q68" s="20">
        <f>[1]Grp_2!P32</f>
        <v>0</v>
      </c>
      <c r="R68" s="20">
        <f>[1]Grp_2!Q32</f>
        <v>0</v>
      </c>
      <c r="S68" s="21">
        <f>[1]Grp_2!R66</f>
        <v>0</v>
      </c>
      <c r="T68" s="9"/>
      <c r="U68" s="9"/>
      <c r="V68" s="10"/>
    </row>
    <row r="69" spans="1:22">
      <c r="A69" s="2">
        <v>54</v>
      </c>
      <c r="B69" s="17" t="str">
        <f>[1]Grp_2!A55</f>
        <v>5062B</v>
      </c>
      <c r="C69" s="30" t="str">
        <f>[1]Grp_2!B55</f>
        <v>Black Fox</v>
      </c>
      <c r="D69" s="18" t="str">
        <f>[1]Grp_2!C55</f>
        <v>Fox Valley Lutheran High School</v>
      </c>
      <c r="E69" s="31" t="str">
        <f>[1]Grp_2!D55</f>
        <v>Appleton, Wisconsin, United States</v>
      </c>
      <c r="F69" s="34">
        <f>[1]Grp_2!E55</f>
        <v>300</v>
      </c>
      <c r="G69" s="19">
        <f>[1]Grp_2!F55</f>
        <v>140</v>
      </c>
      <c r="H69" s="37">
        <f>[1]Grp_2!G55</f>
        <v>81.725999999999999</v>
      </c>
      <c r="I69" s="38">
        <f>[1]Grp_2!H55</f>
        <v>50.772500000000001</v>
      </c>
      <c r="J69" s="20">
        <f>[1]Grp_2!I55</f>
        <v>74.109300000000005</v>
      </c>
      <c r="K69" s="20">
        <f>[1]Grp_2!J55</f>
        <v>81.725999999999999</v>
      </c>
      <c r="L69" s="20">
        <f>[1]Grp_2!K55</f>
        <v>75.759799999999998</v>
      </c>
      <c r="M69" s="20">
        <f>[1]Grp_2!L55</f>
        <v>48.0244</v>
      </c>
      <c r="N69" s="20">
        <f>[1]Grp_2!M55</f>
        <v>0</v>
      </c>
      <c r="O69" s="20">
        <f>[1]Grp_2!N55</f>
        <v>0</v>
      </c>
      <c r="P69" s="20">
        <f>[1]Grp_2!O55</f>
        <v>0</v>
      </c>
      <c r="Q69" s="20">
        <f>[1]Grp_2!P55</f>
        <v>0</v>
      </c>
      <c r="R69" s="20">
        <f>[1]Grp_2!Q55</f>
        <v>0</v>
      </c>
      <c r="S69" s="21">
        <f>[1]Grp_2!R67</f>
        <v>0</v>
      </c>
      <c r="T69" s="9"/>
      <c r="U69" s="9"/>
      <c r="V69" s="10"/>
    </row>
    <row r="70" spans="1:22">
      <c r="A70" s="2">
        <v>68</v>
      </c>
      <c r="B70" s="17" t="str">
        <f>[1]Grp_2!A69</f>
        <v>6460</v>
      </c>
      <c r="C70" s="30" t="str">
        <f>[1]Grp_2!B69</f>
        <v>MAGNOBOTS</v>
      </c>
      <c r="D70" s="18" t="str">
        <f>[1]Grp_2!C69</f>
        <v>magnolia science academy 1</v>
      </c>
      <c r="E70" s="31" t="str">
        <f>[1]Grp_2!D69</f>
        <v>reseda, California, United States</v>
      </c>
      <c r="F70" s="34">
        <f>[1]Grp_2!E69</f>
        <v>291</v>
      </c>
      <c r="G70" s="19">
        <f>[1]Grp_2!F69</f>
        <v>117</v>
      </c>
      <c r="H70" s="37">
        <f>[1]Grp_2!G69</f>
        <v>80.387200000000007</v>
      </c>
      <c r="I70" s="38">
        <f>[1]Grp_2!H69</f>
        <v>80.387200000000007</v>
      </c>
      <c r="J70" s="20">
        <f>[1]Grp_2!I69</f>
        <v>52.203899999999997</v>
      </c>
      <c r="K70" s="20">
        <f>[1]Grp_2!J69</f>
        <v>0</v>
      </c>
      <c r="L70" s="20">
        <f>[1]Grp_2!K69</f>
        <v>0</v>
      </c>
      <c r="M70" s="20">
        <f>[1]Grp_2!L69</f>
        <v>0</v>
      </c>
      <c r="N70" s="20">
        <f>[1]Grp_2!M69</f>
        <v>0</v>
      </c>
      <c r="O70" s="20">
        <f>[1]Grp_2!N69</f>
        <v>0</v>
      </c>
      <c r="P70" s="20">
        <f>[1]Grp_2!O69</f>
        <v>0</v>
      </c>
      <c r="Q70" s="20">
        <f>[1]Grp_2!P69</f>
        <v>0</v>
      </c>
      <c r="R70" s="20">
        <f>[1]Grp_2!Q69</f>
        <v>0</v>
      </c>
      <c r="S70" s="21">
        <f>[1]Grp_2!R68</f>
        <v>0</v>
      </c>
      <c r="T70" s="9"/>
      <c r="U70" s="9"/>
      <c r="V70" s="10"/>
    </row>
    <row r="71" spans="1:22">
      <c r="A71" s="2">
        <v>36</v>
      </c>
      <c r="B71" s="17" t="str">
        <f>[1]Grp_2!A37</f>
        <v>2442B</v>
      </c>
      <c r="C71" s="30" t="str">
        <f>[1]Grp_2!B37</f>
        <v>Bancroft Robodogs B</v>
      </c>
      <c r="D71" s="18" t="str">
        <f>[1]Grp_2!C37</f>
        <v>Bancroft School</v>
      </c>
      <c r="E71" s="31" t="str">
        <f>[1]Grp_2!D37</f>
        <v>Worcester, Massachusetts, United States</v>
      </c>
      <c r="F71" s="34">
        <f>[1]Grp_2!E37</f>
        <v>160</v>
      </c>
      <c r="G71" s="19">
        <f>[1]Grp_2!F37</f>
        <v>116</v>
      </c>
      <c r="H71" s="37">
        <f>[1]Grp_2!G37</f>
        <v>79.793999999999997</v>
      </c>
      <c r="I71" s="38">
        <f>[1]Grp_2!H37</f>
        <v>79.793999999999997</v>
      </c>
      <c r="J71" s="20">
        <f>[1]Grp_2!I37</f>
        <v>76.956500000000005</v>
      </c>
      <c r="K71" s="20">
        <f>[1]Grp_2!J37</f>
        <v>17.279299999999999</v>
      </c>
      <c r="L71" s="20">
        <f>[1]Grp_2!K37</f>
        <v>16.935199999999998</v>
      </c>
      <c r="M71" s="20">
        <f>[1]Grp_2!L37</f>
        <v>39.614100000000001</v>
      </c>
      <c r="N71" s="20">
        <f>[1]Grp_2!M37</f>
        <v>0</v>
      </c>
      <c r="O71" s="20">
        <f>[1]Grp_2!N37</f>
        <v>0</v>
      </c>
      <c r="P71" s="20">
        <f>[1]Grp_2!O37</f>
        <v>0</v>
      </c>
      <c r="Q71" s="20">
        <f>[1]Grp_2!P37</f>
        <v>0</v>
      </c>
      <c r="R71" s="20">
        <f>[1]Grp_2!Q37</f>
        <v>0</v>
      </c>
      <c r="S71" s="21">
        <f>[1]Grp_2!R69</f>
        <v>0</v>
      </c>
      <c r="T71" s="9"/>
      <c r="U71" s="9"/>
      <c r="V71" s="10"/>
    </row>
    <row r="72" spans="1:22">
      <c r="A72" s="2">
        <v>96</v>
      </c>
      <c r="B72" s="17" t="str">
        <f>[1]Grp_2!A97</f>
        <v>9920</v>
      </c>
      <c r="C72" s="30" t="str">
        <f>[1]Grp_2!B97</f>
        <v>Sailor Robotics</v>
      </c>
      <c r="D72" s="18" t="str">
        <f>[1]Grp_2!C97</f>
        <v>Sarasota High School</v>
      </c>
      <c r="E72" s="31" t="str">
        <f>[1]Grp_2!D97</f>
        <v>Sarasota, Florida, United States</v>
      </c>
      <c r="F72" s="34">
        <f>[1]Grp_2!E97</f>
        <v>300</v>
      </c>
      <c r="G72" s="19">
        <f>[1]Grp_2!F97</f>
        <v>146</v>
      </c>
      <c r="H72" s="37">
        <f>[1]Grp_2!G97</f>
        <v>79.531999999999996</v>
      </c>
      <c r="I72" s="38">
        <f>[1]Grp_2!H97</f>
        <v>0</v>
      </c>
      <c r="J72" s="20">
        <f>[1]Grp_2!I97</f>
        <v>79.531999999999996</v>
      </c>
      <c r="K72" s="20">
        <f>[1]Grp_2!J97</f>
        <v>66.351299999999995</v>
      </c>
      <c r="L72" s="20">
        <f>[1]Grp_2!K97</f>
        <v>0</v>
      </c>
      <c r="M72" s="20">
        <f>[1]Grp_2!L97</f>
        <v>0</v>
      </c>
      <c r="N72" s="20">
        <f>[1]Grp_2!M97</f>
        <v>0</v>
      </c>
      <c r="O72" s="20">
        <f>[1]Grp_2!N97</f>
        <v>0</v>
      </c>
      <c r="P72" s="20">
        <f>[1]Grp_2!O97</f>
        <v>0</v>
      </c>
      <c r="Q72" s="20">
        <f>[1]Grp_2!P97</f>
        <v>0</v>
      </c>
      <c r="R72" s="20">
        <f>[1]Grp_2!Q97</f>
        <v>0</v>
      </c>
      <c r="S72" s="21">
        <f>[1]Grp_2!R70</f>
        <v>0</v>
      </c>
      <c r="T72" s="9"/>
      <c r="U72" s="9"/>
      <c r="V72" s="10"/>
    </row>
    <row r="73" spans="1:22">
      <c r="A73" s="2">
        <v>8</v>
      </c>
      <c r="B73" s="17" t="str">
        <f>[1]Grp_2!A9</f>
        <v>212P</v>
      </c>
      <c r="C73" s="30" t="str">
        <f>[1]Grp_2!B9</f>
        <v>The πΤΗΦηs</v>
      </c>
      <c r="D73" s="18" t="str">
        <f>[1]Grp_2!C9</f>
        <v>Pine View School</v>
      </c>
      <c r="E73" s="31" t="str">
        <f>[1]Grp_2!D9</f>
        <v>Osprey, Florida, United States</v>
      </c>
      <c r="F73" s="34">
        <f>[1]Grp_2!E9</f>
        <v>175</v>
      </c>
      <c r="G73" s="19">
        <f>[1]Grp_2!F9</f>
        <v>132</v>
      </c>
      <c r="H73" s="37">
        <f>[1]Grp_2!G9</f>
        <v>77.949100000000001</v>
      </c>
      <c r="I73" s="38">
        <f>[1]Grp_2!H9</f>
        <v>0</v>
      </c>
      <c r="J73" s="20">
        <f>[1]Grp_2!I9</f>
        <v>57.874000000000002</v>
      </c>
      <c r="K73" s="20">
        <f>[1]Grp_2!J9</f>
        <v>77.949100000000001</v>
      </c>
      <c r="L73" s="20">
        <f>[1]Grp_2!K9</f>
        <v>65.598399999999998</v>
      </c>
      <c r="M73" s="20">
        <f>[1]Grp_2!L9</f>
        <v>0</v>
      </c>
      <c r="N73" s="20">
        <f>[1]Grp_2!M9</f>
        <v>0</v>
      </c>
      <c r="O73" s="20">
        <f>[1]Grp_2!N9</f>
        <v>0</v>
      </c>
      <c r="P73" s="20">
        <f>[1]Grp_2!O9</f>
        <v>0</v>
      </c>
      <c r="Q73" s="20">
        <f>[1]Grp_2!P9</f>
        <v>0</v>
      </c>
      <c r="R73" s="20">
        <f>[1]Grp_2!Q9</f>
        <v>0</v>
      </c>
      <c r="S73" s="21">
        <f>[1]Grp_2!R71</f>
        <v>0</v>
      </c>
      <c r="T73" s="9"/>
      <c r="U73" s="9"/>
      <c r="V73" s="10"/>
    </row>
    <row r="74" spans="1:22">
      <c r="A74" s="2">
        <v>11</v>
      </c>
      <c r="B74" s="17" t="str">
        <f>[1]Grp_2!A12</f>
        <v>333T</v>
      </c>
      <c r="C74" s="30" t="str">
        <f>[1]Grp_2!B12</f>
        <v xml:space="preserve">Inconvenient&amp;Impractical </v>
      </c>
      <c r="D74" s="18" t="str">
        <f>[1]Grp_2!C12</f>
        <v>Niles North Robotics</v>
      </c>
      <c r="E74" s="31" t="str">
        <f>[1]Grp_2!D12</f>
        <v>Skokie, Illinois, United States</v>
      </c>
      <c r="F74" s="34">
        <f>[1]Grp_2!E12</f>
        <v>114</v>
      </c>
      <c r="G74" s="19">
        <f>[1]Grp_2!F12</f>
        <v>0</v>
      </c>
      <c r="H74" s="37">
        <f>[1]Grp_2!G12</f>
        <v>76.807500000000005</v>
      </c>
      <c r="I74" s="38">
        <f>[1]Grp_2!H12</f>
        <v>76.807500000000005</v>
      </c>
      <c r="J74" s="20">
        <f>[1]Grp_2!I12</f>
        <v>32.882100000000001</v>
      </c>
      <c r="K74" s="20">
        <f>[1]Grp_2!J12</f>
        <v>4.8130600000000001</v>
      </c>
      <c r="L74" s="20">
        <f>[1]Grp_2!K12</f>
        <v>9.3081499999999995</v>
      </c>
      <c r="M74" s="20">
        <f>[1]Grp_2!L12</f>
        <v>0</v>
      </c>
      <c r="N74" s="20">
        <f>[1]Grp_2!M12</f>
        <v>0</v>
      </c>
      <c r="O74" s="20">
        <f>[1]Grp_2!N12</f>
        <v>0</v>
      </c>
      <c r="P74" s="20">
        <f>[1]Grp_2!O12</f>
        <v>0</v>
      </c>
      <c r="Q74" s="20">
        <f>[1]Grp_2!P12</f>
        <v>0</v>
      </c>
      <c r="R74" s="20">
        <f>[1]Grp_2!Q12</f>
        <v>0</v>
      </c>
      <c r="S74" s="21">
        <f>[1]Grp_2!R72</f>
        <v>0</v>
      </c>
      <c r="T74" s="9"/>
      <c r="U74" s="9"/>
      <c r="V74" s="10"/>
    </row>
    <row r="75" spans="1:22">
      <c r="A75" s="2">
        <v>71</v>
      </c>
      <c r="B75" s="17" t="str">
        <f>[1]Grp_2!A72</f>
        <v>6916A</v>
      </c>
      <c r="C75" s="30" t="str">
        <f>[1]Grp_2!B72</f>
        <v>BVT VEX Robotics</v>
      </c>
      <c r="D75" s="18" t="str">
        <f>[1]Grp_2!C72</f>
        <v>Blackstone Valley Regional High School</v>
      </c>
      <c r="E75" s="31" t="str">
        <f>[1]Grp_2!D72</f>
        <v>Upton, Massachusetts, United States</v>
      </c>
      <c r="F75" s="34">
        <f>[1]Grp_2!E72</f>
        <v>96</v>
      </c>
      <c r="G75" s="19">
        <f>[1]Grp_2!F72</f>
        <v>0</v>
      </c>
      <c r="H75" s="37">
        <f>[1]Grp_2!G72</f>
        <v>75.540199999999999</v>
      </c>
      <c r="I75" s="38">
        <f>[1]Grp_2!H72</f>
        <v>53.038499999999999</v>
      </c>
      <c r="J75" s="20">
        <f>[1]Grp_2!I72</f>
        <v>24.377400000000002</v>
      </c>
      <c r="K75" s="20">
        <f>[1]Grp_2!J72</f>
        <v>75.540199999999999</v>
      </c>
      <c r="L75" s="20">
        <f>[1]Grp_2!K72</f>
        <v>47.092300000000002</v>
      </c>
      <c r="M75" s="20">
        <f>[1]Grp_2!L72</f>
        <v>0</v>
      </c>
      <c r="N75" s="20">
        <f>[1]Grp_2!M72</f>
        <v>0</v>
      </c>
      <c r="O75" s="20">
        <f>[1]Grp_2!N72</f>
        <v>0</v>
      </c>
      <c r="P75" s="20">
        <f>[1]Grp_2!O72</f>
        <v>0</v>
      </c>
      <c r="Q75" s="20">
        <f>[1]Grp_2!P72</f>
        <v>0</v>
      </c>
      <c r="R75" s="20">
        <f>[1]Grp_2!Q72</f>
        <v>0</v>
      </c>
      <c r="S75" s="21">
        <f>[1]Grp_2!R73</f>
        <v>0</v>
      </c>
      <c r="T75" s="9"/>
      <c r="U75" s="9"/>
      <c r="V75" s="10"/>
    </row>
    <row r="76" spans="1:22">
      <c r="A76" s="2">
        <v>63</v>
      </c>
      <c r="B76" s="17" t="str">
        <f>[1]Grp_2!A64</f>
        <v>5956B</v>
      </c>
      <c r="C76" s="30" t="str">
        <f>[1]Grp_2!B64</f>
        <v>Bangarang</v>
      </c>
      <c r="D76" s="18" t="str">
        <f>[1]Grp_2!C64</f>
        <v>Timber Creek High School</v>
      </c>
      <c r="E76" s="31" t="str">
        <f>[1]Grp_2!D64</f>
        <v>Orlando, Florida, United States</v>
      </c>
      <c r="F76" s="34">
        <f>[1]Grp_2!E64</f>
        <v>250</v>
      </c>
      <c r="G76" s="19">
        <f>[1]Grp_2!F64</f>
        <v>173</v>
      </c>
      <c r="H76" s="37">
        <f>[1]Grp_2!G64</f>
        <v>75.522099999999995</v>
      </c>
      <c r="I76" s="38">
        <f>[1]Grp_2!H64</f>
        <v>0</v>
      </c>
      <c r="J76" s="20">
        <f>[1]Grp_2!I64</f>
        <v>32.737000000000002</v>
      </c>
      <c r="K76" s="20">
        <f>[1]Grp_2!J64</f>
        <v>75.522099999999995</v>
      </c>
      <c r="L76" s="20">
        <f>[1]Grp_2!K64</f>
        <v>61.689</v>
      </c>
      <c r="M76" s="20">
        <f>[1]Grp_2!L64</f>
        <v>36.724299999999999</v>
      </c>
      <c r="N76" s="20">
        <f>[1]Grp_2!M64</f>
        <v>0</v>
      </c>
      <c r="O76" s="20">
        <f>[1]Grp_2!N64</f>
        <v>0</v>
      </c>
      <c r="P76" s="20">
        <f>[1]Grp_2!O64</f>
        <v>0</v>
      </c>
      <c r="Q76" s="20">
        <f>[1]Grp_2!P64</f>
        <v>0</v>
      </c>
      <c r="R76" s="20">
        <f>[1]Grp_2!Q64</f>
        <v>0</v>
      </c>
      <c r="S76" s="21">
        <f>[1]Grp_2!R74</f>
        <v>0</v>
      </c>
      <c r="T76" s="9"/>
      <c r="U76" s="9"/>
      <c r="V76" s="10"/>
    </row>
    <row r="77" spans="1:22">
      <c r="A77" s="2">
        <v>82</v>
      </c>
      <c r="B77" s="17" t="str">
        <f>[1]Grp_2!A83</f>
        <v>8110B</v>
      </c>
      <c r="C77" s="30" t="str">
        <f>[1]Grp_2!B83</f>
        <v>Team KaBuum</v>
      </c>
      <c r="D77" s="18" t="str">
        <f>[1]Grp_2!C83</f>
        <v>Mankato West High School</v>
      </c>
      <c r="E77" s="31" t="str">
        <f>[1]Grp_2!D83</f>
        <v>Mankato, Minnesota, United States</v>
      </c>
      <c r="F77" s="34">
        <f>[1]Grp_2!E83</f>
        <v>105</v>
      </c>
      <c r="G77" s="19">
        <f>[1]Grp_2!F83</f>
        <v>156</v>
      </c>
      <c r="H77" s="37">
        <f>[1]Grp_2!G83</f>
        <v>74.887799999999999</v>
      </c>
      <c r="I77" s="38">
        <f>[1]Grp_2!H83</f>
        <v>59.094000000000001</v>
      </c>
      <c r="J77" s="20">
        <f>[1]Grp_2!I83</f>
        <v>74.887799999999999</v>
      </c>
      <c r="K77" s="20">
        <f>[1]Grp_2!J83</f>
        <v>73.078599999999994</v>
      </c>
      <c r="L77" s="20">
        <f>[1]Grp_2!K83</f>
        <v>67.443299999999994</v>
      </c>
      <c r="M77" s="20">
        <f>[1]Grp_2!L83</f>
        <v>0</v>
      </c>
      <c r="N77" s="20">
        <f>[1]Grp_2!M83</f>
        <v>0</v>
      </c>
      <c r="O77" s="20">
        <f>[1]Grp_2!N83</f>
        <v>0</v>
      </c>
      <c r="P77" s="20">
        <f>[1]Grp_2!O83</f>
        <v>0</v>
      </c>
      <c r="Q77" s="20">
        <f>[1]Grp_2!P83</f>
        <v>0</v>
      </c>
      <c r="R77" s="20">
        <f>[1]Grp_2!Q83</f>
        <v>0</v>
      </c>
      <c r="S77" s="21">
        <f>[1]Grp_2!R75</f>
        <v>0</v>
      </c>
      <c r="T77" s="9"/>
      <c r="U77" s="9"/>
      <c r="V77" s="10"/>
    </row>
    <row r="78" spans="1:22">
      <c r="A78" s="2">
        <v>55</v>
      </c>
      <c r="B78" s="17" t="str">
        <f>[1]Grp_2!A56</f>
        <v>5139A</v>
      </c>
      <c r="C78" s="30" t="str">
        <f>[1]Grp_2!B56</f>
        <v>Robinson Bulldogs</v>
      </c>
      <c r="D78" s="18" t="str">
        <f>[1]Grp_2!C56</f>
        <v>Jay M Robinson High School</v>
      </c>
      <c r="E78" s="31" t="str">
        <f>[1]Grp_2!D56</f>
        <v>Concord, North Carolina, United States</v>
      </c>
      <c r="F78" s="34">
        <f>[1]Grp_2!E56</f>
        <v>70</v>
      </c>
      <c r="G78" s="19">
        <f>[1]Grp_2!F56</f>
        <v>121</v>
      </c>
      <c r="H78" s="37">
        <f>[1]Grp_2!G56</f>
        <v>74.551500000000004</v>
      </c>
      <c r="I78" s="38">
        <f>[1]Grp_2!H56</f>
        <v>74.551500000000004</v>
      </c>
      <c r="J78" s="20">
        <f>[1]Grp_2!I56</f>
        <v>49.181699999999999</v>
      </c>
      <c r="K78" s="20">
        <f>[1]Grp_2!J56</f>
        <v>42.923400000000001</v>
      </c>
      <c r="L78" s="20">
        <f>[1]Grp_2!K56</f>
        <v>22.5715</v>
      </c>
      <c r="M78" s="20">
        <f>[1]Grp_2!L56</f>
        <v>0</v>
      </c>
      <c r="N78" s="20">
        <f>[1]Grp_2!M56</f>
        <v>0</v>
      </c>
      <c r="O78" s="20">
        <f>[1]Grp_2!N56</f>
        <v>0</v>
      </c>
      <c r="P78" s="20">
        <f>[1]Grp_2!O56</f>
        <v>0</v>
      </c>
      <c r="Q78" s="20">
        <f>[1]Grp_2!P56</f>
        <v>0</v>
      </c>
      <c r="R78" s="20">
        <f>[1]Grp_2!Q56</f>
        <v>0</v>
      </c>
      <c r="S78" s="21">
        <f>[1]Grp_2!R76</f>
        <v>0</v>
      </c>
      <c r="T78" s="9"/>
      <c r="U78" s="9"/>
      <c r="V78" s="10"/>
    </row>
    <row r="79" spans="1:22">
      <c r="A79" s="2">
        <v>1</v>
      </c>
      <c r="B79" s="17" t="str">
        <f>[1]Grp_2!A2</f>
        <v>2S</v>
      </c>
      <c r="C79" s="30" t="str">
        <f>[1]Grp_2!B2</f>
        <v>Robosavages S</v>
      </c>
      <c r="D79" s="18" t="str">
        <f>[1]Grp_2!C2</f>
        <v>Gladstone</v>
      </c>
      <c r="E79" s="31" t="str">
        <f>[1]Grp_2!D2</f>
        <v>Vancouver, British Columbia, Canada</v>
      </c>
      <c r="F79" s="34">
        <f>[1]Grp_2!E2</f>
        <v>40</v>
      </c>
      <c r="G79" s="19">
        <f>[1]Grp_2!F2</f>
        <v>0</v>
      </c>
      <c r="H79" s="37">
        <f>[1]Grp_2!G2</f>
        <v>72.793099999999995</v>
      </c>
      <c r="I79" s="38">
        <f>[1]Grp_2!H2</f>
        <v>72.793099999999995</v>
      </c>
      <c r="J79" s="20">
        <f>[1]Grp_2!I2</f>
        <v>10.095800000000001</v>
      </c>
      <c r="K79" s="20">
        <f>[1]Grp_2!J2</f>
        <v>0</v>
      </c>
      <c r="L79" s="20">
        <f>[1]Grp_2!K2</f>
        <v>0</v>
      </c>
      <c r="M79" s="20">
        <f>[1]Grp_2!L2</f>
        <v>0</v>
      </c>
      <c r="N79" s="20">
        <f>[1]Grp_2!M2</f>
        <v>0</v>
      </c>
      <c r="O79" s="20">
        <f>[1]Grp_2!N2</f>
        <v>0</v>
      </c>
      <c r="P79" s="20">
        <f>[1]Grp_2!O2</f>
        <v>0</v>
      </c>
      <c r="Q79" s="20">
        <f>[1]Grp_2!P2</f>
        <v>0</v>
      </c>
      <c r="R79" s="20">
        <f>[1]Grp_2!Q2</f>
        <v>0</v>
      </c>
      <c r="S79" s="21">
        <f>[1]Grp_2!R77</f>
        <v>0</v>
      </c>
      <c r="T79" s="9"/>
      <c r="U79" s="9"/>
      <c r="V79" s="10"/>
    </row>
    <row r="80" spans="1:22">
      <c r="A80" s="2">
        <v>32</v>
      </c>
      <c r="B80" s="17" t="str">
        <f>[1]Grp_2!A33</f>
        <v>1983A</v>
      </c>
      <c r="C80" s="30" t="str">
        <f>[1]Grp_2!B33</f>
        <v>Alpha Skunks</v>
      </c>
      <c r="D80" s="18" t="str">
        <f>[1]Grp_2!C33</f>
        <v>Raisbeck Aviation High School</v>
      </c>
      <c r="E80" s="31" t="str">
        <f>[1]Grp_2!D33</f>
        <v>Seattle, Washington, United States</v>
      </c>
      <c r="F80" s="34">
        <f>[1]Grp_2!E33</f>
        <v>47</v>
      </c>
      <c r="G80" s="19">
        <f>[1]Grp_2!F33</f>
        <v>52</v>
      </c>
      <c r="H80" s="37">
        <f>[1]Grp_2!G33</f>
        <v>71.231800000000007</v>
      </c>
      <c r="I80" s="38">
        <f>[1]Grp_2!H33</f>
        <v>71.231800000000007</v>
      </c>
      <c r="J80" s="20">
        <f>[1]Grp_2!I33</f>
        <v>38.522500000000001</v>
      </c>
      <c r="K80" s="20">
        <f>[1]Grp_2!J33</f>
        <v>26.110800000000001</v>
      </c>
      <c r="L80" s="20">
        <f>[1]Grp_2!K33</f>
        <v>43.106299999999997</v>
      </c>
      <c r="M80" s="20">
        <f>[1]Grp_2!L33</f>
        <v>19.6313</v>
      </c>
      <c r="N80" s="20">
        <f>[1]Grp_2!M33</f>
        <v>10.756500000000001</v>
      </c>
      <c r="O80" s="20">
        <f>[1]Grp_2!N33</f>
        <v>0</v>
      </c>
      <c r="P80" s="20">
        <f>[1]Grp_2!O33</f>
        <v>0</v>
      </c>
      <c r="Q80" s="20">
        <f>[1]Grp_2!P33</f>
        <v>0</v>
      </c>
      <c r="R80" s="20">
        <f>[1]Grp_2!Q33</f>
        <v>0</v>
      </c>
      <c r="S80" s="21">
        <f>[1]Grp_2!R78</f>
        <v>0</v>
      </c>
      <c r="T80" s="9"/>
      <c r="U80" s="9"/>
      <c r="V80" s="10"/>
    </row>
    <row r="81" spans="1:22">
      <c r="A81" s="2">
        <v>65</v>
      </c>
      <c r="B81" s="17" t="str">
        <f>[1]Grp_2!A66</f>
        <v>6116D</v>
      </c>
      <c r="C81" s="30" t="str">
        <f>[1]Grp_2!B66</f>
        <v>Fluffy</v>
      </c>
      <c r="D81" s="18" t="str">
        <f>[1]Grp_2!C66</f>
        <v>Star Valley High School</v>
      </c>
      <c r="E81" s="31" t="str">
        <f>[1]Grp_2!D66</f>
        <v>Afton, Wyoming, United States</v>
      </c>
      <c r="F81" s="34">
        <f>[1]Grp_2!E66</f>
        <v>0</v>
      </c>
      <c r="G81" s="19">
        <f>[1]Grp_2!F66</f>
        <v>0</v>
      </c>
      <c r="H81" s="37">
        <f>[1]Grp_2!G66</f>
        <v>71.0608</v>
      </c>
      <c r="I81" s="38">
        <f>[1]Grp_2!H66</f>
        <v>54.820700000000002</v>
      </c>
      <c r="J81" s="20">
        <f>[1]Grp_2!I66</f>
        <v>71.0608</v>
      </c>
      <c r="K81" s="20">
        <f>[1]Grp_2!J66</f>
        <v>0</v>
      </c>
      <c r="L81" s="20">
        <f>[1]Grp_2!K66</f>
        <v>0</v>
      </c>
      <c r="M81" s="20">
        <f>[1]Grp_2!L66</f>
        <v>0</v>
      </c>
      <c r="N81" s="20">
        <f>[1]Grp_2!M66</f>
        <v>0</v>
      </c>
      <c r="O81" s="20">
        <f>[1]Grp_2!N66</f>
        <v>0</v>
      </c>
      <c r="P81" s="20">
        <f>[1]Grp_2!O66</f>
        <v>0</v>
      </c>
      <c r="Q81" s="20">
        <f>[1]Grp_2!P66</f>
        <v>0</v>
      </c>
      <c r="R81" s="20">
        <f>[1]Grp_2!Q66</f>
        <v>0</v>
      </c>
      <c r="S81" s="21">
        <f>[1]Grp_2!R79</f>
        <v>0</v>
      </c>
      <c r="T81" s="9"/>
      <c r="U81" s="9"/>
      <c r="V81" s="10"/>
    </row>
    <row r="82" spans="1:22">
      <c r="A82" s="2">
        <v>85</v>
      </c>
      <c r="B82" s="17" t="str">
        <f>[1]Grp_2!A86</f>
        <v>8615C</v>
      </c>
      <c r="C82" s="30" t="str">
        <f>[1]Grp_2!B86</f>
        <v>The Vexecutors</v>
      </c>
      <c r="D82" s="18" t="str">
        <f>[1]Grp_2!C86</f>
        <v>New Hope High School</v>
      </c>
      <c r="E82" s="31" t="str">
        <f>[1]Grp_2!D86</f>
        <v>Columbus, Mississippi, United States</v>
      </c>
      <c r="F82" s="34">
        <f>[1]Grp_2!E86</f>
        <v>63</v>
      </c>
      <c r="G82" s="19">
        <f>[1]Grp_2!F86</f>
        <v>0</v>
      </c>
      <c r="H82" s="37">
        <f>[1]Grp_2!G86</f>
        <v>70.462599999999995</v>
      </c>
      <c r="I82" s="38">
        <f>[1]Grp_2!H86</f>
        <v>49.458300000000001</v>
      </c>
      <c r="J82" s="20">
        <f>[1]Grp_2!I86</f>
        <v>70.462599999999995</v>
      </c>
      <c r="K82" s="20">
        <f>[1]Grp_2!J86</f>
        <v>38.732700000000001</v>
      </c>
      <c r="L82" s="20">
        <f>[1]Grp_2!K86</f>
        <v>41.4636</v>
      </c>
      <c r="M82" s="20">
        <f>[1]Grp_2!L86</f>
        <v>7.6658799999999996</v>
      </c>
      <c r="N82" s="20">
        <f>[1]Grp_2!M86</f>
        <v>22.927600000000002</v>
      </c>
      <c r="O82" s="20">
        <f>[1]Grp_2!N86</f>
        <v>0</v>
      </c>
      <c r="P82" s="20">
        <f>[1]Grp_2!O86</f>
        <v>0</v>
      </c>
      <c r="Q82" s="20">
        <f>[1]Grp_2!P86</f>
        <v>0</v>
      </c>
      <c r="R82" s="20">
        <f>[1]Grp_2!Q86</f>
        <v>0</v>
      </c>
      <c r="S82" s="21">
        <f>[1]Grp_2!R80</f>
        <v>0</v>
      </c>
      <c r="T82" s="9"/>
      <c r="U82" s="9"/>
      <c r="V82" s="10"/>
    </row>
    <row r="83" spans="1:22">
      <c r="A83" s="2">
        <v>99</v>
      </c>
      <c r="B83" s="17" t="str">
        <f>[1]Grp_2!A100</f>
        <v>99484</v>
      </c>
      <c r="C83" s="30" t="str">
        <f>[1]Grp_2!B100</f>
        <v>Knights</v>
      </c>
      <c r="D83" s="18" t="str">
        <f>[1]Grp_2!C100</f>
        <v>Christian Academy in Japan</v>
      </c>
      <c r="E83" s="31" t="str">
        <f>[1]Grp_2!D100</f>
        <v>Higashi Kurume, Tokyo, Japan</v>
      </c>
      <c r="F83" s="34">
        <f>[1]Grp_2!E100</f>
        <v>45</v>
      </c>
      <c r="G83" s="19">
        <f>[1]Grp_2!F100</f>
        <v>80</v>
      </c>
      <c r="H83" s="37">
        <f>[1]Grp_2!G100</f>
        <v>68.050200000000004</v>
      </c>
      <c r="I83" s="38">
        <f>[1]Grp_2!H100</f>
        <v>68.050200000000004</v>
      </c>
      <c r="J83" s="20">
        <f>[1]Grp_2!I100</f>
        <v>0</v>
      </c>
      <c r="K83" s="20">
        <f>[1]Grp_2!J100</f>
        <v>0</v>
      </c>
      <c r="L83" s="20">
        <f>[1]Grp_2!K100</f>
        <v>0</v>
      </c>
      <c r="M83" s="20">
        <f>[1]Grp_2!L100</f>
        <v>0</v>
      </c>
      <c r="N83" s="20">
        <f>[1]Grp_2!M100</f>
        <v>0</v>
      </c>
      <c r="O83" s="20">
        <f>[1]Grp_2!N100</f>
        <v>0</v>
      </c>
      <c r="P83" s="20">
        <f>[1]Grp_2!O100</f>
        <v>0</v>
      </c>
      <c r="Q83" s="20">
        <f>[1]Grp_2!P100</f>
        <v>0</v>
      </c>
      <c r="R83" s="20">
        <f>[1]Grp_2!Q100</f>
        <v>0</v>
      </c>
      <c r="S83" s="21">
        <f>[1]Grp_2!R81</f>
        <v>0</v>
      </c>
      <c r="T83" s="9"/>
      <c r="U83" s="9"/>
      <c r="V83" s="10"/>
    </row>
    <row r="84" spans="1:22">
      <c r="A84" s="2">
        <v>89</v>
      </c>
      <c r="B84" s="17" t="str">
        <f>[1]Grp_2!A90</f>
        <v>8931A</v>
      </c>
      <c r="C84" s="30" t="str">
        <f>[1]Grp_2!B90</f>
        <v>V-Bots The 5 Guys</v>
      </c>
      <c r="D84" s="18" t="str">
        <f>[1]Grp_2!C90</f>
        <v>Lake Stevens High</v>
      </c>
      <c r="E84" s="31" t="str">
        <f>[1]Grp_2!D90</f>
        <v>Lake Stevens, Washington, United States</v>
      </c>
      <c r="F84" s="34">
        <f>[1]Grp_2!E90</f>
        <v>30</v>
      </c>
      <c r="G84" s="19">
        <f>[1]Grp_2!F90</f>
        <v>88</v>
      </c>
      <c r="H84" s="37">
        <f>[1]Grp_2!G90</f>
        <v>66.414500000000004</v>
      </c>
      <c r="I84" s="38">
        <f>[1]Grp_2!H90</f>
        <v>66.414500000000004</v>
      </c>
      <c r="J84" s="20">
        <f>[1]Grp_2!I90</f>
        <v>36.633499999999998</v>
      </c>
      <c r="K84" s="20">
        <f>[1]Grp_2!J90</f>
        <v>18.855</v>
      </c>
      <c r="L84" s="20">
        <f>[1]Grp_2!K90</f>
        <v>19.968499999999999</v>
      </c>
      <c r="M84" s="20">
        <f>[1]Grp_2!L90</f>
        <v>26.578600000000002</v>
      </c>
      <c r="N84" s="20">
        <f>[1]Grp_2!M90</f>
        <v>0</v>
      </c>
      <c r="O84" s="20">
        <f>[1]Grp_2!N90</f>
        <v>0</v>
      </c>
      <c r="P84" s="20">
        <f>[1]Grp_2!O90</f>
        <v>0</v>
      </c>
      <c r="Q84" s="20">
        <f>[1]Grp_2!P90</f>
        <v>0</v>
      </c>
      <c r="R84" s="20">
        <f>[1]Grp_2!Q90</f>
        <v>0</v>
      </c>
      <c r="S84" s="21">
        <f>[1]Grp_2!R82</f>
        <v>0</v>
      </c>
      <c r="T84" s="9"/>
      <c r="U84" s="9"/>
      <c r="V84" s="10"/>
    </row>
    <row r="85" spans="1:22">
      <c r="A85" s="2">
        <v>48</v>
      </c>
      <c r="B85" s="17" t="str">
        <f>[1]Grp_2!A49</f>
        <v>4194E</v>
      </c>
      <c r="C85" s="30" t="str">
        <f>[1]Grp_2!B49</f>
        <v>TAS E</v>
      </c>
      <c r="D85" s="18" t="str">
        <f>[1]Grp_2!C49</f>
        <v>Taipei American School</v>
      </c>
      <c r="E85" s="31" t="str">
        <f>[1]Grp_2!D49</f>
        <v>Taipei, Not Applicable or Not Listed, Taiwan</v>
      </c>
      <c r="F85" s="34">
        <f>[1]Grp_2!E49</f>
        <v>166</v>
      </c>
      <c r="G85" s="19">
        <f>[1]Grp_2!F49</f>
        <v>153</v>
      </c>
      <c r="H85" s="37">
        <f>[1]Grp_2!G49</f>
        <v>66.361900000000006</v>
      </c>
      <c r="I85" s="38">
        <f>[1]Grp_2!H49</f>
        <v>66.361900000000006</v>
      </c>
      <c r="J85" s="20">
        <f>[1]Grp_2!I49</f>
        <v>0</v>
      </c>
      <c r="K85" s="20">
        <f>[1]Grp_2!J49</f>
        <v>0</v>
      </c>
      <c r="L85" s="20">
        <f>[1]Grp_2!K49</f>
        <v>0</v>
      </c>
      <c r="M85" s="20">
        <f>[1]Grp_2!L49</f>
        <v>0</v>
      </c>
      <c r="N85" s="20">
        <f>[1]Grp_2!M49</f>
        <v>0</v>
      </c>
      <c r="O85" s="20">
        <f>[1]Grp_2!N49</f>
        <v>0</v>
      </c>
      <c r="P85" s="20">
        <f>[1]Grp_2!O49</f>
        <v>0</v>
      </c>
      <c r="Q85" s="20">
        <f>[1]Grp_2!P49</f>
        <v>0</v>
      </c>
      <c r="R85" s="20">
        <f>[1]Grp_2!Q49</f>
        <v>0</v>
      </c>
      <c r="S85" s="21">
        <f>[1]Grp_2!R83</f>
        <v>0</v>
      </c>
      <c r="T85" s="9"/>
      <c r="U85" s="9"/>
      <c r="V85" s="10"/>
    </row>
    <row r="86" spans="1:22">
      <c r="A86" s="2">
        <v>17</v>
      </c>
      <c r="B86" s="17" t="str">
        <f>[1]Grp_2!A18</f>
        <v>750W</v>
      </c>
      <c r="C86" s="30" t="str">
        <f>[1]Grp_2!B18</f>
        <v>Wolves</v>
      </c>
      <c r="D86" s="18" t="str">
        <f>[1]Grp_2!C18</f>
        <v>South Brunswick High School</v>
      </c>
      <c r="E86" s="31" t="str">
        <f>[1]Grp_2!D18</f>
        <v>Monmouth Junction, New Jersey, United States</v>
      </c>
      <c r="F86" s="34">
        <f>[1]Grp_2!E18</f>
        <v>90</v>
      </c>
      <c r="G86" s="19">
        <f>[1]Grp_2!F18</f>
        <v>84</v>
      </c>
      <c r="H86" s="37">
        <f>[1]Grp_2!G18</f>
        <v>62.814700000000002</v>
      </c>
      <c r="I86" s="38">
        <f>[1]Grp_2!H18</f>
        <v>62.814700000000002</v>
      </c>
      <c r="J86" s="20">
        <f>[1]Grp_2!I18</f>
        <v>21.888999999999999</v>
      </c>
      <c r="K86" s="20">
        <f>[1]Grp_2!J18</f>
        <v>35.762599999999999</v>
      </c>
      <c r="L86" s="20">
        <f>[1]Grp_2!K18</f>
        <v>35.156300000000002</v>
      </c>
      <c r="M86" s="20">
        <f>[1]Grp_2!L18</f>
        <v>4.2846000000000002</v>
      </c>
      <c r="N86" s="20">
        <f>[1]Grp_2!M18</f>
        <v>0</v>
      </c>
      <c r="O86" s="20">
        <f>[1]Grp_2!N18</f>
        <v>0</v>
      </c>
      <c r="P86" s="20">
        <f>[1]Grp_2!O18</f>
        <v>0</v>
      </c>
      <c r="Q86" s="20">
        <f>[1]Grp_2!P18</f>
        <v>0</v>
      </c>
      <c r="R86" s="20">
        <f>[1]Grp_2!Q18</f>
        <v>0</v>
      </c>
      <c r="S86" s="21">
        <f>[1]Grp_2!R84</f>
        <v>0</v>
      </c>
      <c r="T86" s="9"/>
      <c r="U86" s="9"/>
      <c r="V86" s="10"/>
    </row>
    <row r="87" spans="1:22">
      <c r="A87" s="2">
        <v>10</v>
      </c>
      <c r="B87" s="17" t="str">
        <f>[1]Grp_2!A11</f>
        <v>288A</v>
      </c>
      <c r="C87" s="30" t="str">
        <f>[1]Grp_2!B11</f>
        <v>Robotic Legion</v>
      </c>
      <c r="D87" s="18" t="str">
        <f>[1]Grp_2!C11</f>
        <v>Grandville High School</v>
      </c>
      <c r="E87" s="31" t="str">
        <f>[1]Grp_2!D11</f>
        <v>Grandville, Michigan, United States</v>
      </c>
      <c r="F87" s="34">
        <f>[1]Grp_2!E11</f>
        <v>38</v>
      </c>
      <c r="G87" s="19">
        <f>[1]Grp_2!F11</f>
        <v>12</v>
      </c>
      <c r="H87" s="37">
        <f>[1]Grp_2!G11</f>
        <v>61.6402</v>
      </c>
      <c r="I87" s="38">
        <f>[1]Grp_2!H11</f>
        <v>61.6402</v>
      </c>
      <c r="J87" s="20">
        <f>[1]Grp_2!I11</f>
        <v>19.649999999999999</v>
      </c>
      <c r="K87" s="20">
        <f>[1]Grp_2!J11</f>
        <v>45.9343</v>
      </c>
      <c r="L87" s="20">
        <f>[1]Grp_2!K11</f>
        <v>41.956899999999997</v>
      </c>
      <c r="M87" s="20">
        <f>[1]Grp_2!L11</f>
        <v>17.892900000000001</v>
      </c>
      <c r="N87" s="20">
        <f>[1]Grp_2!M11</f>
        <v>0</v>
      </c>
      <c r="O87" s="20">
        <f>[1]Grp_2!N11</f>
        <v>0</v>
      </c>
      <c r="P87" s="20">
        <f>[1]Grp_2!O11</f>
        <v>0</v>
      </c>
      <c r="Q87" s="20">
        <f>[1]Grp_2!P11</f>
        <v>0</v>
      </c>
      <c r="R87" s="20">
        <f>[1]Grp_2!Q11</f>
        <v>0</v>
      </c>
      <c r="S87" s="21">
        <f>[1]Grp_2!R85</f>
        <v>0</v>
      </c>
      <c r="T87" s="9"/>
      <c r="U87" s="9"/>
      <c r="V87" s="10"/>
    </row>
    <row r="88" spans="1:22">
      <c r="A88" s="2">
        <v>64</v>
      </c>
      <c r="B88" s="17" t="str">
        <f>[1]Grp_2!A65</f>
        <v>6024B</v>
      </c>
      <c r="C88" s="30" t="str">
        <f>[1]Grp_2!B65</f>
        <v>Bruhsiden</v>
      </c>
      <c r="D88" s="18" t="str">
        <f>[1]Grp_2!C65</f>
        <v>Fosston High School</v>
      </c>
      <c r="E88" s="31" t="str">
        <f>[1]Grp_2!D65</f>
        <v>Fosston, Minnesota, United States</v>
      </c>
      <c r="F88" s="34">
        <f>[1]Grp_2!E65</f>
        <v>137</v>
      </c>
      <c r="G88" s="19">
        <f>[1]Grp_2!F65</f>
        <v>108</v>
      </c>
      <c r="H88" s="37">
        <f>[1]Grp_2!G65</f>
        <v>59.362900000000003</v>
      </c>
      <c r="I88" s="38">
        <f>[1]Grp_2!H65</f>
        <v>59.362900000000003</v>
      </c>
      <c r="J88" s="20">
        <f>[1]Grp_2!I65</f>
        <v>23.5596</v>
      </c>
      <c r="K88" s="20">
        <f>[1]Grp_2!J65</f>
        <v>19.370899999999999</v>
      </c>
      <c r="L88" s="20">
        <f>[1]Grp_2!K65</f>
        <v>9.3122900000000008</v>
      </c>
      <c r="M88" s="20">
        <f>[1]Grp_2!L65</f>
        <v>0</v>
      </c>
      <c r="N88" s="20">
        <f>[1]Grp_2!M65</f>
        <v>0</v>
      </c>
      <c r="O88" s="20">
        <f>[1]Grp_2!N65</f>
        <v>0</v>
      </c>
      <c r="P88" s="20">
        <f>[1]Grp_2!O65</f>
        <v>0</v>
      </c>
      <c r="Q88" s="20">
        <f>[1]Grp_2!P65</f>
        <v>0</v>
      </c>
      <c r="R88" s="20">
        <f>[1]Grp_2!Q65</f>
        <v>0</v>
      </c>
      <c r="S88" s="21">
        <f>[1]Grp_2!R86</f>
        <v>0</v>
      </c>
      <c r="T88" s="9"/>
      <c r="U88" s="9"/>
      <c r="V88" s="10"/>
    </row>
    <row r="89" spans="1:22">
      <c r="A89" s="2">
        <v>74</v>
      </c>
      <c r="B89" s="17" t="str">
        <f>[1]Grp_2!A75</f>
        <v>7238</v>
      </c>
      <c r="C89" s="30" t="str">
        <f>[1]Grp_2!B75</f>
        <v>Xiamen FLSch A</v>
      </c>
      <c r="D89" s="18" t="str">
        <f>[1]Grp_2!C75</f>
        <v>Xiamen Foreign Language School</v>
      </c>
      <c r="E89" s="31" t="str">
        <f>[1]Grp_2!D75</f>
        <v>xiamen, Not Applicable or Not Listed, China</v>
      </c>
      <c r="F89" s="34">
        <f>[1]Grp_2!E75</f>
        <v>0</v>
      </c>
      <c r="G89" s="19">
        <f>[1]Grp_2!F75</f>
        <v>0</v>
      </c>
      <c r="H89" s="37">
        <f>[1]Grp_2!G75</f>
        <v>58.991799999999998</v>
      </c>
      <c r="I89" s="38">
        <f>[1]Grp_2!H75</f>
        <v>58.991799999999998</v>
      </c>
      <c r="J89" s="20">
        <f>[1]Grp_2!I75</f>
        <v>0</v>
      </c>
      <c r="K89" s="20">
        <f>[1]Grp_2!J75</f>
        <v>0</v>
      </c>
      <c r="L89" s="20">
        <f>[1]Grp_2!K75</f>
        <v>0</v>
      </c>
      <c r="M89" s="20">
        <f>[1]Grp_2!L75</f>
        <v>0</v>
      </c>
      <c r="N89" s="20">
        <f>[1]Grp_2!M75</f>
        <v>0</v>
      </c>
      <c r="O89" s="20">
        <f>[1]Grp_2!N75</f>
        <v>0</v>
      </c>
      <c r="P89" s="20">
        <f>[1]Grp_2!O75</f>
        <v>0</v>
      </c>
      <c r="Q89" s="20">
        <f>[1]Grp_2!P75</f>
        <v>0</v>
      </c>
      <c r="R89" s="20">
        <f>[1]Grp_2!Q75</f>
        <v>0</v>
      </c>
      <c r="S89" s="21">
        <f>[1]Grp_2!R87</f>
        <v>0</v>
      </c>
      <c r="T89" s="9"/>
      <c r="U89" s="9"/>
      <c r="V89" s="10"/>
    </row>
    <row r="90" spans="1:22">
      <c r="A90" s="2">
        <v>19</v>
      </c>
      <c r="B90" s="17" t="str">
        <f>[1]Grp_2!A20</f>
        <v>929Y</v>
      </c>
      <c r="C90" s="30" t="str">
        <f>[1]Grp_2!B20</f>
        <v>Hereford Zone Robotics</v>
      </c>
      <c r="D90" s="18" t="str">
        <f>[1]Grp_2!C20</f>
        <v>Hereford High School</v>
      </c>
      <c r="E90" s="31" t="str">
        <f>[1]Grp_2!D20</f>
        <v>Parkton, Maryland, United States</v>
      </c>
      <c r="F90" s="34">
        <f>[1]Grp_2!E20</f>
        <v>81</v>
      </c>
      <c r="G90" s="19">
        <f>[1]Grp_2!F20</f>
        <v>246</v>
      </c>
      <c r="H90" s="37">
        <f>[1]Grp_2!G20</f>
        <v>57.278300000000002</v>
      </c>
      <c r="I90" s="38">
        <f>[1]Grp_2!H20</f>
        <v>56.841099999999997</v>
      </c>
      <c r="J90" s="20">
        <f>[1]Grp_2!I20</f>
        <v>46.202100000000002</v>
      </c>
      <c r="K90" s="20">
        <f>[1]Grp_2!J20</f>
        <v>57.278300000000002</v>
      </c>
      <c r="L90" s="20">
        <f>[1]Grp_2!K20</f>
        <v>30.563700000000001</v>
      </c>
      <c r="M90" s="20">
        <f>[1]Grp_2!L20</f>
        <v>50.9739</v>
      </c>
      <c r="N90" s="20">
        <f>[1]Grp_2!M20</f>
        <v>21.792100000000001</v>
      </c>
      <c r="O90" s="20">
        <f>[1]Grp_2!N20</f>
        <v>16.838799999999999</v>
      </c>
      <c r="P90" s="20">
        <f>[1]Grp_2!O20</f>
        <v>0</v>
      </c>
      <c r="Q90" s="20">
        <f>[1]Grp_2!P20</f>
        <v>0</v>
      </c>
      <c r="R90" s="20">
        <f>[1]Grp_2!Q20</f>
        <v>0</v>
      </c>
      <c r="S90" s="21">
        <f>[1]Grp_2!R88</f>
        <v>0</v>
      </c>
      <c r="T90" s="9"/>
      <c r="U90" s="9"/>
      <c r="V90" s="10"/>
    </row>
    <row r="91" spans="1:22">
      <c r="A91" s="2">
        <v>88</v>
      </c>
      <c r="B91" s="17" t="str">
        <f>[1]Grp_2!A89</f>
        <v>8855</v>
      </c>
      <c r="C91" s="30" t="str">
        <f>[1]Grp_2!B89</f>
        <v>INT. DE EST. SUP. DE MTY.</v>
      </c>
      <c r="D91" s="18" t="str">
        <f>[1]Grp_2!C89</f>
        <v>INT. DE EST. SUP. DE MONTERREY (CAMPUS SALTILLO)</v>
      </c>
      <c r="E91" s="31" t="str">
        <f>[1]Grp_2!D89</f>
        <v>SALTILLO, Coahuila, Mexico</v>
      </c>
      <c r="F91" s="34">
        <f>[1]Grp_2!E89</f>
        <v>59</v>
      </c>
      <c r="G91" s="19">
        <f>[1]Grp_2!F89</f>
        <v>0</v>
      </c>
      <c r="H91" s="37">
        <f>[1]Grp_2!G89</f>
        <v>53.118200000000002</v>
      </c>
      <c r="I91" s="38">
        <f>[1]Grp_2!H89</f>
        <v>53.118200000000002</v>
      </c>
      <c r="J91" s="20">
        <f>[1]Grp_2!I89</f>
        <v>45.713500000000003</v>
      </c>
      <c r="K91" s="20">
        <f>[1]Grp_2!J89</f>
        <v>20.406099999999999</v>
      </c>
      <c r="L91" s="20">
        <f>[1]Grp_2!K89</f>
        <v>48.7956</v>
      </c>
      <c r="M91" s="20">
        <f>[1]Grp_2!L89</f>
        <v>0</v>
      </c>
      <c r="N91" s="20">
        <f>[1]Grp_2!M89</f>
        <v>0</v>
      </c>
      <c r="O91" s="20">
        <f>[1]Grp_2!N89</f>
        <v>0</v>
      </c>
      <c r="P91" s="20">
        <f>[1]Grp_2!O89</f>
        <v>0</v>
      </c>
      <c r="Q91" s="20">
        <f>[1]Grp_2!P89</f>
        <v>0</v>
      </c>
      <c r="R91" s="20">
        <f>[1]Grp_2!Q89</f>
        <v>0</v>
      </c>
      <c r="S91" s="21">
        <f>[1]Grp_2!R89</f>
        <v>0</v>
      </c>
      <c r="T91" s="9"/>
      <c r="U91" s="9"/>
      <c r="V91" s="10"/>
    </row>
    <row r="92" spans="1:22">
      <c r="A92" s="2">
        <v>25</v>
      </c>
      <c r="B92" s="17" t="str">
        <f>[1]Grp_2!A26</f>
        <v>1320D</v>
      </c>
      <c r="C92" s="30" t="str">
        <f>[1]Grp_2!B26</f>
        <v>Tucker High Robotigers</v>
      </c>
      <c r="D92" s="18" t="str">
        <f>[1]Grp_2!C26</f>
        <v>Tucker High School - DeKalb County School Sytem</v>
      </c>
      <c r="E92" s="31" t="str">
        <f>[1]Grp_2!D26</f>
        <v>Tucker, Georgia, United States</v>
      </c>
      <c r="F92" s="34">
        <f>[1]Grp_2!E26</f>
        <v>234</v>
      </c>
      <c r="G92" s="19">
        <f>[1]Grp_2!F26</f>
        <v>57</v>
      </c>
      <c r="H92" s="37">
        <f>[1]Grp_2!G26</f>
        <v>47.071399999999997</v>
      </c>
      <c r="I92" s="38">
        <f>[1]Grp_2!H26</f>
        <v>45.526299999999999</v>
      </c>
      <c r="J92" s="20">
        <f>[1]Grp_2!I26</f>
        <v>47.071399999999997</v>
      </c>
      <c r="K92" s="20">
        <f>[1]Grp_2!J26</f>
        <v>15.896100000000001</v>
      </c>
      <c r="L92" s="20">
        <f>[1]Grp_2!K26</f>
        <v>16.486899999999999</v>
      </c>
      <c r="M92" s="20">
        <f>[1]Grp_2!L26</f>
        <v>13.768700000000001</v>
      </c>
      <c r="N92" s="20">
        <f>[1]Grp_2!M26</f>
        <v>0</v>
      </c>
      <c r="O92" s="20">
        <f>[1]Grp_2!N26</f>
        <v>0</v>
      </c>
      <c r="P92" s="20">
        <f>[1]Grp_2!O26</f>
        <v>0</v>
      </c>
      <c r="Q92" s="20">
        <f>[1]Grp_2!P26</f>
        <v>0</v>
      </c>
      <c r="R92" s="20">
        <f>[1]Grp_2!Q26</f>
        <v>0</v>
      </c>
      <c r="S92" s="21">
        <f>[1]Grp_2!R90</f>
        <v>0</v>
      </c>
      <c r="T92" s="9"/>
      <c r="U92" s="9"/>
      <c r="V92" s="10"/>
    </row>
    <row r="93" spans="1:22">
      <c r="A93" s="2">
        <v>39</v>
      </c>
      <c r="B93" s="17" t="str">
        <f>[1]Grp_2!A40</f>
        <v>2777N</v>
      </c>
      <c r="C93" s="30" t="str">
        <f>[1]Grp_2!B40</f>
        <v>2andthree7'sthenaN</v>
      </c>
      <c r="D93" s="18" t="str">
        <f>[1]Grp_2!C40</f>
        <v>McMichael HS</v>
      </c>
      <c r="E93" s="31" t="str">
        <f>[1]Grp_2!D40</f>
        <v>Mayodan, North Carolina, United States</v>
      </c>
      <c r="F93" s="34">
        <f>[1]Grp_2!E40</f>
        <v>43</v>
      </c>
      <c r="G93" s="19">
        <f>[1]Grp_2!F40</f>
        <v>7</v>
      </c>
      <c r="H93" s="37">
        <f>[1]Grp_2!G40</f>
        <v>34.226599999999998</v>
      </c>
      <c r="I93" s="38">
        <f>[1]Grp_2!H40</f>
        <v>27.181000000000001</v>
      </c>
      <c r="J93" s="20">
        <f>[1]Grp_2!I40</f>
        <v>34.226599999999998</v>
      </c>
      <c r="K93" s="20">
        <f>[1]Grp_2!J40</f>
        <v>22.118200000000002</v>
      </c>
      <c r="L93" s="20">
        <f>[1]Grp_2!K40</f>
        <v>0</v>
      </c>
      <c r="M93" s="20">
        <f>[1]Grp_2!L40</f>
        <v>0</v>
      </c>
      <c r="N93" s="20">
        <f>[1]Grp_2!M40</f>
        <v>0</v>
      </c>
      <c r="O93" s="20">
        <f>[1]Grp_2!N40</f>
        <v>0</v>
      </c>
      <c r="P93" s="20">
        <f>[1]Grp_2!O40</f>
        <v>0</v>
      </c>
      <c r="Q93" s="20">
        <f>[1]Grp_2!P40</f>
        <v>0</v>
      </c>
      <c r="R93" s="20">
        <f>[1]Grp_2!Q40</f>
        <v>0</v>
      </c>
      <c r="S93" s="21">
        <f>[1]Grp_2!R91</f>
        <v>0</v>
      </c>
      <c r="T93" s="9"/>
      <c r="U93" s="9"/>
      <c r="V93" s="10"/>
    </row>
    <row r="94" spans="1:22">
      <c r="A94" s="2">
        <v>84</v>
      </c>
      <c r="B94" s="17" t="str">
        <f>[1]Grp_2!A85</f>
        <v>8505X</v>
      </c>
      <c r="C94" s="30" t="str">
        <f>[1]Grp_2!B85</f>
        <v>SPX Gold</v>
      </c>
      <c r="D94" s="18" t="str">
        <f>[1]Grp_2!C85</f>
        <v>St. Pius X High School</v>
      </c>
      <c r="E94" s="31" t="str">
        <f>[1]Grp_2!D85</f>
        <v>Albuquerque, New Mexico, United States</v>
      </c>
      <c r="F94" s="34">
        <f>[1]Grp_2!E85</f>
        <v>33</v>
      </c>
      <c r="G94" s="19">
        <f>[1]Grp_2!F85</f>
        <v>0</v>
      </c>
      <c r="H94" s="37">
        <f>[1]Grp_2!G85</f>
        <v>34.165500000000002</v>
      </c>
      <c r="I94" s="38">
        <f>[1]Grp_2!H85</f>
        <v>34.165500000000002</v>
      </c>
      <c r="J94" s="20">
        <f>[1]Grp_2!I85</f>
        <v>15.296099999999999</v>
      </c>
      <c r="K94" s="20">
        <f>[1]Grp_2!J85</f>
        <v>0</v>
      </c>
      <c r="L94" s="20">
        <f>[1]Grp_2!K85</f>
        <v>0</v>
      </c>
      <c r="M94" s="20">
        <f>[1]Grp_2!L85</f>
        <v>0</v>
      </c>
      <c r="N94" s="20">
        <f>[1]Grp_2!M85</f>
        <v>0</v>
      </c>
      <c r="O94" s="20">
        <f>[1]Grp_2!N85</f>
        <v>0</v>
      </c>
      <c r="P94" s="20">
        <f>[1]Grp_2!O85</f>
        <v>0</v>
      </c>
      <c r="Q94" s="20">
        <f>[1]Grp_2!P85</f>
        <v>0</v>
      </c>
      <c r="R94" s="20">
        <f>[1]Grp_2!Q85</f>
        <v>0</v>
      </c>
      <c r="S94" s="21">
        <f>[1]Grp_2!R92</f>
        <v>0</v>
      </c>
      <c r="T94" s="9"/>
      <c r="U94" s="9"/>
      <c r="V94" s="10"/>
    </row>
    <row r="95" spans="1:22">
      <c r="A95" s="2">
        <v>18</v>
      </c>
      <c r="B95" s="17" t="str">
        <f>[1]Grp_2!A19</f>
        <v>889E</v>
      </c>
      <c r="C95" s="30" t="str">
        <f>[1]Grp_2!B19</f>
        <v>Sarah Heinz House</v>
      </c>
      <c r="D95" s="18" t="str">
        <f>[1]Grp_2!C19</f>
        <v>Sarah Heinz House</v>
      </c>
      <c r="E95" s="31" t="str">
        <f>[1]Grp_2!D19</f>
        <v>Pittsburgh, Pennsylvania, United States</v>
      </c>
      <c r="F95" s="34">
        <f>[1]Grp_2!E19</f>
        <v>0</v>
      </c>
      <c r="G95" s="19">
        <f>[1]Grp_2!F19</f>
        <v>0</v>
      </c>
      <c r="H95" s="37">
        <f>[1]Grp_2!G19</f>
        <v>34.009700000000002</v>
      </c>
      <c r="I95" s="38">
        <f>[1]Grp_2!H19</f>
        <v>34.009700000000002</v>
      </c>
      <c r="J95" s="20">
        <f>[1]Grp_2!I19</f>
        <v>32.383499999999998</v>
      </c>
      <c r="K95" s="20">
        <f>[1]Grp_2!J19</f>
        <v>0</v>
      </c>
      <c r="L95" s="20">
        <f>[1]Grp_2!K19</f>
        <v>0</v>
      </c>
      <c r="M95" s="20">
        <f>[1]Grp_2!L19</f>
        <v>0</v>
      </c>
      <c r="N95" s="20">
        <f>[1]Grp_2!M19</f>
        <v>0</v>
      </c>
      <c r="O95" s="20">
        <f>[1]Grp_2!N19</f>
        <v>0</v>
      </c>
      <c r="P95" s="20">
        <f>[1]Grp_2!O19</f>
        <v>0</v>
      </c>
      <c r="Q95" s="20">
        <f>[1]Grp_2!P19</f>
        <v>0</v>
      </c>
      <c r="R95" s="20">
        <f>[1]Grp_2!Q19</f>
        <v>0</v>
      </c>
      <c r="S95" s="21">
        <f>[1]Grp_2!R93</f>
        <v>0</v>
      </c>
      <c r="T95" s="9"/>
      <c r="U95" s="9"/>
      <c r="V95" s="10"/>
    </row>
    <row r="96" spans="1:22">
      <c r="A96" s="2">
        <v>49</v>
      </c>
      <c r="B96" s="17" t="str">
        <f>[1]Grp_2!A50</f>
        <v>4393R</v>
      </c>
      <c r="C96" s="30" t="str">
        <f>[1]Grp_2!B50</f>
        <v>Penguins B</v>
      </c>
      <c r="D96" s="18" t="str">
        <f>[1]Grp_2!C50</f>
        <v>Maine School of Science and Mathematics</v>
      </c>
      <c r="E96" s="31" t="str">
        <f>[1]Grp_2!D50</f>
        <v>Limestone, Maine, United States</v>
      </c>
      <c r="F96" s="34">
        <f>[1]Grp_2!E50</f>
        <v>29</v>
      </c>
      <c r="G96" s="19">
        <f>[1]Grp_2!F50</f>
        <v>20</v>
      </c>
      <c r="H96" s="37">
        <f>[1]Grp_2!G50</f>
        <v>29.907499999999999</v>
      </c>
      <c r="I96" s="38">
        <f>[1]Grp_2!H50</f>
        <v>29.907499999999999</v>
      </c>
      <c r="J96" s="20">
        <f>[1]Grp_2!I50</f>
        <v>13.946999999999999</v>
      </c>
      <c r="K96" s="20">
        <f>[1]Grp_2!J50</f>
        <v>0</v>
      </c>
      <c r="L96" s="20">
        <f>[1]Grp_2!K50</f>
        <v>0</v>
      </c>
      <c r="M96" s="20">
        <f>[1]Grp_2!L50</f>
        <v>0</v>
      </c>
      <c r="N96" s="20">
        <f>[1]Grp_2!M50</f>
        <v>0</v>
      </c>
      <c r="O96" s="20">
        <f>[1]Grp_2!N50</f>
        <v>0</v>
      </c>
      <c r="P96" s="20">
        <f>[1]Grp_2!O50</f>
        <v>0</v>
      </c>
      <c r="Q96" s="20">
        <f>[1]Grp_2!P50</f>
        <v>0</v>
      </c>
      <c r="R96" s="20">
        <f>[1]Grp_2!Q50</f>
        <v>0</v>
      </c>
      <c r="S96" s="21">
        <f>[1]Grp_2!R94</f>
        <v>0</v>
      </c>
      <c r="T96" s="9"/>
      <c r="U96" s="9"/>
      <c r="V96" s="10"/>
    </row>
    <row r="97" spans="1:22">
      <c r="A97" s="2">
        <v>30</v>
      </c>
      <c r="B97" s="17" t="str">
        <f>[1]Grp_2!A31</f>
        <v>1623A</v>
      </c>
      <c r="C97" s="30" t="str">
        <f>[1]Grp_2!B31</f>
        <v>William Penn A</v>
      </c>
      <c r="D97" s="18" t="str">
        <f>[1]Grp_2!C31</f>
        <v>William Penn High School</v>
      </c>
      <c r="E97" s="31" t="str">
        <f>[1]Grp_2!D31</f>
        <v>New Castle, Delaware, United States</v>
      </c>
      <c r="F97" s="34">
        <f>[1]Grp_2!E31</f>
        <v>0</v>
      </c>
      <c r="G97" s="19">
        <f>[1]Grp_2!F31</f>
        <v>0</v>
      </c>
      <c r="H97" s="37">
        <f>[1]Grp_2!G31</f>
        <v>4.9701899999999997</v>
      </c>
      <c r="I97" s="38">
        <f>[1]Grp_2!H31</f>
        <v>4.9701899999999997</v>
      </c>
      <c r="J97" s="20">
        <f>[1]Grp_2!I31</f>
        <v>0</v>
      </c>
      <c r="K97" s="20">
        <f>[1]Grp_2!J31</f>
        <v>0</v>
      </c>
      <c r="L97" s="20">
        <f>[1]Grp_2!K31</f>
        <v>0</v>
      </c>
      <c r="M97" s="20">
        <f>[1]Grp_2!L31</f>
        <v>0</v>
      </c>
      <c r="N97" s="20">
        <f>[1]Grp_2!M31</f>
        <v>0</v>
      </c>
      <c r="O97" s="20">
        <f>[1]Grp_2!N31</f>
        <v>0</v>
      </c>
      <c r="P97" s="20">
        <f>[1]Grp_2!O31</f>
        <v>0</v>
      </c>
      <c r="Q97" s="20">
        <f>[1]Grp_2!P31</f>
        <v>0</v>
      </c>
      <c r="R97" s="20">
        <f>[1]Grp_2!Q31</f>
        <v>0</v>
      </c>
      <c r="S97" s="21">
        <f>[1]Grp_2!R95</f>
        <v>0</v>
      </c>
      <c r="T97" s="9"/>
      <c r="U97" s="9"/>
      <c r="V97" s="10"/>
    </row>
    <row r="98" spans="1:22">
      <c r="A98" s="2">
        <v>42</v>
      </c>
      <c r="B98" s="17" t="str">
        <f>[1]Grp_2!A43</f>
        <v>3288C</v>
      </c>
      <c r="C98" s="30" t="str">
        <f>[1]Grp_2!B43</f>
        <v>China ROBOTC</v>
      </c>
      <c r="D98" s="18" t="str">
        <f>[1]Grp_2!C43</f>
        <v>ChinaRobotC</v>
      </c>
      <c r="E98" s="31" t="str">
        <f>[1]Grp_2!D43</f>
        <v>Xi'an, N/A, China</v>
      </c>
      <c r="F98" s="34">
        <f>[1]Grp_2!E43</f>
        <v>0</v>
      </c>
      <c r="G98" s="19">
        <f>[1]Grp_2!F43</f>
        <v>320</v>
      </c>
      <c r="H98" s="37">
        <f>[1]Grp_2!G43</f>
        <v>0</v>
      </c>
      <c r="I98" s="38">
        <f>[1]Grp_2!H43</f>
        <v>0</v>
      </c>
      <c r="J98" s="20">
        <f>[1]Grp_2!I43</f>
        <v>0</v>
      </c>
      <c r="K98" s="20">
        <f>[1]Grp_2!J43</f>
        <v>0</v>
      </c>
      <c r="L98" s="20">
        <f>[1]Grp_2!K43</f>
        <v>0</v>
      </c>
      <c r="M98" s="20">
        <f>[1]Grp_2!L43</f>
        <v>0</v>
      </c>
      <c r="N98" s="20">
        <f>[1]Grp_2!M43</f>
        <v>0</v>
      </c>
      <c r="O98" s="20">
        <f>[1]Grp_2!N43</f>
        <v>0</v>
      </c>
      <c r="P98" s="20">
        <f>[1]Grp_2!O43</f>
        <v>0</v>
      </c>
      <c r="Q98" s="20">
        <f>[1]Grp_2!P43</f>
        <v>0</v>
      </c>
      <c r="R98" s="20">
        <f>[1]Grp_2!Q43</f>
        <v>0</v>
      </c>
      <c r="S98" s="21">
        <f>[1]Grp_2!R96</f>
        <v>0</v>
      </c>
      <c r="T98" s="9"/>
      <c r="U98" s="9"/>
      <c r="V98" s="10"/>
    </row>
    <row r="99" spans="1:22">
      <c r="A99" s="2">
        <v>69</v>
      </c>
      <c r="B99" s="17" t="str">
        <f>[1]Grp_2!A70</f>
        <v>6661A</v>
      </c>
      <c r="C99" s="30" t="str">
        <f>[1]Grp_2!B70</f>
        <v>Davis College</v>
      </c>
      <c r="D99" s="18" t="str">
        <f>[1]Grp_2!C70</f>
        <v>Davis College</v>
      </c>
      <c r="E99" s="31" t="str">
        <f>[1]Grp_2!D70</f>
        <v>Co. Cork, N/A, Ireland</v>
      </c>
      <c r="F99" s="34">
        <f>[1]Grp_2!E70</f>
        <v>0</v>
      </c>
      <c r="G99" s="19">
        <f>[1]Grp_2!F70</f>
        <v>0</v>
      </c>
      <c r="H99" s="37">
        <f>[1]Grp_2!G70</f>
        <v>0</v>
      </c>
      <c r="I99" s="38">
        <f>[1]Grp_2!H70</f>
        <v>0</v>
      </c>
      <c r="J99" s="20">
        <f>[1]Grp_2!I70</f>
        <v>0</v>
      </c>
      <c r="K99" s="20">
        <f>[1]Grp_2!J70</f>
        <v>0</v>
      </c>
      <c r="L99" s="20">
        <f>[1]Grp_2!K70</f>
        <v>0</v>
      </c>
      <c r="M99" s="20">
        <f>[1]Grp_2!L70</f>
        <v>0</v>
      </c>
      <c r="N99" s="20">
        <f>[1]Grp_2!M70</f>
        <v>0</v>
      </c>
      <c r="O99" s="20">
        <f>[1]Grp_2!N70</f>
        <v>0</v>
      </c>
      <c r="P99" s="20">
        <f>[1]Grp_2!O70</f>
        <v>0</v>
      </c>
      <c r="Q99" s="20">
        <f>[1]Grp_2!P70</f>
        <v>0</v>
      </c>
      <c r="R99" s="20">
        <f>[1]Grp_2!Q70</f>
        <v>0</v>
      </c>
      <c r="S99" s="21">
        <f>[1]Grp_2!R97</f>
        <v>0</v>
      </c>
      <c r="T99" s="9"/>
      <c r="U99" s="9"/>
      <c r="V99" s="10"/>
    </row>
    <row r="100" spans="1:22">
      <c r="A100" s="2">
        <v>79</v>
      </c>
      <c r="B100" s="17" t="str">
        <f>[1]Grp_2!A80</f>
        <v>7884A</v>
      </c>
      <c r="C100" s="30" t="str">
        <f>[1]Grp_2!B80</f>
        <v>HF NO.1 HS A</v>
      </c>
      <c r="D100" s="18" t="str">
        <f>[1]Grp_2!C80</f>
        <v>Hefei NO.1 High School</v>
      </c>
      <c r="E100" s="31" t="str">
        <f>[1]Grp_2!D80</f>
        <v>hefei, Not Applicable or Not Listed, China</v>
      </c>
      <c r="F100" s="34">
        <f>[1]Grp_2!E80</f>
        <v>0</v>
      </c>
      <c r="G100" s="19">
        <f>[1]Grp_2!F80</f>
        <v>0</v>
      </c>
      <c r="H100" s="37">
        <f>[1]Grp_2!G80</f>
        <v>0</v>
      </c>
      <c r="I100" s="38">
        <f>[1]Grp_2!H80</f>
        <v>0</v>
      </c>
      <c r="J100" s="20">
        <f>[1]Grp_2!I80</f>
        <v>0</v>
      </c>
      <c r="K100" s="20">
        <f>[1]Grp_2!J80</f>
        <v>0</v>
      </c>
      <c r="L100" s="20">
        <f>[1]Grp_2!K80</f>
        <v>0</v>
      </c>
      <c r="M100" s="20">
        <f>[1]Grp_2!L80</f>
        <v>0</v>
      </c>
      <c r="N100" s="20">
        <f>[1]Grp_2!M80</f>
        <v>0</v>
      </c>
      <c r="O100" s="20">
        <f>[1]Grp_2!N80</f>
        <v>0</v>
      </c>
      <c r="P100" s="20">
        <f>[1]Grp_2!O80</f>
        <v>0</v>
      </c>
      <c r="Q100" s="20">
        <f>[1]Grp_2!P80</f>
        <v>0</v>
      </c>
      <c r="R100" s="20">
        <f>[1]Grp_2!Q80</f>
        <v>0</v>
      </c>
      <c r="S100" s="21">
        <f>[1]Grp_2!R98</f>
        <v>0</v>
      </c>
      <c r="T100" s="9"/>
      <c r="U100" s="9"/>
      <c r="V100" s="10"/>
    </row>
    <row r="101" spans="1:22">
      <c r="A101" s="2">
        <v>97</v>
      </c>
      <c r="B101" s="17" t="str">
        <f>[1]Grp_2!A98</f>
        <v>19771</v>
      </c>
      <c r="C101" s="30" t="str">
        <f>[1]Grp_2!B98</f>
        <v xml:space="preserve">IKEN ETHIOPIA </v>
      </c>
      <c r="D101" s="18" t="str">
        <f>[1]Grp_2!C98</f>
        <v>iken ethiopia</v>
      </c>
      <c r="E101" s="31" t="str">
        <f>[1]Grp_2!D98</f>
        <v>ADDIS ABABA, N/A, Ethiopia</v>
      </c>
      <c r="F101" s="34">
        <f>[1]Grp_2!E98</f>
        <v>0</v>
      </c>
      <c r="G101" s="19">
        <f>[1]Grp_2!F98</f>
        <v>0</v>
      </c>
      <c r="H101" s="37">
        <f>[1]Grp_2!G98</f>
        <v>0</v>
      </c>
      <c r="I101" s="38">
        <f>[1]Grp_2!H98</f>
        <v>0</v>
      </c>
      <c r="J101" s="20">
        <f>[1]Grp_2!I98</f>
        <v>0</v>
      </c>
      <c r="K101" s="20">
        <f>[1]Grp_2!J98</f>
        <v>0</v>
      </c>
      <c r="L101" s="20">
        <f>[1]Grp_2!K98</f>
        <v>0</v>
      </c>
      <c r="M101" s="20">
        <f>[1]Grp_2!L98</f>
        <v>0</v>
      </c>
      <c r="N101" s="20">
        <f>[1]Grp_2!M98</f>
        <v>0</v>
      </c>
      <c r="O101" s="20">
        <f>[1]Grp_2!N98</f>
        <v>0</v>
      </c>
      <c r="P101" s="20">
        <f>[1]Grp_2!O98</f>
        <v>0</v>
      </c>
      <c r="Q101" s="20">
        <f>[1]Grp_2!P98</f>
        <v>0</v>
      </c>
      <c r="R101" s="20">
        <f>[1]Grp_2!Q98</f>
        <v>0</v>
      </c>
      <c r="S101" s="21">
        <f>[1]Grp_2!R99</f>
        <v>0</v>
      </c>
      <c r="T101" s="9"/>
      <c r="U101" s="9"/>
      <c r="V101" s="10"/>
    </row>
    <row r="102" spans="1:22">
      <c r="A102" s="2">
        <v>98</v>
      </c>
      <c r="B102" s="22" t="str">
        <f>[1]Grp_2!A99</f>
        <v>98472</v>
      </c>
      <c r="C102" s="32" t="str">
        <f>[1]Grp_2!B99</f>
        <v xml:space="preserve">M_A  Team </v>
      </c>
      <c r="D102" s="23" t="str">
        <f>[1]Grp_2!C99</f>
        <v>Suez Advanced Technical Schools</v>
      </c>
      <c r="E102" s="33" t="str">
        <f>[1]Grp_2!D99</f>
        <v>Suez, N/A, Egypt</v>
      </c>
      <c r="F102" s="36">
        <f>[1]Grp_2!E99</f>
        <v>0</v>
      </c>
      <c r="G102" s="24">
        <f>[1]Grp_2!F99</f>
        <v>0</v>
      </c>
      <c r="H102" s="39">
        <f>[1]Grp_2!G99</f>
        <v>0</v>
      </c>
      <c r="I102" s="40">
        <f>[1]Grp_2!H99</f>
        <v>0</v>
      </c>
      <c r="J102" s="25">
        <f>[1]Grp_2!I99</f>
        <v>0</v>
      </c>
      <c r="K102" s="25">
        <f>[1]Grp_2!J99</f>
        <v>0</v>
      </c>
      <c r="L102" s="25">
        <f>[1]Grp_2!K99</f>
        <v>0</v>
      </c>
      <c r="M102" s="25">
        <f>[1]Grp_2!L99</f>
        <v>0</v>
      </c>
      <c r="N102" s="25">
        <f>[1]Grp_2!M99</f>
        <v>0</v>
      </c>
      <c r="O102" s="25">
        <f>[1]Grp_2!N99</f>
        <v>0</v>
      </c>
      <c r="P102" s="25">
        <f>[1]Grp_2!O99</f>
        <v>0</v>
      </c>
      <c r="Q102" s="25">
        <f>[1]Grp_2!P99</f>
        <v>0</v>
      </c>
      <c r="R102" s="25">
        <f>[1]Grp_2!Q99</f>
        <v>0</v>
      </c>
      <c r="S102" s="26">
        <f>[1]Grp_2!R100</f>
        <v>0</v>
      </c>
      <c r="T102" s="9"/>
      <c r="U102" s="9"/>
      <c r="V102" s="10"/>
    </row>
    <row r="103" spans="1:22">
      <c r="A103" s="2">
        <v>100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2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2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6:21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6:21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6:21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6:21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6:21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6:21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6:21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6:21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6:21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6:21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6:21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6:21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6:21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6:21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6:21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6:21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6:21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6:21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6:21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6:21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6:21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6:21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6:21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6:21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6:21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6:21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6:21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6:21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6:21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6:21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6:21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6:21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6:21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6:21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6:21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6:21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6:21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6:21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6:21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6:21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6:21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6:21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6:21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6:21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6:21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6:21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6:21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6:21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6:21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6:21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6:21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6:21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6:21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6:21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6:21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6:21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6:21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6:21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6:21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6:21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6:21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6:21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6:21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6:21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6:21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6:21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6:21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6:21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6:21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6:21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6:21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6:21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6:21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6:21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6:21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6:21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6:21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6:21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6:21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6:21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6:21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6:21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6:21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6:21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6:21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6:21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6:21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6:21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6:21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6:21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6:21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6:21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6:21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6:21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6:21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6:21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6:21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6:21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6:21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6:21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6:21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6:21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6:21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6:21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6:21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6:21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6:21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6:21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6:21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6:21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6:21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6:21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6:21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6:21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6:21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6:21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6:21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6:21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6:21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6:21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6:21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6:21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6:21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6:21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6:21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6:21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6:21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6:21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6:21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6:21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6:21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6:21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6:21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  <row r="246" spans="6:21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</row>
    <row r="247" spans="6:21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</row>
    <row r="248" spans="6:21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</row>
    <row r="249" spans="6:21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</row>
    <row r="250" spans="6:21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</row>
    <row r="251" spans="6:21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</row>
    <row r="252" spans="6:21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</row>
    <row r="253" spans="6:21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</row>
    <row r="254" spans="6:21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</row>
    <row r="255" spans="6:21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</row>
    <row r="256" spans="6:21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</row>
    <row r="257" spans="6:21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</row>
    <row r="258" spans="6:21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</row>
    <row r="259" spans="6:21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</row>
    <row r="260" spans="6:21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</row>
    <row r="261" spans="6:21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</row>
    <row r="262" spans="6:21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</row>
    <row r="263" spans="6:21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</row>
    <row r="264" spans="6:21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</row>
    <row r="265" spans="6:21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</row>
    <row r="266" spans="6:21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</row>
    <row r="267" spans="6:21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</row>
    <row r="268" spans="6:21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</row>
    <row r="269" spans="6:21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</row>
    <row r="270" spans="6:21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</row>
    <row r="271" spans="6:21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</row>
    <row r="272" spans="6:21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</row>
    <row r="273" spans="6:21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</row>
    <row r="274" spans="6:21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</row>
    <row r="275" spans="6:21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</row>
    <row r="276" spans="6:21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</row>
    <row r="277" spans="6:21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</row>
    <row r="278" spans="6:21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</row>
    <row r="279" spans="6:21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</row>
    <row r="280" spans="6:21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</row>
    <row r="281" spans="6:21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</row>
    <row r="282" spans="6:21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</row>
    <row r="283" spans="6:21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</row>
    <row r="284" spans="6:21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</row>
    <row r="285" spans="6:21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</row>
    <row r="286" spans="6:21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</row>
    <row r="287" spans="6:21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</row>
    <row r="288" spans="6:21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</row>
    <row r="289" spans="6:21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</row>
    <row r="290" spans="6:21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</row>
    <row r="291" spans="6:21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</row>
    <row r="292" spans="6:21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</row>
    <row r="293" spans="6:21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</row>
    <row r="294" spans="6:21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</row>
    <row r="295" spans="6:21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</row>
    <row r="296" spans="6:21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</row>
    <row r="297" spans="6:21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</row>
    <row r="298" spans="6:21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</row>
    <row r="299" spans="6:21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</row>
    <row r="300" spans="6:21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</row>
    <row r="301" spans="6:21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</row>
    <row r="302" spans="6:21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</row>
    <row r="303" spans="6:21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</row>
    <row r="304" spans="6:21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</row>
    <row r="305" spans="6:21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</row>
    <row r="306" spans="6:21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</row>
    <row r="307" spans="6:21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</row>
    <row r="308" spans="6:21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</row>
    <row r="309" spans="6:21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</row>
    <row r="310" spans="6:21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</row>
    <row r="311" spans="6:21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</row>
    <row r="312" spans="6:21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</row>
    <row r="313" spans="6:21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</row>
    <row r="314" spans="6:21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</row>
    <row r="315" spans="6:21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</row>
    <row r="316" spans="6:21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</row>
    <row r="317" spans="6:21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</row>
    <row r="318" spans="6:21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</row>
    <row r="319" spans="6:21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</row>
    <row r="320" spans="6:21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</row>
    <row r="321" spans="6:21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</row>
    <row r="322" spans="6:21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</row>
    <row r="323" spans="6:21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</row>
    <row r="324" spans="6:21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</row>
    <row r="325" spans="6:21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</row>
    <row r="326" spans="6:21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</row>
    <row r="327" spans="6:21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</row>
    <row r="328" spans="6:21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</row>
    <row r="329" spans="6:21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</row>
    <row r="330" spans="6:21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</row>
    <row r="331" spans="6:21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</row>
    <row r="332" spans="6:21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</row>
    <row r="333" spans="6:21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</row>
    <row r="334" spans="6:21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</row>
    <row r="335" spans="6:21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</row>
    <row r="336" spans="6:21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</row>
    <row r="337" spans="6:21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</row>
    <row r="338" spans="6:21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</row>
    <row r="339" spans="6:21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</row>
    <row r="340" spans="6:21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</row>
    <row r="341" spans="6:21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</row>
    <row r="342" spans="6:21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</row>
    <row r="343" spans="6:21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</row>
    <row r="344" spans="6:21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</row>
    <row r="345" spans="6:21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</row>
    <row r="346" spans="6:21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</row>
    <row r="347" spans="6:21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</row>
    <row r="348" spans="6:21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</row>
    <row r="349" spans="6:21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</row>
    <row r="350" spans="6:21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</row>
    <row r="351" spans="6:21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</row>
    <row r="352" spans="6:21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</row>
    <row r="353" spans="6:21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</row>
    <row r="354" spans="6:21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</row>
    <row r="355" spans="6:21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</row>
    <row r="356" spans="6:21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</row>
    <row r="357" spans="6:21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</row>
    <row r="358" spans="6:21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</row>
    <row r="359" spans="6:21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</row>
    <row r="360" spans="6:21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</row>
    <row r="361" spans="6:21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</row>
    <row r="362" spans="6:21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</row>
    <row r="363" spans="6:21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</row>
    <row r="364" spans="6:21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</row>
    <row r="365" spans="6:21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</row>
    <row r="366" spans="6:21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</row>
    <row r="367" spans="6:21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</row>
    <row r="368" spans="6:21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</row>
    <row r="369" spans="6:21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</row>
    <row r="370" spans="6:21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</row>
    <row r="371" spans="6:21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</row>
    <row r="372" spans="6:21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</row>
    <row r="373" spans="6:21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</row>
    <row r="374" spans="6:21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</row>
    <row r="375" spans="6:21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</row>
    <row r="376" spans="6:21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</row>
    <row r="377" spans="6:21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</row>
    <row r="378" spans="6:21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</row>
    <row r="379" spans="6:21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</row>
    <row r="380" spans="6:21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</row>
    <row r="381" spans="6:21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</row>
    <row r="382" spans="6:21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</row>
    <row r="383" spans="6:21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</row>
    <row r="384" spans="6:21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</row>
    <row r="385" spans="6:21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</row>
    <row r="386" spans="6:21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</row>
    <row r="387" spans="6:21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</row>
    <row r="388" spans="6:21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</row>
    <row r="389" spans="6:21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</row>
    <row r="390" spans="6:21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</row>
    <row r="391" spans="6:21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</row>
    <row r="392" spans="6:21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</row>
    <row r="393" spans="6:21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</row>
    <row r="394" spans="6:21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</row>
    <row r="395" spans="6:21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</row>
    <row r="396" spans="6:21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</row>
    <row r="397" spans="6:21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</row>
    <row r="398" spans="6:21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</row>
    <row r="399" spans="6:21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</row>
    <row r="400" spans="6:21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</row>
    <row r="401" spans="6:21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</row>
    <row r="402" spans="6:21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</row>
    <row r="403" spans="6:21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</row>
    <row r="404" spans="6:21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</row>
    <row r="405" spans="6:21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</row>
    <row r="406" spans="6:21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</row>
    <row r="407" spans="6:21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</row>
    <row r="408" spans="6:21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</row>
    <row r="409" spans="6:21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</row>
    <row r="410" spans="6:21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</row>
    <row r="411" spans="6:21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</row>
    <row r="412" spans="6:21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</row>
    <row r="413" spans="6:21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</row>
    <row r="414" spans="6:21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</row>
    <row r="415" spans="6:21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</row>
    <row r="416" spans="6:21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</row>
    <row r="417" spans="6:21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</row>
    <row r="418" spans="6:21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</row>
    <row r="419" spans="6:21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</row>
    <row r="420" spans="6:21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</row>
    <row r="421" spans="6:21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</row>
    <row r="422" spans="6:21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</row>
    <row r="423" spans="6:21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</row>
    <row r="424" spans="6:21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</row>
    <row r="425" spans="6:21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</row>
    <row r="426" spans="6:21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</row>
    <row r="427" spans="6:21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</row>
    <row r="428" spans="6:21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</row>
    <row r="429" spans="6:21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</row>
    <row r="430" spans="6:21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</row>
    <row r="431" spans="6:21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</row>
    <row r="432" spans="6:21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</row>
    <row r="433" spans="6:21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</row>
    <row r="434" spans="6:21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</row>
    <row r="435" spans="6:21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</row>
    <row r="436" spans="6:21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</row>
    <row r="437" spans="6:21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</row>
    <row r="438" spans="6:21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</row>
    <row r="439" spans="6:21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</row>
    <row r="440" spans="6:21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</row>
    <row r="441" spans="6:21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</row>
    <row r="442" spans="6:21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</row>
    <row r="443" spans="6:21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</row>
    <row r="444" spans="6:21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</row>
    <row r="445" spans="6:21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</row>
    <row r="446" spans="6:21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</row>
    <row r="447" spans="6:21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</row>
    <row r="448" spans="6:21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</row>
    <row r="449" spans="6:21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</row>
    <row r="450" spans="6:21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</row>
    <row r="451" spans="6:21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</row>
    <row r="452" spans="6:21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</row>
    <row r="453" spans="6:21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</row>
    <row r="454" spans="6:21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</row>
    <row r="455" spans="6:21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</row>
    <row r="456" spans="6:21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</row>
    <row r="457" spans="6:21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</row>
    <row r="458" spans="6:21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</row>
    <row r="459" spans="6:21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</row>
    <row r="460" spans="6:21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</row>
    <row r="461" spans="6:21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</row>
    <row r="462" spans="6:21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</row>
    <row r="463" spans="6:21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</row>
    <row r="464" spans="6:21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</row>
    <row r="465" spans="6:21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</row>
    <row r="466" spans="6:21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</row>
    <row r="467" spans="6:21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</row>
    <row r="468" spans="6:21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</row>
    <row r="469" spans="6:21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</row>
    <row r="470" spans="6:21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</row>
    <row r="471" spans="6:21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</row>
    <row r="472" spans="6:21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</row>
    <row r="473" spans="6:21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</row>
    <row r="474" spans="6:21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</row>
    <row r="475" spans="6:21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</row>
    <row r="476" spans="6:21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</row>
    <row r="477" spans="6:21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</row>
    <row r="478" spans="6:21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</row>
    <row r="479" spans="6:21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</row>
    <row r="480" spans="6:21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</row>
    <row r="481" spans="6:21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</row>
    <row r="482" spans="6:21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</row>
    <row r="483" spans="6:21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</row>
    <row r="484" spans="6:21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</row>
    <row r="485" spans="6:21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</row>
    <row r="486" spans="6:21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</row>
    <row r="487" spans="6:21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</row>
    <row r="488" spans="6:21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</row>
    <row r="489" spans="6:21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</row>
    <row r="490" spans="6:21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</row>
    <row r="491" spans="6:21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</row>
    <row r="492" spans="6:21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</row>
    <row r="493" spans="6:21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</row>
    <row r="494" spans="6:21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</row>
    <row r="495" spans="6:21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</row>
    <row r="496" spans="6:21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</row>
    <row r="497" spans="6:21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</row>
    <row r="498" spans="6:21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</row>
    <row r="499" spans="6:21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</row>
    <row r="500" spans="6:21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</row>
    <row r="501" spans="6:21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</row>
    <row r="502" spans="6:21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</row>
    <row r="503" spans="6:21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</row>
  </sheetData>
  <sortState ref="A3:R102">
    <sortCondition descending="1" ref="H2"/>
  </sortState>
  <customSheetViews>
    <customSheetView guid="{C0930836-1C27-4000-8923-162C1722C997}" zeroValues="0" hiddenColumns="1">
      <pane xSplit="1" ySplit="2" topLeftCell="B3" activePane="bottomRight" state="frozen"/>
      <selection pane="bottomRight" activeCell="H1" sqref="E1:H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V503"/>
  <sheetViews>
    <sheetView showZeros="0" workbookViewId="0">
      <pane xSplit="2" ySplit="3" topLeftCell="C4" activePane="bottomRight" state="frozen"/>
      <selection pane="topRight" activeCell="B1" sqref="B1"/>
      <selection pane="bottomLeft" activeCell="A3" sqref="A3"/>
      <selection pane="bottomRight" activeCell="H1" sqref="H1"/>
    </sheetView>
  </sheetViews>
  <sheetFormatPr defaultRowHeight="14.4"/>
  <cols>
    <col min="1" max="1" width="4.88671875" customWidth="1"/>
    <col min="3" max="3" width="16.109375" customWidth="1"/>
    <col min="4" max="4" width="8.88671875" hidden="1" customWidth="1"/>
    <col min="5" max="5" width="26.88671875" customWidth="1"/>
    <col min="6" max="8" width="7.33203125" style="8" customWidth="1"/>
    <col min="9" max="19" width="7.33203125" style="3" customWidth="1"/>
    <col min="20" max="21" width="5.6640625" style="3" customWidth="1"/>
  </cols>
  <sheetData>
    <row r="1" spans="1:22" ht="15" thickBot="1"/>
    <row r="2" spans="1:22" ht="15" thickBot="1">
      <c r="A2" s="62">
        <f>MAX(A3:A505)</f>
        <v>100</v>
      </c>
      <c r="B2" s="12"/>
      <c r="C2" s="12"/>
      <c r="D2" s="13"/>
      <c r="E2" s="14" t="s">
        <v>0</v>
      </c>
      <c r="F2" s="41">
        <f t="shared" ref="F2:S2" si="0">AVERAGEIF(F4:F102,"&gt;0")</f>
        <v>205.41176470588235</v>
      </c>
      <c r="G2" s="42">
        <f t="shared" si="0"/>
        <v>151.33333333333334</v>
      </c>
      <c r="H2" s="43">
        <f t="shared" si="0"/>
        <v>100.77924226804127</v>
      </c>
      <c r="I2" s="44">
        <f t="shared" si="0"/>
        <v>87.601689690721656</v>
      </c>
      <c r="J2" s="15">
        <f t="shared" si="0"/>
        <v>78.247304482758622</v>
      </c>
      <c r="K2" s="15">
        <f t="shared" si="0"/>
        <v>76.1683795</v>
      </c>
      <c r="L2" s="15">
        <f t="shared" si="0"/>
        <v>71.902802602739726</v>
      </c>
      <c r="M2" s="15">
        <f t="shared" si="0"/>
        <v>63.253686785714265</v>
      </c>
      <c r="N2" s="15">
        <f t="shared" si="0"/>
        <v>63.870529268292671</v>
      </c>
      <c r="O2" s="15">
        <f t="shared" si="0"/>
        <v>53.863654166666663</v>
      </c>
      <c r="P2" s="15">
        <f t="shared" si="0"/>
        <v>54.930058333333335</v>
      </c>
      <c r="Q2" s="15">
        <f t="shared" si="0"/>
        <v>35.576814285714292</v>
      </c>
      <c r="R2" s="15">
        <f t="shared" si="0"/>
        <v>73.336100000000002</v>
      </c>
      <c r="S2" s="16">
        <f t="shared" si="0"/>
        <v>26.753744999999999</v>
      </c>
    </row>
    <row r="3" spans="1:22">
      <c r="A3" s="61"/>
      <c r="B3" s="27" t="str">
        <f>[1]Grp_3!A1</f>
        <v>Team</v>
      </c>
      <c r="C3" s="27" t="str">
        <f>[1]Grp_3!B1</f>
        <v>Name</v>
      </c>
      <c r="D3" s="28" t="str">
        <f>[1]Grp_3!C1</f>
        <v>Org</v>
      </c>
      <c r="E3" s="29" t="str">
        <f>[1]Grp_3!D1</f>
        <v>Location</v>
      </c>
      <c r="F3" s="27" t="str">
        <f>[1]Grp_3!E1</f>
        <v>Drv_skills</v>
      </c>
      <c r="G3" s="28" t="str">
        <f>[1]Grp_3!F1</f>
        <v>Prg_skills</v>
      </c>
      <c r="H3" s="29" t="str">
        <f>[1]Grp_3!G1</f>
        <v>Opr_max</v>
      </c>
      <c r="I3" s="28" t="str">
        <f>[1]Grp_3!H1</f>
        <v>Opr_last</v>
      </c>
      <c r="J3" s="28" t="str">
        <f>[1]Grp_3!I1</f>
        <v>Opr-1</v>
      </c>
      <c r="K3" s="28" t="str">
        <f>[1]Grp_3!J1</f>
        <v>Opr-2</v>
      </c>
      <c r="L3" s="28" t="str">
        <f>[1]Grp_3!K1</f>
        <v>Opr-3</v>
      </c>
      <c r="M3" s="28" t="str">
        <f>[1]Grp_3!L1</f>
        <v>Opr-4</v>
      </c>
      <c r="N3" s="28" t="str">
        <f>[1]Grp_3!M1</f>
        <v>Opr-5</v>
      </c>
      <c r="O3" s="28">
        <f>[1]Grp_3!N1</f>
        <v>0</v>
      </c>
      <c r="P3" s="28">
        <f>[1]Grp_3!O1</f>
        <v>0</v>
      </c>
      <c r="Q3" s="28">
        <f>[1]Grp_3!P1</f>
        <v>0</v>
      </c>
      <c r="R3" s="28">
        <f>[1]Grp_3!Q1</f>
        <v>0</v>
      </c>
      <c r="S3" s="29">
        <f>[1]Grp_3!R1</f>
        <v>0</v>
      </c>
    </row>
    <row r="4" spans="1:22">
      <c r="A4" s="2">
        <v>1</v>
      </c>
      <c r="B4" s="17" t="str">
        <f>[1]Grp_3!A2</f>
        <v>2Z</v>
      </c>
      <c r="C4" s="30" t="str">
        <f>[1]Grp_3!B2</f>
        <v>Robosavages Z</v>
      </c>
      <c r="D4" s="18" t="str">
        <f>[1]Grp_3!C2</f>
        <v>Gladstone</v>
      </c>
      <c r="E4" s="31" t="str">
        <f>[1]Grp_3!D2</f>
        <v>Vancouver, British Columbia, Canada</v>
      </c>
      <c r="F4" s="34">
        <f>[1]Grp_3!E2</f>
        <v>260</v>
      </c>
      <c r="G4" s="19">
        <f>[1]Grp_3!F2</f>
        <v>135</v>
      </c>
      <c r="H4" s="35">
        <f>[1]Grp_3!G2</f>
        <v>103.771</v>
      </c>
      <c r="I4" s="20">
        <f>[1]Grp_3!H2</f>
        <v>103.771</v>
      </c>
      <c r="J4" s="20">
        <f>[1]Grp_3!I2</f>
        <v>80.842600000000004</v>
      </c>
      <c r="K4" s="20">
        <f>[1]Grp_3!J2</f>
        <v>98.807299999999998</v>
      </c>
      <c r="L4" s="20">
        <f>[1]Grp_3!K2</f>
        <v>87.034899999999993</v>
      </c>
      <c r="M4" s="20">
        <f>[1]Grp_3!L2</f>
        <v>67.794300000000007</v>
      </c>
      <c r="N4" s="20">
        <f>[1]Grp_3!M2</f>
        <v>0</v>
      </c>
      <c r="O4" s="20">
        <f>[1]Grp_3!N2</f>
        <v>0</v>
      </c>
      <c r="P4" s="20">
        <f>[1]Grp_3!O2</f>
        <v>0</v>
      </c>
      <c r="Q4" s="20">
        <f>[1]Grp_3!P2</f>
        <v>0</v>
      </c>
      <c r="R4" s="20">
        <f>[1]Grp_3!Q2</f>
        <v>0</v>
      </c>
      <c r="S4" s="21">
        <f>[1]Grp_3!R2</f>
        <v>0</v>
      </c>
      <c r="T4" s="9"/>
      <c r="U4" s="9"/>
      <c r="V4" s="10"/>
    </row>
    <row r="5" spans="1:22">
      <c r="A5" s="2">
        <v>2</v>
      </c>
      <c r="B5" s="17" t="str">
        <f>[1]Grp_3!A3</f>
        <v>24B</v>
      </c>
      <c r="C5" s="30" t="str">
        <f>[1]Grp_3!B3</f>
        <v>Super Sonic Sparks B</v>
      </c>
      <c r="D5" s="18" t="str">
        <f>[1]Grp_3!C3</f>
        <v>SPARKS 4-H Club</v>
      </c>
      <c r="E5" s="31" t="str">
        <f>[1]Grp_3!D3</f>
        <v>Westminster, Maryland, United States</v>
      </c>
      <c r="F5" s="34">
        <f>[1]Grp_3!E3</f>
        <v>360</v>
      </c>
      <c r="G5" s="19">
        <f>[1]Grp_3!F3</f>
        <v>160</v>
      </c>
      <c r="H5" s="35">
        <f>[1]Grp_3!G3</f>
        <v>95.878</v>
      </c>
      <c r="I5" s="20">
        <f>[1]Grp_3!H3</f>
        <v>88.948099999999997</v>
      </c>
      <c r="J5" s="20">
        <f>[1]Grp_3!I3</f>
        <v>45.969200000000001</v>
      </c>
      <c r="K5" s="20">
        <f>[1]Grp_3!J3</f>
        <v>45.494300000000003</v>
      </c>
      <c r="L5" s="20">
        <f>[1]Grp_3!K3</f>
        <v>95.878</v>
      </c>
      <c r="M5" s="20">
        <f>[1]Grp_3!L3</f>
        <v>51.261200000000002</v>
      </c>
      <c r="N5" s="20">
        <f>[1]Grp_3!M3</f>
        <v>0</v>
      </c>
      <c r="O5" s="20">
        <f>[1]Grp_3!N3</f>
        <v>0</v>
      </c>
      <c r="P5" s="20">
        <f>[1]Grp_3!O3</f>
        <v>0</v>
      </c>
      <c r="Q5" s="20">
        <f>[1]Grp_3!P3</f>
        <v>0</v>
      </c>
      <c r="R5" s="20">
        <f>[1]Grp_3!Q3</f>
        <v>0</v>
      </c>
      <c r="S5" s="21">
        <f>[1]Grp_3!R3</f>
        <v>0</v>
      </c>
      <c r="T5" s="9"/>
      <c r="U5" s="9"/>
      <c r="V5" s="10"/>
    </row>
    <row r="6" spans="1:22">
      <c r="A6" s="2">
        <v>3</v>
      </c>
      <c r="B6" s="17" t="str">
        <f>[1]Grp_3!A4</f>
        <v>39</v>
      </c>
      <c r="C6" s="30" t="str">
        <f>[1]Grp_3!B4</f>
        <v>The Zip Ties</v>
      </c>
      <c r="D6" s="18" t="str">
        <f>[1]Grp_3!C4</f>
        <v>Cranbrook Schools</v>
      </c>
      <c r="E6" s="31" t="str">
        <f>[1]Grp_3!D4</f>
        <v>Bloomfield Hills, Michigan, United States</v>
      </c>
      <c r="F6" s="34">
        <f>[1]Grp_3!E4</f>
        <v>55</v>
      </c>
      <c r="G6" s="19">
        <f>[1]Grp_3!F4</f>
        <v>0</v>
      </c>
      <c r="H6" s="35">
        <f>[1]Grp_3!G4</f>
        <v>85.960700000000003</v>
      </c>
      <c r="I6" s="20">
        <f>[1]Grp_3!H4</f>
        <v>85.960700000000003</v>
      </c>
      <c r="J6" s="20">
        <f>[1]Grp_3!I4</f>
        <v>17.209099999999999</v>
      </c>
      <c r="K6" s="20">
        <f>[1]Grp_3!J4</f>
        <v>37.121600000000001</v>
      </c>
      <c r="L6" s="20">
        <f>[1]Grp_3!K4</f>
        <v>12.2263</v>
      </c>
      <c r="M6" s="20">
        <f>[1]Grp_3!L4</f>
        <v>0</v>
      </c>
      <c r="N6" s="20">
        <f>[1]Grp_3!M4</f>
        <v>0</v>
      </c>
      <c r="O6" s="20">
        <f>[1]Grp_3!N4</f>
        <v>0</v>
      </c>
      <c r="P6" s="20">
        <f>[1]Grp_3!O4</f>
        <v>0</v>
      </c>
      <c r="Q6" s="20">
        <f>[1]Grp_3!P4</f>
        <v>0</v>
      </c>
      <c r="R6" s="20">
        <f>[1]Grp_3!Q4</f>
        <v>0</v>
      </c>
      <c r="S6" s="21">
        <f>[1]Grp_3!R4</f>
        <v>0</v>
      </c>
      <c r="T6" s="9"/>
      <c r="U6" s="9"/>
      <c r="V6" s="10"/>
    </row>
    <row r="7" spans="1:22">
      <c r="A7" s="2">
        <v>4</v>
      </c>
      <c r="B7" s="17" t="str">
        <f>[1]Grp_3!A5</f>
        <v>64</v>
      </c>
      <c r="C7" s="30" t="str">
        <f>[1]Grp_3!B5</f>
        <v>Double Down</v>
      </c>
      <c r="D7" s="18" t="str">
        <f>[1]Grp_3!C5</f>
        <v>Ed W. Clark High School</v>
      </c>
      <c r="E7" s="31" t="str">
        <f>[1]Grp_3!D5</f>
        <v>Las Vegas, Nevada, United States</v>
      </c>
      <c r="F7" s="34">
        <f>[1]Grp_3!E5</f>
        <v>79</v>
      </c>
      <c r="G7" s="19">
        <f>[1]Grp_3!F5</f>
        <v>0</v>
      </c>
      <c r="H7" s="35">
        <f>[1]Grp_3!G5</f>
        <v>93.138000000000005</v>
      </c>
      <c r="I7" s="20">
        <f>[1]Grp_3!H5</f>
        <v>93.138000000000005</v>
      </c>
      <c r="J7" s="20">
        <f>[1]Grp_3!I5</f>
        <v>59.061300000000003</v>
      </c>
      <c r="K7" s="20">
        <f>[1]Grp_3!J5</f>
        <v>64.892700000000005</v>
      </c>
      <c r="L7" s="20">
        <f>[1]Grp_3!K5</f>
        <v>60.905700000000003</v>
      </c>
      <c r="M7" s="20">
        <f>[1]Grp_3!L5</f>
        <v>0</v>
      </c>
      <c r="N7" s="20">
        <f>[1]Grp_3!M5</f>
        <v>0</v>
      </c>
      <c r="O7" s="20">
        <f>[1]Grp_3!N5</f>
        <v>0</v>
      </c>
      <c r="P7" s="20">
        <f>[1]Grp_3!O5</f>
        <v>0</v>
      </c>
      <c r="Q7" s="20">
        <f>[1]Grp_3!P5</f>
        <v>0</v>
      </c>
      <c r="R7" s="20">
        <f>[1]Grp_3!Q5</f>
        <v>0</v>
      </c>
      <c r="S7" s="21">
        <f>[1]Grp_3!R5</f>
        <v>0</v>
      </c>
      <c r="T7" s="9"/>
      <c r="U7" s="9"/>
      <c r="V7" s="10"/>
    </row>
    <row r="8" spans="1:22">
      <c r="A8" s="2">
        <v>5</v>
      </c>
      <c r="B8" s="17" t="str">
        <f>[1]Grp_3!A6</f>
        <v>82M</v>
      </c>
      <c r="C8" s="30" t="str">
        <f>[1]Grp_3!B6</f>
        <v>T-Raptors M</v>
      </c>
      <c r="D8" s="18" t="str">
        <f>[1]Grp_3!C6</f>
        <v>Tianjin International School</v>
      </c>
      <c r="E8" s="31" t="str">
        <f>[1]Grp_3!D6</f>
        <v>Tianjin, N/A, China</v>
      </c>
      <c r="F8" s="34">
        <f>[1]Grp_3!E6</f>
        <v>146</v>
      </c>
      <c r="G8" s="19">
        <f>[1]Grp_3!F6</f>
        <v>160</v>
      </c>
      <c r="H8" s="35">
        <f>[1]Grp_3!G6</f>
        <v>97.378399999999999</v>
      </c>
      <c r="I8" s="20">
        <f>[1]Grp_3!H6</f>
        <v>44.066899999999997</v>
      </c>
      <c r="J8" s="20">
        <f>[1]Grp_3!I6</f>
        <v>97.378399999999999</v>
      </c>
      <c r="K8" s="20">
        <f>[1]Grp_3!J6</f>
        <v>0</v>
      </c>
      <c r="L8" s="20">
        <f>[1]Grp_3!K6</f>
        <v>0</v>
      </c>
      <c r="M8" s="20">
        <f>[1]Grp_3!L6</f>
        <v>0</v>
      </c>
      <c r="N8" s="20">
        <f>[1]Grp_3!M6</f>
        <v>0</v>
      </c>
      <c r="O8" s="20">
        <f>[1]Grp_3!N6</f>
        <v>0</v>
      </c>
      <c r="P8" s="20">
        <f>[1]Grp_3!O6</f>
        <v>0</v>
      </c>
      <c r="Q8" s="20">
        <f>[1]Grp_3!P6</f>
        <v>0</v>
      </c>
      <c r="R8" s="20">
        <f>[1]Grp_3!Q6</f>
        <v>0</v>
      </c>
      <c r="S8" s="21">
        <f>[1]Grp_3!R6</f>
        <v>0</v>
      </c>
      <c r="T8" s="9"/>
      <c r="U8" s="9"/>
      <c r="V8" s="10"/>
    </row>
    <row r="9" spans="1:22">
      <c r="A9" s="2">
        <v>6</v>
      </c>
      <c r="B9" s="17" t="str">
        <f>[1]Grp_3!A7</f>
        <v>169A</v>
      </c>
      <c r="C9" s="30" t="str">
        <f>[1]Grp_3!B7</f>
        <v>The Cavalry</v>
      </c>
      <c r="D9" s="18" t="str">
        <f>[1]Grp_3!C7</f>
        <v>Haverford School Robotics</v>
      </c>
      <c r="E9" s="31" t="str">
        <f>[1]Grp_3!D7</f>
        <v>Haverford, Pennsylvania, United States</v>
      </c>
      <c r="F9" s="34">
        <f>[1]Grp_3!E7</f>
        <v>347</v>
      </c>
      <c r="G9" s="19">
        <f>[1]Grp_3!F7</f>
        <v>129</v>
      </c>
      <c r="H9" s="35">
        <f>[1]Grp_3!G7</f>
        <v>154.89500000000001</v>
      </c>
      <c r="I9" s="20">
        <f>[1]Grp_3!H7</f>
        <v>144.47300000000001</v>
      </c>
      <c r="J9" s="20">
        <f>[1]Grp_3!I7</f>
        <v>154.89500000000001</v>
      </c>
      <c r="K9" s="20">
        <f>[1]Grp_3!J7</f>
        <v>86.415199999999999</v>
      </c>
      <c r="L9" s="20">
        <f>[1]Grp_3!K7</f>
        <v>111.363</v>
      </c>
      <c r="M9" s="20">
        <f>[1]Grp_3!L7</f>
        <v>0</v>
      </c>
      <c r="N9" s="20">
        <f>[1]Grp_3!M7</f>
        <v>0</v>
      </c>
      <c r="O9" s="20">
        <f>[1]Grp_3!N7</f>
        <v>0</v>
      </c>
      <c r="P9" s="20">
        <f>[1]Grp_3!O7</f>
        <v>0</v>
      </c>
      <c r="Q9" s="20">
        <f>[1]Grp_3!P7</f>
        <v>0</v>
      </c>
      <c r="R9" s="20">
        <f>[1]Grp_3!Q7</f>
        <v>0</v>
      </c>
      <c r="S9" s="21">
        <f>[1]Grp_3!R7</f>
        <v>0</v>
      </c>
      <c r="T9" s="9"/>
      <c r="U9" s="9"/>
      <c r="V9" s="10"/>
    </row>
    <row r="10" spans="1:22">
      <c r="A10" s="2">
        <v>7</v>
      </c>
      <c r="B10" s="17" t="str">
        <f>[1]Grp_3!A8</f>
        <v>180</v>
      </c>
      <c r="C10" s="30" t="str">
        <f>[1]Grp_3!B8</f>
        <v>Born to Bot</v>
      </c>
      <c r="D10" s="18" t="str">
        <f>[1]Grp_3!C8</f>
        <v>O.G. Robotics</v>
      </c>
      <c r="E10" s="31" t="str">
        <f>[1]Grp_3!D8</f>
        <v>Haymarket, Virginia, United States</v>
      </c>
      <c r="F10" s="34">
        <f>[1]Grp_3!E8</f>
        <v>295</v>
      </c>
      <c r="G10" s="19">
        <f>[1]Grp_3!F8</f>
        <v>261</v>
      </c>
      <c r="H10" s="35">
        <f>[1]Grp_3!G8</f>
        <v>143.226</v>
      </c>
      <c r="I10" s="20">
        <f>[1]Grp_3!H8</f>
        <v>143.226</v>
      </c>
      <c r="J10" s="20">
        <f>[1]Grp_3!I8</f>
        <v>94.762299999999996</v>
      </c>
      <c r="K10" s="20">
        <f>[1]Grp_3!J8</f>
        <v>104.351</v>
      </c>
      <c r="L10" s="20">
        <f>[1]Grp_3!K8</f>
        <v>88.797700000000006</v>
      </c>
      <c r="M10" s="20">
        <f>[1]Grp_3!L8</f>
        <v>24.397600000000001</v>
      </c>
      <c r="N10" s="20">
        <f>[1]Grp_3!M8</f>
        <v>69.854100000000003</v>
      </c>
      <c r="O10" s="20">
        <f>[1]Grp_3!N8</f>
        <v>58.885100000000001</v>
      </c>
      <c r="P10" s="20">
        <f>[1]Grp_3!O8</f>
        <v>62.192900000000002</v>
      </c>
      <c r="Q10" s="20">
        <f>[1]Grp_3!P8</f>
        <v>0</v>
      </c>
      <c r="R10" s="20">
        <f>[1]Grp_3!Q8</f>
        <v>0</v>
      </c>
      <c r="S10" s="21">
        <f>[1]Grp_3!R8</f>
        <v>0</v>
      </c>
      <c r="T10" s="9"/>
      <c r="U10" s="9"/>
      <c r="V10" s="10"/>
    </row>
    <row r="11" spans="1:22">
      <c r="A11" s="2">
        <v>8</v>
      </c>
      <c r="B11" s="17" t="str">
        <f>[1]Grp_3!A9</f>
        <v>217D</v>
      </c>
      <c r="C11" s="30" t="str">
        <f>[1]Grp_3!B9</f>
        <v>ThunderChickens</v>
      </c>
      <c r="D11" s="18" t="str">
        <f>[1]Grp_3!C9</f>
        <v>Utica Community Schools</v>
      </c>
      <c r="E11" s="31" t="str">
        <f>[1]Grp_3!D9</f>
        <v>Macomb, Michigan, United States</v>
      </c>
      <c r="F11" s="34">
        <f>[1]Grp_3!E9</f>
        <v>135</v>
      </c>
      <c r="G11" s="19">
        <f>[1]Grp_3!F9</f>
        <v>135</v>
      </c>
      <c r="H11" s="35">
        <f>[1]Grp_3!G9</f>
        <v>94.864800000000002</v>
      </c>
      <c r="I11" s="20">
        <f>[1]Grp_3!H9</f>
        <v>94.864800000000002</v>
      </c>
      <c r="J11" s="20">
        <f>[1]Grp_3!I9</f>
        <v>79.559700000000007</v>
      </c>
      <c r="K11" s="20">
        <f>[1]Grp_3!J9</f>
        <v>52.672899999999998</v>
      </c>
      <c r="L11" s="20">
        <f>[1]Grp_3!K9</f>
        <v>24.758900000000001</v>
      </c>
      <c r="M11" s="20">
        <f>[1]Grp_3!L9</f>
        <v>1.06107</v>
      </c>
      <c r="N11" s="20">
        <f>[1]Grp_3!M9</f>
        <v>60.176200000000001</v>
      </c>
      <c r="O11" s="20">
        <f>[1]Grp_3!N9</f>
        <v>44.522799999999997</v>
      </c>
      <c r="P11" s="20">
        <f>[1]Grp_3!O9</f>
        <v>0</v>
      </c>
      <c r="Q11" s="20">
        <f>[1]Grp_3!P9</f>
        <v>0</v>
      </c>
      <c r="R11" s="20">
        <f>[1]Grp_3!Q9</f>
        <v>0</v>
      </c>
      <c r="S11" s="21">
        <f>[1]Grp_3!R9</f>
        <v>0</v>
      </c>
      <c r="T11" s="9"/>
      <c r="U11" s="9"/>
      <c r="V11" s="10"/>
    </row>
    <row r="12" spans="1:22">
      <c r="A12" s="2">
        <v>9</v>
      </c>
      <c r="B12" s="17" t="str">
        <f>[1]Grp_3!A10</f>
        <v>241N</v>
      </c>
      <c r="C12" s="30" t="str">
        <f>[1]Grp_3!B10</f>
        <v>241N Nautilus</v>
      </c>
      <c r="D12" s="18" t="str">
        <f>[1]Grp_3!C10</f>
        <v>Pinkerton Academy</v>
      </c>
      <c r="E12" s="31" t="str">
        <f>[1]Grp_3!D10</f>
        <v>Derry, New Hampshire, United States</v>
      </c>
      <c r="F12" s="34">
        <f>[1]Grp_3!E10</f>
        <v>267</v>
      </c>
      <c r="G12" s="19">
        <f>[1]Grp_3!F10</f>
        <v>229</v>
      </c>
      <c r="H12" s="35">
        <f>[1]Grp_3!G10</f>
        <v>89.062100000000001</v>
      </c>
      <c r="I12" s="20">
        <f>[1]Grp_3!H10</f>
        <v>66.001300000000001</v>
      </c>
      <c r="J12" s="20">
        <f>[1]Grp_3!I10</f>
        <v>37.150300000000001</v>
      </c>
      <c r="K12" s="20">
        <f>[1]Grp_3!J10</f>
        <v>48.124699999999997</v>
      </c>
      <c r="L12" s="20">
        <f>[1]Grp_3!K10</f>
        <v>82.692499999999995</v>
      </c>
      <c r="M12" s="20">
        <f>[1]Grp_3!L10</f>
        <v>89.062100000000001</v>
      </c>
      <c r="N12" s="20">
        <f>[1]Grp_3!M10</f>
        <v>0</v>
      </c>
      <c r="O12" s="20">
        <f>[1]Grp_3!N10</f>
        <v>0</v>
      </c>
      <c r="P12" s="20">
        <f>[1]Grp_3!O10</f>
        <v>0</v>
      </c>
      <c r="Q12" s="20">
        <f>[1]Grp_3!P10</f>
        <v>0</v>
      </c>
      <c r="R12" s="20">
        <f>[1]Grp_3!Q10</f>
        <v>0</v>
      </c>
      <c r="S12" s="21">
        <f>[1]Grp_3!R10</f>
        <v>0</v>
      </c>
      <c r="T12" s="9"/>
      <c r="U12" s="9"/>
      <c r="V12" s="10"/>
    </row>
    <row r="13" spans="1:22">
      <c r="A13" s="2">
        <v>10</v>
      </c>
      <c r="B13" s="17" t="str">
        <f>[1]Grp_3!A11</f>
        <v>321A</v>
      </c>
      <c r="C13" s="30" t="str">
        <f>[1]Grp_3!B11</f>
        <v>Wolves A</v>
      </c>
      <c r="D13" s="18" t="str">
        <f>[1]Grp_3!C11</f>
        <v>Niles West High School</v>
      </c>
      <c r="E13" s="31" t="str">
        <f>[1]Grp_3!D11</f>
        <v>Skokie, Illinois, United States</v>
      </c>
      <c r="F13" s="34">
        <f>[1]Grp_3!E11</f>
        <v>257</v>
      </c>
      <c r="G13" s="19">
        <f>[1]Grp_3!F11</f>
        <v>160</v>
      </c>
      <c r="H13" s="37">
        <f>[1]Grp_3!G11</f>
        <v>97.822000000000003</v>
      </c>
      <c r="I13" s="38">
        <f>[1]Grp_3!H11</f>
        <v>82.062299999999993</v>
      </c>
      <c r="J13" s="20">
        <f>[1]Grp_3!I11</f>
        <v>97.822000000000003</v>
      </c>
      <c r="K13" s="20">
        <f>[1]Grp_3!J11</f>
        <v>71.445599999999999</v>
      </c>
      <c r="L13" s="20">
        <f>[1]Grp_3!K11</f>
        <v>37.102600000000002</v>
      </c>
      <c r="M13" s="20">
        <f>[1]Grp_3!L11</f>
        <v>0</v>
      </c>
      <c r="N13" s="20">
        <f>[1]Grp_3!M11</f>
        <v>0</v>
      </c>
      <c r="O13" s="20">
        <f>[1]Grp_3!N11</f>
        <v>0</v>
      </c>
      <c r="P13" s="20">
        <f>[1]Grp_3!O11</f>
        <v>0</v>
      </c>
      <c r="Q13" s="20">
        <f>[1]Grp_3!P11</f>
        <v>0</v>
      </c>
      <c r="R13" s="20">
        <f>[1]Grp_3!Q11</f>
        <v>0</v>
      </c>
      <c r="S13" s="21">
        <f>[1]Grp_3!R11</f>
        <v>0</v>
      </c>
      <c r="T13" s="9"/>
      <c r="U13" s="9"/>
      <c r="V13" s="10"/>
    </row>
    <row r="14" spans="1:22">
      <c r="A14" s="2">
        <v>11</v>
      </c>
      <c r="B14" s="17" t="str">
        <f>[1]Grp_3!A12</f>
        <v>333X</v>
      </c>
      <c r="C14" s="30" t="str">
        <f>[1]Grp_3!B12</f>
        <v>Mokito</v>
      </c>
      <c r="D14" s="18" t="str">
        <f>[1]Grp_3!C12</f>
        <v>Niles North Robotics</v>
      </c>
      <c r="E14" s="31" t="str">
        <f>[1]Grp_3!D12</f>
        <v>Skokie, Illinois, United States</v>
      </c>
      <c r="F14" s="34">
        <f>[1]Grp_3!E12</f>
        <v>313</v>
      </c>
      <c r="G14" s="19">
        <f>[1]Grp_3!F12</f>
        <v>256</v>
      </c>
      <c r="H14" s="37">
        <f>[1]Grp_3!G12</f>
        <v>145.50200000000001</v>
      </c>
      <c r="I14" s="38">
        <f>[1]Grp_3!H12</f>
        <v>129.76400000000001</v>
      </c>
      <c r="J14" s="20">
        <f>[1]Grp_3!I12</f>
        <v>145.50200000000001</v>
      </c>
      <c r="K14" s="20">
        <f>[1]Grp_3!J12</f>
        <v>107.155</v>
      </c>
      <c r="L14" s="20">
        <f>[1]Grp_3!K12</f>
        <v>92.940799999999996</v>
      </c>
      <c r="M14" s="20">
        <f>[1]Grp_3!L12</f>
        <v>95.076700000000002</v>
      </c>
      <c r="N14" s="20">
        <f>[1]Grp_3!M12</f>
        <v>0</v>
      </c>
      <c r="O14" s="20">
        <f>[1]Grp_3!N12</f>
        <v>0</v>
      </c>
      <c r="P14" s="20">
        <f>[1]Grp_3!O12</f>
        <v>0</v>
      </c>
      <c r="Q14" s="20">
        <f>[1]Grp_3!P12</f>
        <v>0</v>
      </c>
      <c r="R14" s="20">
        <f>[1]Grp_3!Q12</f>
        <v>0</v>
      </c>
      <c r="S14" s="21">
        <f>[1]Grp_3!R12</f>
        <v>0</v>
      </c>
      <c r="T14" s="9"/>
      <c r="U14" s="9"/>
      <c r="V14" s="10"/>
    </row>
    <row r="15" spans="1:22">
      <c r="A15" s="2">
        <v>12</v>
      </c>
      <c r="B15" s="17" t="str">
        <f>[1]Grp_3!A13</f>
        <v>360</v>
      </c>
      <c r="C15" s="30" t="str">
        <f>[1]Grp_3!B13</f>
        <v>Enderphase - ★</v>
      </c>
      <c r="D15" s="18" t="str">
        <f>[1]Grp_3!C13</f>
        <v>Evan's Garage</v>
      </c>
      <c r="E15" s="31" t="str">
        <f>[1]Grp_3!D13</f>
        <v>Rowlett, Texas, United States</v>
      </c>
      <c r="F15" s="34">
        <f>[1]Grp_3!E13</f>
        <v>397</v>
      </c>
      <c r="G15" s="19">
        <f>[1]Grp_3!F13</f>
        <v>100</v>
      </c>
      <c r="H15" s="37">
        <f>[1]Grp_3!G13</f>
        <v>203.97499999999999</v>
      </c>
      <c r="I15" s="38">
        <f>[1]Grp_3!H13</f>
        <v>144.75200000000001</v>
      </c>
      <c r="J15" s="20">
        <f>[1]Grp_3!I13</f>
        <v>203.97499999999999</v>
      </c>
      <c r="K15" s="20">
        <f>[1]Grp_3!J13</f>
        <v>162.16999999999999</v>
      </c>
      <c r="L15" s="20">
        <f>[1]Grp_3!K13</f>
        <v>120.804</v>
      </c>
      <c r="M15" s="20">
        <f>[1]Grp_3!L13</f>
        <v>119.206</v>
      </c>
      <c r="N15" s="20">
        <f>[1]Grp_3!M13</f>
        <v>0</v>
      </c>
      <c r="O15" s="20">
        <f>[1]Grp_3!N13</f>
        <v>0</v>
      </c>
      <c r="P15" s="20">
        <f>[1]Grp_3!O13</f>
        <v>0</v>
      </c>
      <c r="Q15" s="20">
        <f>[1]Grp_3!P13</f>
        <v>0</v>
      </c>
      <c r="R15" s="20">
        <f>[1]Grp_3!Q13</f>
        <v>0</v>
      </c>
      <c r="S15" s="21">
        <f>[1]Grp_3!R13</f>
        <v>0</v>
      </c>
      <c r="T15" s="9"/>
      <c r="U15" s="9"/>
      <c r="V15" s="10"/>
    </row>
    <row r="16" spans="1:22">
      <c r="A16" s="2">
        <v>13</v>
      </c>
      <c r="B16" s="17" t="str">
        <f>[1]Grp_3!A14</f>
        <v>464F</v>
      </c>
      <c r="C16" s="30" t="str">
        <f>[1]Grp_3!B14</f>
        <v>Bad Mama Jama</v>
      </c>
      <c r="D16" s="18" t="str">
        <f>[1]Grp_3!C14</f>
        <v>Forest Hills High School</v>
      </c>
      <c r="E16" s="31" t="str">
        <f>[1]Grp_3!D14</f>
        <v>Sidman, Pennsylvania, United States</v>
      </c>
      <c r="F16" s="34">
        <f>[1]Grp_3!E14</f>
        <v>0</v>
      </c>
      <c r="G16" s="19">
        <f>[1]Grp_3!F14</f>
        <v>0</v>
      </c>
      <c r="H16" s="37">
        <f>[1]Grp_3!G14</f>
        <v>73.130700000000004</v>
      </c>
      <c r="I16" s="38">
        <f>[1]Grp_3!H14</f>
        <v>73.130700000000004</v>
      </c>
      <c r="J16" s="20">
        <f>[1]Grp_3!I14</f>
        <v>0</v>
      </c>
      <c r="K16" s="20">
        <f>[1]Grp_3!J14</f>
        <v>0</v>
      </c>
      <c r="L16" s="20">
        <f>[1]Grp_3!K14</f>
        <v>0</v>
      </c>
      <c r="M16" s="20">
        <f>[1]Grp_3!L14</f>
        <v>0</v>
      </c>
      <c r="N16" s="20">
        <f>[1]Grp_3!M14</f>
        <v>0</v>
      </c>
      <c r="O16" s="20">
        <f>[1]Grp_3!N14</f>
        <v>0</v>
      </c>
      <c r="P16" s="20">
        <f>[1]Grp_3!O14</f>
        <v>0</v>
      </c>
      <c r="Q16" s="20">
        <f>[1]Grp_3!P14</f>
        <v>0</v>
      </c>
      <c r="R16" s="20">
        <f>[1]Grp_3!Q14</f>
        <v>0</v>
      </c>
      <c r="S16" s="21">
        <f>[1]Grp_3!R14</f>
        <v>0</v>
      </c>
      <c r="T16" s="9"/>
      <c r="U16" s="9"/>
      <c r="V16" s="10"/>
    </row>
    <row r="17" spans="1:22">
      <c r="A17" s="2">
        <v>14</v>
      </c>
      <c r="B17" s="17" t="str">
        <f>[1]Grp_3!A15</f>
        <v>569B</v>
      </c>
      <c r="C17" s="30" t="str">
        <f>[1]Grp_3!B15</f>
        <v>NightHawk Robotics Club</v>
      </c>
      <c r="D17" s="18" t="str">
        <f>[1]Grp_3!C15</f>
        <v>Murrieta Valley High School</v>
      </c>
      <c r="E17" s="31" t="str">
        <f>[1]Grp_3!D15</f>
        <v>Murrieta, California, United States</v>
      </c>
      <c r="F17" s="34">
        <f>[1]Grp_3!E15</f>
        <v>71</v>
      </c>
      <c r="G17" s="19">
        <f>[1]Grp_3!F15</f>
        <v>20</v>
      </c>
      <c r="H17" s="37">
        <f>[1]Grp_3!G15</f>
        <v>84.920299999999997</v>
      </c>
      <c r="I17" s="38">
        <f>[1]Grp_3!H15</f>
        <v>52.005800000000001</v>
      </c>
      <c r="J17" s="20">
        <f>[1]Grp_3!I15</f>
        <v>84.920299999999997</v>
      </c>
      <c r="K17" s="20">
        <f>[1]Grp_3!J15</f>
        <v>63.797899999999998</v>
      </c>
      <c r="L17" s="20">
        <f>[1]Grp_3!K15</f>
        <v>66.973500000000001</v>
      </c>
      <c r="M17" s="20">
        <f>[1]Grp_3!L15</f>
        <v>49.2</v>
      </c>
      <c r="N17" s="20">
        <f>[1]Grp_3!M15</f>
        <v>0</v>
      </c>
      <c r="O17" s="20">
        <f>[1]Grp_3!N15</f>
        <v>0</v>
      </c>
      <c r="P17" s="20">
        <f>[1]Grp_3!O15</f>
        <v>0</v>
      </c>
      <c r="Q17" s="20">
        <f>[1]Grp_3!P15</f>
        <v>0</v>
      </c>
      <c r="R17" s="20">
        <f>[1]Grp_3!Q15</f>
        <v>0</v>
      </c>
      <c r="S17" s="21">
        <f>[1]Grp_3!R15</f>
        <v>0</v>
      </c>
      <c r="T17" s="9"/>
      <c r="U17" s="9"/>
      <c r="V17" s="10"/>
    </row>
    <row r="18" spans="1:22">
      <c r="A18" s="2">
        <v>15</v>
      </c>
      <c r="B18" s="17" t="str">
        <f>[1]Grp_3!A16</f>
        <v>598A</v>
      </c>
      <c r="C18" s="30" t="str">
        <f>[1]Grp_3!B16</f>
        <v>Loudonville High School A</v>
      </c>
      <c r="D18" s="18" t="str">
        <f>[1]Grp_3!C16</f>
        <v>Loudonville High School</v>
      </c>
      <c r="E18" s="31" t="str">
        <f>[1]Grp_3!D16</f>
        <v>Loudonville, Ohio, United States</v>
      </c>
      <c r="F18" s="34">
        <f>[1]Grp_3!E16</f>
        <v>195</v>
      </c>
      <c r="G18" s="19">
        <f>[1]Grp_3!F16</f>
        <v>130</v>
      </c>
      <c r="H18" s="37">
        <f>[1]Grp_3!G16</f>
        <v>152.39699999999999</v>
      </c>
      <c r="I18" s="38">
        <f>[1]Grp_3!H16</f>
        <v>152.39699999999999</v>
      </c>
      <c r="J18" s="20">
        <f>[1]Grp_3!I16</f>
        <v>47.497300000000003</v>
      </c>
      <c r="K18" s="20">
        <f>[1]Grp_3!J16</f>
        <v>93.283500000000004</v>
      </c>
      <c r="L18" s="20">
        <f>[1]Grp_3!K16</f>
        <v>63.713200000000001</v>
      </c>
      <c r="M18" s="20">
        <f>[1]Grp_3!L16</f>
        <v>97.198700000000002</v>
      </c>
      <c r="N18" s="20">
        <f>[1]Grp_3!M16</f>
        <v>75.5809</v>
      </c>
      <c r="O18" s="20">
        <f>[1]Grp_3!N16</f>
        <v>0</v>
      </c>
      <c r="P18" s="20">
        <f>[1]Grp_3!O16</f>
        <v>47.491999999999997</v>
      </c>
      <c r="Q18" s="20">
        <f>[1]Grp_3!P16</f>
        <v>12.593</v>
      </c>
      <c r="R18" s="20">
        <f>[1]Grp_3!Q16</f>
        <v>0</v>
      </c>
      <c r="S18" s="21">
        <f>[1]Grp_3!R16</f>
        <v>0</v>
      </c>
      <c r="T18" s="9"/>
      <c r="U18" s="9"/>
      <c r="V18" s="10"/>
    </row>
    <row r="19" spans="1:22">
      <c r="A19" s="2">
        <v>16</v>
      </c>
      <c r="B19" s="17" t="str">
        <f>[1]Grp_3!A17</f>
        <v>675D</v>
      </c>
      <c r="C19" s="30" t="str">
        <f>[1]Grp_3!B17</f>
        <v>RoboDragons D</v>
      </c>
      <c r="D19" s="18" t="str">
        <f>[1]Grp_3!C17</f>
        <v>Gwinnett School of Mathem, Science, and Technology</v>
      </c>
      <c r="E19" s="31" t="str">
        <f>[1]Grp_3!D17</f>
        <v>Lawrenceville, Georgia, United States</v>
      </c>
      <c r="F19" s="34">
        <f>[1]Grp_3!E17</f>
        <v>0</v>
      </c>
      <c r="G19" s="19">
        <f>[1]Grp_3!F17</f>
        <v>0</v>
      </c>
      <c r="H19" s="37">
        <f>[1]Grp_3!G17</f>
        <v>94.185000000000002</v>
      </c>
      <c r="I19" s="38">
        <f>[1]Grp_3!H17</f>
        <v>94.185000000000002</v>
      </c>
      <c r="J19" s="20">
        <f>[1]Grp_3!I17</f>
        <v>62.691899999999997</v>
      </c>
      <c r="K19" s="20">
        <f>[1]Grp_3!J17</f>
        <v>50.228099999999998</v>
      </c>
      <c r="L19" s="20">
        <f>[1]Grp_3!K17</f>
        <v>20.548300000000001</v>
      </c>
      <c r="M19" s="20">
        <f>[1]Grp_3!L17</f>
        <v>0</v>
      </c>
      <c r="N19" s="20">
        <f>[1]Grp_3!M17</f>
        <v>0</v>
      </c>
      <c r="O19" s="20">
        <f>[1]Grp_3!N17</f>
        <v>0</v>
      </c>
      <c r="P19" s="20">
        <f>[1]Grp_3!O17</f>
        <v>0</v>
      </c>
      <c r="Q19" s="20">
        <f>[1]Grp_3!P17</f>
        <v>0</v>
      </c>
      <c r="R19" s="20">
        <f>[1]Grp_3!Q17</f>
        <v>0</v>
      </c>
      <c r="S19" s="21">
        <f>[1]Grp_3!R17</f>
        <v>0</v>
      </c>
      <c r="T19" s="9"/>
      <c r="U19" s="9"/>
      <c r="V19" s="10"/>
    </row>
    <row r="20" spans="1:22">
      <c r="A20" s="2">
        <v>17</v>
      </c>
      <c r="B20" s="17" t="str">
        <f>[1]Grp_3!A18</f>
        <v>765A</v>
      </c>
      <c r="C20" s="30" t="str">
        <f>[1]Grp_3!B18</f>
        <v>HTHS - Fury</v>
      </c>
      <c r="D20" s="18" t="str">
        <f>[1]Grp_3!C18</f>
        <v>High Technology High School</v>
      </c>
      <c r="E20" s="31" t="str">
        <f>[1]Grp_3!D18</f>
        <v>Lincroft, New Jersey, United States</v>
      </c>
      <c r="F20" s="34">
        <f>[1]Grp_3!E18</f>
        <v>311</v>
      </c>
      <c r="G20" s="19">
        <f>[1]Grp_3!F18</f>
        <v>130</v>
      </c>
      <c r="H20" s="37">
        <f>[1]Grp_3!G18</f>
        <v>103.339</v>
      </c>
      <c r="I20" s="38">
        <f>[1]Grp_3!H18</f>
        <v>76.120999999999995</v>
      </c>
      <c r="J20" s="20">
        <f>[1]Grp_3!I18</f>
        <v>103.339</v>
      </c>
      <c r="K20" s="20">
        <f>[1]Grp_3!J18</f>
        <v>45.863199999999999</v>
      </c>
      <c r="L20" s="20">
        <f>[1]Grp_3!K18</f>
        <v>0</v>
      </c>
      <c r="M20" s="20">
        <f>[1]Grp_3!L18</f>
        <v>0</v>
      </c>
      <c r="N20" s="20">
        <f>[1]Grp_3!M18</f>
        <v>0</v>
      </c>
      <c r="O20" s="20">
        <f>[1]Grp_3!N18</f>
        <v>0</v>
      </c>
      <c r="P20" s="20">
        <f>[1]Grp_3!O18</f>
        <v>0</v>
      </c>
      <c r="Q20" s="20">
        <f>[1]Grp_3!P18</f>
        <v>0</v>
      </c>
      <c r="R20" s="20">
        <f>[1]Grp_3!Q18</f>
        <v>0</v>
      </c>
      <c r="S20" s="21">
        <f>[1]Grp_3!R18</f>
        <v>0</v>
      </c>
      <c r="T20" s="9"/>
      <c r="U20" s="9"/>
      <c r="V20" s="10"/>
    </row>
    <row r="21" spans="1:22">
      <c r="A21" s="2">
        <v>18</v>
      </c>
      <c r="B21" s="17" t="str">
        <f>[1]Grp_3!A19</f>
        <v>901Y</v>
      </c>
      <c r="C21" s="30" t="str">
        <f>[1]Grp_3!B19</f>
        <v>Ninjabotics</v>
      </c>
      <c r="D21" s="18" t="str">
        <f>[1]Grp_3!C19</f>
        <v>The American School in Japan</v>
      </c>
      <c r="E21" s="31" t="str">
        <f>[1]Grp_3!D19</f>
        <v>Tokyo, N/A, Japan</v>
      </c>
      <c r="F21" s="34">
        <f>[1]Grp_3!E19</f>
        <v>0</v>
      </c>
      <c r="G21" s="19">
        <f>[1]Grp_3!F19</f>
        <v>37</v>
      </c>
      <c r="H21" s="37">
        <f>[1]Grp_3!G19</f>
        <v>34.162199999999999</v>
      </c>
      <c r="I21" s="38">
        <f>[1]Grp_3!H19</f>
        <v>34.162199999999999</v>
      </c>
      <c r="J21" s="20">
        <f>[1]Grp_3!I19</f>
        <v>0</v>
      </c>
      <c r="K21" s="20">
        <f>[1]Grp_3!J19</f>
        <v>0</v>
      </c>
      <c r="L21" s="20">
        <f>[1]Grp_3!K19</f>
        <v>0</v>
      </c>
      <c r="M21" s="20">
        <f>[1]Grp_3!L19</f>
        <v>0</v>
      </c>
      <c r="N21" s="20">
        <f>[1]Grp_3!M19</f>
        <v>0</v>
      </c>
      <c r="O21" s="20">
        <f>[1]Grp_3!N19</f>
        <v>0</v>
      </c>
      <c r="P21" s="20">
        <f>[1]Grp_3!O19</f>
        <v>0</v>
      </c>
      <c r="Q21" s="20">
        <f>[1]Grp_3!P19</f>
        <v>0</v>
      </c>
      <c r="R21" s="20">
        <f>[1]Grp_3!Q19</f>
        <v>0</v>
      </c>
      <c r="S21" s="21">
        <f>[1]Grp_3!R19</f>
        <v>0</v>
      </c>
      <c r="T21" s="9"/>
      <c r="U21" s="9"/>
      <c r="V21" s="10"/>
    </row>
    <row r="22" spans="1:22">
      <c r="A22" s="2">
        <v>19</v>
      </c>
      <c r="B22" s="17" t="str">
        <f>[1]Grp_3!A20</f>
        <v>973G</v>
      </c>
      <c r="C22" s="30" t="str">
        <f>[1]Grp_3!B20</f>
        <v>GreyDoges</v>
      </c>
      <c r="D22" s="18" t="str">
        <f>[1]Grp_3!C20</f>
        <v>Atascadero Robotics</v>
      </c>
      <c r="E22" s="31" t="str">
        <f>[1]Grp_3!D20</f>
        <v>Atascadero, California, United States</v>
      </c>
      <c r="F22" s="34">
        <f>[1]Grp_3!E20</f>
        <v>0</v>
      </c>
      <c r="G22" s="19">
        <f>[1]Grp_3!F20</f>
        <v>0</v>
      </c>
      <c r="H22" s="37">
        <f>[1]Grp_3!G20</f>
        <v>105.39400000000001</v>
      </c>
      <c r="I22" s="38">
        <f>[1]Grp_3!H20</f>
        <v>105.39400000000001</v>
      </c>
      <c r="J22" s="20">
        <f>[1]Grp_3!I20</f>
        <v>5.7781900000000004</v>
      </c>
      <c r="K22" s="20">
        <f>[1]Grp_3!J20</f>
        <v>66.602000000000004</v>
      </c>
      <c r="L22" s="20">
        <f>[1]Grp_3!K20</f>
        <v>68.020200000000003</v>
      </c>
      <c r="M22" s="20">
        <f>[1]Grp_3!L20</f>
        <v>30.698699999999999</v>
      </c>
      <c r="N22" s="20">
        <f>[1]Grp_3!M20</f>
        <v>27.466200000000001</v>
      </c>
      <c r="O22" s="20">
        <f>[1]Grp_3!N20</f>
        <v>0</v>
      </c>
      <c r="P22" s="20">
        <f>[1]Grp_3!O20</f>
        <v>0</v>
      </c>
      <c r="Q22" s="20">
        <f>[1]Grp_3!P20</f>
        <v>0</v>
      </c>
      <c r="R22" s="20">
        <f>[1]Grp_3!Q20</f>
        <v>0</v>
      </c>
      <c r="S22" s="21">
        <f>[1]Grp_3!R20</f>
        <v>0</v>
      </c>
      <c r="T22" s="9"/>
      <c r="U22" s="9"/>
      <c r="V22" s="10"/>
    </row>
    <row r="23" spans="1:22">
      <c r="A23" s="2">
        <v>20</v>
      </c>
      <c r="B23" s="17" t="str">
        <f>[1]Grp_3!A21</f>
        <v>1028A</v>
      </c>
      <c r="C23" s="30" t="str">
        <f>[1]Grp_3!B21</f>
        <v xml:space="preserve">C:\DOS\RUN </v>
      </c>
      <c r="D23" s="18" t="str">
        <f>[1]Grp_3!C21</f>
        <v>Brownell-Talbot</v>
      </c>
      <c r="E23" s="31" t="str">
        <f>[1]Grp_3!D21</f>
        <v>Omaha, Nebraska, United States</v>
      </c>
      <c r="F23" s="34">
        <f>[1]Grp_3!E21</f>
        <v>307</v>
      </c>
      <c r="G23" s="19">
        <f>[1]Grp_3!F21</f>
        <v>197</v>
      </c>
      <c r="H23" s="37">
        <f>[1]Grp_3!G21</f>
        <v>129.333</v>
      </c>
      <c r="I23" s="38">
        <f>[1]Grp_3!H21</f>
        <v>62.459400000000002</v>
      </c>
      <c r="J23" s="20">
        <f>[1]Grp_3!I21</f>
        <v>103.405</v>
      </c>
      <c r="K23" s="20">
        <f>[1]Grp_3!J21</f>
        <v>113.84</v>
      </c>
      <c r="L23" s="20">
        <f>[1]Grp_3!K21</f>
        <v>78.4268</v>
      </c>
      <c r="M23" s="20">
        <f>[1]Grp_3!L21</f>
        <v>112.033</v>
      </c>
      <c r="N23" s="20">
        <f>[1]Grp_3!M21</f>
        <v>129.333</v>
      </c>
      <c r="O23" s="20">
        <f>[1]Grp_3!N21</f>
        <v>92.391300000000001</v>
      </c>
      <c r="P23" s="20">
        <f>[1]Grp_3!O21</f>
        <v>93.462500000000006</v>
      </c>
      <c r="Q23" s="20">
        <f>[1]Grp_3!P21</f>
        <v>41.063699999999997</v>
      </c>
      <c r="R23" s="20">
        <f>[1]Grp_3!Q21</f>
        <v>0</v>
      </c>
      <c r="S23" s="21">
        <f>[1]Grp_3!R21</f>
        <v>0</v>
      </c>
      <c r="T23" s="9"/>
      <c r="U23" s="9"/>
      <c r="V23" s="10"/>
    </row>
    <row r="24" spans="1:22">
      <c r="A24" s="2">
        <v>21</v>
      </c>
      <c r="B24" s="17" t="str">
        <f>[1]Grp_3!A22</f>
        <v>1064P</v>
      </c>
      <c r="C24" s="30" t="str">
        <f>[1]Grp_3!B22</f>
        <v>OPS - Almost HD</v>
      </c>
      <c r="D24" s="18" t="str">
        <f>[1]Grp_3!C22</f>
        <v>Omaha North Magnet High School</v>
      </c>
      <c r="E24" s="31" t="str">
        <f>[1]Grp_3!D22</f>
        <v>Omaha, Nebraska, United States</v>
      </c>
      <c r="F24" s="34">
        <f>[1]Grp_3!E22</f>
        <v>190</v>
      </c>
      <c r="G24" s="19">
        <f>[1]Grp_3!F22</f>
        <v>60</v>
      </c>
      <c r="H24" s="37">
        <f>[1]Grp_3!G22</f>
        <v>106.61</v>
      </c>
      <c r="I24" s="38">
        <f>[1]Grp_3!H22</f>
        <v>80.028700000000001</v>
      </c>
      <c r="J24" s="20">
        <f>[1]Grp_3!I22</f>
        <v>100.932</v>
      </c>
      <c r="K24" s="20">
        <f>[1]Grp_3!J22</f>
        <v>106.61</v>
      </c>
      <c r="L24" s="20">
        <f>[1]Grp_3!K22</f>
        <v>72.363600000000005</v>
      </c>
      <c r="M24" s="20">
        <f>[1]Grp_3!L22</f>
        <v>35.6676</v>
      </c>
      <c r="N24" s="20">
        <f>[1]Grp_3!M22</f>
        <v>64.250500000000002</v>
      </c>
      <c r="O24" s="20">
        <f>[1]Grp_3!N22</f>
        <v>0</v>
      </c>
      <c r="P24" s="20">
        <f>[1]Grp_3!O22</f>
        <v>0</v>
      </c>
      <c r="Q24" s="20">
        <f>[1]Grp_3!P22</f>
        <v>0</v>
      </c>
      <c r="R24" s="20">
        <f>[1]Grp_3!Q22</f>
        <v>0</v>
      </c>
      <c r="S24" s="21">
        <f>[1]Grp_3!R22</f>
        <v>0</v>
      </c>
      <c r="T24" s="9"/>
      <c r="U24" s="9"/>
      <c r="V24" s="10"/>
    </row>
    <row r="25" spans="1:22">
      <c r="A25" s="2">
        <v>22</v>
      </c>
      <c r="B25" s="17" t="str">
        <f>[1]Grp_3!A23</f>
        <v>1104V</v>
      </c>
      <c r="C25" s="30" t="str">
        <f>[1]Grp_3!B23</f>
        <v>Discobots ℣ - 🍁 #PrayForThomas2k16</v>
      </c>
      <c r="D25" s="18" t="str">
        <f>[1]Grp_3!C23</f>
        <v>Brampton Robotics Education</v>
      </c>
      <c r="E25" s="31" t="str">
        <f>[1]Grp_3!D23</f>
        <v>Brampton, Ontario, Canada</v>
      </c>
      <c r="F25" s="34">
        <f>[1]Grp_3!E23</f>
        <v>400</v>
      </c>
      <c r="G25" s="19">
        <f>[1]Grp_3!F23</f>
        <v>0</v>
      </c>
      <c r="H25" s="37">
        <f>[1]Grp_3!G23</f>
        <v>155.88999999999999</v>
      </c>
      <c r="I25" s="38">
        <f>[1]Grp_3!H23</f>
        <v>97.639300000000006</v>
      </c>
      <c r="J25" s="20">
        <f>[1]Grp_3!I23</f>
        <v>155.88999999999999</v>
      </c>
      <c r="K25" s="20">
        <f>[1]Grp_3!J23</f>
        <v>96.428299999999993</v>
      </c>
      <c r="L25" s="20">
        <f>[1]Grp_3!K23</f>
        <v>74.928899999999999</v>
      </c>
      <c r="M25" s="20">
        <f>[1]Grp_3!L23</f>
        <v>80.825999999999993</v>
      </c>
      <c r="N25" s="20">
        <f>[1]Grp_3!M23</f>
        <v>80.305000000000007</v>
      </c>
      <c r="O25" s="20">
        <f>[1]Grp_3!N23</f>
        <v>74.325599999999994</v>
      </c>
      <c r="P25" s="20">
        <f>[1]Grp_3!O23</f>
        <v>0</v>
      </c>
      <c r="Q25" s="20">
        <f>[1]Grp_3!P23</f>
        <v>0</v>
      </c>
      <c r="R25" s="20">
        <f>[1]Grp_3!Q23</f>
        <v>0</v>
      </c>
      <c r="S25" s="21">
        <f>[1]Grp_3!R23</f>
        <v>0</v>
      </c>
      <c r="T25" s="9"/>
      <c r="U25" s="9"/>
      <c r="V25" s="10"/>
    </row>
    <row r="26" spans="1:22">
      <c r="A26" s="2">
        <v>23</v>
      </c>
      <c r="B26" s="17" t="str">
        <f>[1]Grp_3!A24</f>
        <v>1138</v>
      </c>
      <c r="C26" s="30" t="str">
        <f>[1]Grp_3!B24</f>
        <v>Eagle Engineering</v>
      </c>
      <c r="D26" s="18" t="str">
        <f>[1]Grp_3!C24</f>
        <v>Chaminade College Preparatory</v>
      </c>
      <c r="E26" s="31" t="str">
        <f>[1]Grp_3!D24</f>
        <v>West Hills, California, United States</v>
      </c>
      <c r="F26" s="34">
        <f>[1]Grp_3!E24</f>
        <v>140</v>
      </c>
      <c r="G26" s="19">
        <f>[1]Grp_3!F24</f>
        <v>88</v>
      </c>
      <c r="H26" s="37">
        <f>[1]Grp_3!G24</f>
        <v>78.505300000000005</v>
      </c>
      <c r="I26" s="38">
        <f>[1]Grp_3!H24</f>
        <v>58.832500000000003</v>
      </c>
      <c r="J26" s="20">
        <f>[1]Grp_3!I24</f>
        <v>55.856200000000001</v>
      </c>
      <c r="K26" s="20">
        <f>[1]Grp_3!J24</f>
        <v>61.929699999999997</v>
      </c>
      <c r="L26" s="20">
        <f>[1]Grp_3!K24</f>
        <v>78.505300000000005</v>
      </c>
      <c r="M26" s="20">
        <f>[1]Grp_3!L24</f>
        <v>27.729500000000002</v>
      </c>
      <c r="N26" s="20">
        <f>[1]Grp_3!M24</f>
        <v>26.423100000000002</v>
      </c>
      <c r="O26" s="20">
        <f>[1]Grp_3!N24</f>
        <v>0</v>
      </c>
      <c r="P26" s="20">
        <f>[1]Grp_3!O24</f>
        <v>0</v>
      </c>
      <c r="Q26" s="20">
        <f>[1]Grp_3!P24</f>
        <v>0</v>
      </c>
      <c r="R26" s="20">
        <f>[1]Grp_3!Q24</f>
        <v>0</v>
      </c>
      <c r="S26" s="21">
        <f>[1]Grp_3!R24</f>
        <v>0</v>
      </c>
      <c r="T26" s="9"/>
      <c r="U26" s="9"/>
      <c r="V26" s="10"/>
    </row>
    <row r="27" spans="1:22">
      <c r="A27" s="2">
        <v>24</v>
      </c>
      <c r="B27" s="17" t="str">
        <f>[1]Grp_3!A25</f>
        <v>1233C</v>
      </c>
      <c r="C27" s="30" t="str">
        <f>[1]Grp_3!B25</f>
        <v>UnderDogs</v>
      </c>
      <c r="D27" s="18" t="str">
        <f>[1]Grp_3!C25</f>
        <v>Crown Point High School</v>
      </c>
      <c r="E27" s="31" t="str">
        <f>[1]Grp_3!D25</f>
        <v>Crown Point, Indiana, United States</v>
      </c>
      <c r="F27" s="34">
        <f>[1]Grp_3!E25</f>
        <v>109</v>
      </c>
      <c r="G27" s="19">
        <f>[1]Grp_3!F25</f>
        <v>61</v>
      </c>
      <c r="H27" s="37">
        <f>[1]Grp_3!G25</f>
        <v>95.705500000000001</v>
      </c>
      <c r="I27" s="38">
        <f>[1]Grp_3!H25</f>
        <v>86.209500000000006</v>
      </c>
      <c r="J27" s="20">
        <f>[1]Grp_3!I25</f>
        <v>95.705500000000001</v>
      </c>
      <c r="K27" s="20">
        <f>[1]Grp_3!J25</f>
        <v>65.963999999999999</v>
      </c>
      <c r="L27" s="20">
        <f>[1]Grp_3!K25</f>
        <v>18.799900000000001</v>
      </c>
      <c r="M27" s="20">
        <f>[1]Grp_3!L25</f>
        <v>72.849400000000003</v>
      </c>
      <c r="N27" s="20">
        <f>[1]Grp_3!M25</f>
        <v>61.650500000000001</v>
      </c>
      <c r="O27" s="20">
        <f>[1]Grp_3!N25</f>
        <v>15.347899999999999</v>
      </c>
      <c r="P27" s="20">
        <f>[1]Grp_3!O25</f>
        <v>39.049399999999999</v>
      </c>
      <c r="Q27" s="20">
        <f>[1]Grp_3!P25</f>
        <v>13.045500000000001</v>
      </c>
      <c r="R27" s="20">
        <f>[1]Grp_3!Q25</f>
        <v>-3.6117400000000002</v>
      </c>
      <c r="S27" s="21">
        <f>[1]Grp_3!R25</f>
        <v>2.1463899999999998</v>
      </c>
      <c r="T27" s="9"/>
      <c r="U27" s="9"/>
      <c r="V27" s="10"/>
    </row>
    <row r="28" spans="1:22">
      <c r="A28" s="2">
        <v>25</v>
      </c>
      <c r="B28" s="17" t="str">
        <f>[1]Grp_3!A26</f>
        <v>1344</v>
      </c>
      <c r="C28" s="30" t="str">
        <f>[1]Grp_3!B26</f>
        <v>James Ford Rhodes</v>
      </c>
      <c r="D28" s="18" t="str">
        <f>[1]Grp_3!C26</f>
        <v>James Ford Rhodes</v>
      </c>
      <c r="E28" s="31" t="str">
        <f>[1]Grp_3!D26</f>
        <v>Cleveland, Ohio, United States</v>
      </c>
      <c r="F28" s="34">
        <f>[1]Grp_3!E26</f>
        <v>216</v>
      </c>
      <c r="G28" s="19">
        <f>[1]Grp_3!F26</f>
        <v>89</v>
      </c>
      <c r="H28" s="37">
        <f>[1]Grp_3!G26</f>
        <v>119.217</v>
      </c>
      <c r="I28" s="38">
        <f>[1]Grp_3!H26</f>
        <v>85.357799999999997</v>
      </c>
      <c r="J28" s="20">
        <f>[1]Grp_3!I26</f>
        <v>119.217</v>
      </c>
      <c r="K28" s="20">
        <f>[1]Grp_3!J26</f>
        <v>78.787300000000002</v>
      </c>
      <c r="L28" s="20">
        <f>[1]Grp_3!K26</f>
        <v>70.790800000000004</v>
      </c>
      <c r="M28" s="20">
        <f>[1]Grp_3!L26</f>
        <v>53.155900000000003</v>
      </c>
      <c r="N28" s="20">
        <f>[1]Grp_3!M26</f>
        <v>12.987299999999999</v>
      </c>
      <c r="O28" s="20">
        <f>[1]Grp_3!N26</f>
        <v>0</v>
      </c>
      <c r="P28" s="20">
        <f>[1]Grp_3!O26</f>
        <v>0</v>
      </c>
      <c r="Q28" s="20">
        <f>[1]Grp_3!P26</f>
        <v>0</v>
      </c>
      <c r="R28" s="20">
        <f>[1]Grp_3!Q26</f>
        <v>0</v>
      </c>
      <c r="S28" s="21">
        <f>[1]Grp_3!R26</f>
        <v>0</v>
      </c>
      <c r="T28" s="9"/>
      <c r="U28" s="9"/>
      <c r="V28" s="10"/>
    </row>
    <row r="29" spans="1:22">
      <c r="A29" s="2">
        <v>26</v>
      </c>
      <c r="B29" s="17" t="str">
        <f>[1]Grp_3!A27</f>
        <v>1366</v>
      </c>
      <c r="C29" s="30" t="str">
        <f>[1]Grp_3!B27</f>
        <v>Berkner Fearless Robotics</v>
      </c>
      <c r="D29" s="18" t="str">
        <f>[1]Grp_3!C27</f>
        <v>Berkner STEM Academy</v>
      </c>
      <c r="E29" s="31" t="str">
        <f>[1]Grp_3!D27</f>
        <v>Richardson, Texas, United States</v>
      </c>
      <c r="F29" s="34">
        <f>[1]Grp_3!E27</f>
        <v>330</v>
      </c>
      <c r="G29" s="19">
        <f>[1]Grp_3!F27</f>
        <v>129</v>
      </c>
      <c r="H29" s="37">
        <f>[1]Grp_3!G27</f>
        <v>181.03700000000001</v>
      </c>
      <c r="I29" s="38">
        <f>[1]Grp_3!H27</f>
        <v>158.482</v>
      </c>
      <c r="J29" s="20">
        <f>[1]Grp_3!I27</f>
        <v>181.03700000000001</v>
      </c>
      <c r="K29" s="20">
        <f>[1]Grp_3!J27</f>
        <v>108.468</v>
      </c>
      <c r="L29" s="20">
        <f>[1]Grp_3!K27</f>
        <v>80.251000000000005</v>
      </c>
      <c r="M29" s="20">
        <f>[1]Grp_3!L27</f>
        <v>0</v>
      </c>
      <c r="N29" s="20">
        <f>[1]Grp_3!M27</f>
        <v>0</v>
      </c>
      <c r="O29" s="20">
        <f>[1]Grp_3!N27</f>
        <v>0</v>
      </c>
      <c r="P29" s="20">
        <f>[1]Grp_3!O27</f>
        <v>0</v>
      </c>
      <c r="Q29" s="20">
        <f>[1]Grp_3!P27</f>
        <v>0</v>
      </c>
      <c r="R29" s="20">
        <f>[1]Grp_3!Q27</f>
        <v>0</v>
      </c>
      <c r="S29" s="21">
        <f>[1]Grp_3!R27</f>
        <v>0</v>
      </c>
      <c r="T29" s="9"/>
      <c r="U29" s="9"/>
      <c r="V29" s="10"/>
    </row>
    <row r="30" spans="1:22">
      <c r="A30" s="2">
        <v>27</v>
      </c>
      <c r="B30" s="17" t="str">
        <f>[1]Grp_3!A28</f>
        <v>1460A</v>
      </c>
      <c r="C30" s="30" t="str">
        <f>[1]Grp_3!B28</f>
        <v>THE LIBERATORRRR</v>
      </c>
      <c r="D30" s="18" t="str">
        <f>[1]Grp_3!C28</f>
        <v>Sandy Robotics Club</v>
      </c>
      <c r="E30" s="31" t="str">
        <f>[1]Grp_3!D28</f>
        <v>Sandy, Oregon, United States</v>
      </c>
      <c r="F30" s="34">
        <f>[1]Grp_3!E28</f>
        <v>0</v>
      </c>
      <c r="G30" s="19">
        <f>[1]Grp_3!F28</f>
        <v>0</v>
      </c>
      <c r="H30" s="37">
        <f>[1]Grp_3!G28</f>
        <v>24.678100000000001</v>
      </c>
      <c r="I30" s="38">
        <f>[1]Grp_3!H28</f>
        <v>12.748900000000001</v>
      </c>
      <c r="J30" s="20">
        <f>[1]Grp_3!I28</f>
        <v>24.678100000000001</v>
      </c>
      <c r="K30" s="20">
        <f>[1]Grp_3!J28</f>
        <v>17.5943</v>
      </c>
      <c r="L30" s="20">
        <f>[1]Grp_3!K28</f>
        <v>9.1215799999999998</v>
      </c>
      <c r="M30" s="20">
        <f>[1]Grp_3!L28</f>
        <v>0</v>
      </c>
      <c r="N30" s="20">
        <f>[1]Grp_3!M28</f>
        <v>0</v>
      </c>
      <c r="O30" s="20">
        <f>[1]Grp_3!N28</f>
        <v>0</v>
      </c>
      <c r="P30" s="20">
        <f>[1]Grp_3!O28</f>
        <v>0</v>
      </c>
      <c r="Q30" s="20">
        <f>[1]Grp_3!P28</f>
        <v>0</v>
      </c>
      <c r="R30" s="20">
        <f>[1]Grp_3!Q28</f>
        <v>0</v>
      </c>
      <c r="S30" s="21">
        <f>[1]Grp_3!R28</f>
        <v>0</v>
      </c>
      <c r="T30" s="9"/>
      <c r="U30" s="9"/>
      <c r="V30" s="10"/>
    </row>
    <row r="31" spans="1:22">
      <c r="A31" s="2">
        <v>28</v>
      </c>
      <c r="B31" s="17" t="str">
        <f>[1]Grp_3!A29</f>
        <v>1497K</v>
      </c>
      <c r="C31" s="30" t="str">
        <f>[1]Grp_3!B29</f>
        <v>Design Academy</v>
      </c>
      <c r="D31" s="18" t="str">
        <f>[1]Grp_3!C29</f>
        <v>Utah State University//Design Academy</v>
      </c>
      <c r="E31" s="31" t="str">
        <f>[1]Grp_3!D29</f>
        <v>Logan, Utah, United States</v>
      </c>
      <c r="F31" s="34">
        <f>[1]Grp_3!E29</f>
        <v>229</v>
      </c>
      <c r="G31" s="19">
        <f>[1]Grp_3!F29</f>
        <v>326</v>
      </c>
      <c r="H31" s="37">
        <f>[1]Grp_3!G29</f>
        <v>157.73699999999999</v>
      </c>
      <c r="I31" s="38">
        <f>[1]Grp_3!H29</f>
        <v>109.684</v>
      </c>
      <c r="J31" s="20">
        <f>[1]Grp_3!I29</f>
        <v>60.592399999999998</v>
      </c>
      <c r="K31" s="20">
        <f>[1]Grp_3!J29</f>
        <v>157.73699999999999</v>
      </c>
      <c r="L31" s="20">
        <f>[1]Grp_3!K29</f>
        <v>138.79900000000001</v>
      </c>
      <c r="M31" s="20">
        <f>[1]Grp_3!L29</f>
        <v>80.434299999999993</v>
      </c>
      <c r="N31" s="20">
        <f>[1]Grp_3!M29</f>
        <v>104.747</v>
      </c>
      <c r="O31" s="20">
        <f>[1]Grp_3!N29</f>
        <v>49.601700000000001</v>
      </c>
      <c r="P31" s="20">
        <f>[1]Grp_3!O29</f>
        <v>37.124400000000001</v>
      </c>
      <c r="Q31" s="20">
        <f>[1]Grp_3!P29</f>
        <v>26.6127</v>
      </c>
      <c r="R31" s="20">
        <f>[1]Grp_3!Q29</f>
        <v>0</v>
      </c>
      <c r="S31" s="21">
        <f>[1]Grp_3!R29</f>
        <v>0</v>
      </c>
      <c r="T31" s="9"/>
      <c r="U31" s="9"/>
      <c r="V31" s="10"/>
    </row>
    <row r="32" spans="1:22">
      <c r="A32" s="2">
        <v>29</v>
      </c>
      <c r="B32" s="17" t="str">
        <f>[1]Grp_3!A30</f>
        <v>1575C</v>
      </c>
      <c r="C32" s="30" t="str">
        <f>[1]Grp_3!B30</f>
        <v>Carnage</v>
      </c>
      <c r="D32" s="18" t="str">
        <f>[1]Grp_3!C30</f>
        <v>Woodbridge Senior High School</v>
      </c>
      <c r="E32" s="31" t="str">
        <f>[1]Grp_3!D30</f>
        <v>Woodbridge, Virginia, United States</v>
      </c>
      <c r="F32" s="34">
        <f>[1]Grp_3!E30</f>
        <v>107</v>
      </c>
      <c r="G32" s="19">
        <f>[1]Grp_3!F30</f>
        <v>0</v>
      </c>
      <c r="H32" s="37">
        <f>[1]Grp_3!G30</f>
        <v>54.712000000000003</v>
      </c>
      <c r="I32" s="38">
        <f>[1]Grp_3!H30</f>
        <v>54.712000000000003</v>
      </c>
      <c r="J32" s="20">
        <f>[1]Grp_3!I30</f>
        <v>20.7425</v>
      </c>
      <c r="K32" s="20">
        <f>[1]Grp_3!J30</f>
        <v>42.848300000000002</v>
      </c>
      <c r="L32" s="20">
        <f>[1]Grp_3!K30</f>
        <v>34.240900000000003</v>
      </c>
      <c r="M32" s="20">
        <f>[1]Grp_3!L30</f>
        <v>17.9329</v>
      </c>
      <c r="N32" s="20">
        <f>[1]Grp_3!M30</f>
        <v>44.639200000000002</v>
      </c>
      <c r="O32" s="20">
        <f>[1]Grp_3!N30</f>
        <v>34.584000000000003</v>
      </c>
      <c r="P32" s="20">
        <f>[1]Grp_3!O30</f>
        <v>0</v>
      </c>
      <c r="Q32" s="20">
        <f>[1]Grp_3!P30</f>
        <v>0</v>
      </c>
      <c r="R32" s="20">
        <f>[1]Grp_3!Q30</f>
        <v>0</v>
      </c>
      <c r="S32" s="21">
        <f>[1]Grp_3!R30</f>
        <v>0</v>
      </c>
      <c r="T32" s="9"/>
      <c r="U32" s="9"/>
      <c r="V32" s="10"/>
    </row>
    <row r="33" spans="1:22">
      <c r="A33" s="2">
        <v>30</v>
      </c>
      <c r="B33" s="17" t="str">
        <f>[1]Grp_3!A31</f>
        <v>1670A</v>
      </c>
      <c r="C33" s="30" t="str">
        <f>[1]Grp_3!B31</f>
        <v>The A-Team</v>
      </c>
      <c r="D33" s="18" t="str">
        <f>[1]Grp_3!C31</f>
        <v>Calvert High School</v>
      </c>
      <c r="E33" s="31" t="str">
        <f>[1]Grp_3!D31</f>
        <v>Prince Frederick, Maryland, United States</v>
      </c>
      <c r="F33" s="34">
        <f>[1]Grp_3!E31</f>
        <v>132</v>
      </c>
      <c r="G33" s="19">
        <f>[1]Grp_3!F31</f>
        <v>116</v>
      </c>
      <c r="H33" s="37">
        <f>[1]Grp_3!G31</f>
        <v>94.677700000000002</v>
      </c>
      <c r="I33" s="38">
        <f>[1]Grp_3!H31</f>
        <v>57.414000000000001</v>
      </c>
      <c r="J33" s="20">
        <f>[1]Grp_3!I31</f>
        <v>73.281800000000004</v>
      </c>
      <c r="K33" s="20">
        <f>[1]Grp_3!J31</f>
        <v>94.677700000000002</v>
      </c>
      <c r="L33" s="20">
        <f>[1]Grp_3!K31</f>
        <v>0</v>
      </c>
      <c r="M33" s="20">
        <f>[1]Grp_3!L31</f>
        <v>0</v>
      </c>
      <c r="N33" s="20">
        <f>[1]Grp_3!M31</f>
        <v>0</v>
      </c>
      <c r="O33" s="20">
        <f>[1]Grp_3!N31</f>
        <v>0</v>
      </c>
      <c r="P33" s="20">
        <f>[1]Grp_3!O31</f>
        <v>0</v>
      </c>
      <c r="Q33" s="20">
        <f>[1]Grp_3!P31</f>
        <v>0</v>
      </c>
      <c r="R33" s="20">
        <f>[1]Grp_3!Q31</f>
        <v>0</v>
      </c>
      <c r="S33" s="21">
        <f>[1]Grp_3!R31</f>
        <v>0</v>
      </c>
      <c r="T33" s="9"/>
      <c r="U33" s="9"/>
      <c r="V33" s="10"/>
    </row>
    <row r="34" spans="1:22">
      <c r="A34" s="2">
        <v>31</v>
      </c>
      <c r="B34" s="17" t="str">
        <f>[1]Grp_3!A32</f>
        <v>1879B</v>
      </c>
      <c r="C34" s="30" t="str">
        <f>[1]Grp_3!B32</f>
        <v>Sultana Autoshop 1</v>
      </c>
      <c r="D34" s="18" t="str">
        <f>[1]Grp_3!C32</f>
        <v>Sultana High School</v>
      </c>
      <c r="E34" s="31" t="str">
        <f>[1]Grp_3!D32</f>
        <v>Hesperia, California, United States</v>
      </c>
      <c r="F34" s="34">
        <f>[1]Grp_3!E32</f>
        <v>282</v>
      </c>
      <c r="G34" s="19">
        <f>[1]Grp_3!F32</f>
        <v>20</v>
      </c>
      <c r="H34" s="37">
        <f>[1]Grp_3!G32</f>
        <v>59.354599999999998</v>
      </c>
      <c r="I34" s="38">
        <f>[1]Grp_3!H32</f>
        <v>49.929699999999997</v>
      </c>
      <c r="J34" s="20">
        <f>[1]Grp_3!I32</f>
        <v>59.354599999999998</v>
      </c>
      <c r="K34" s="20">
        <f>[1]Grp_3!J32</f>
        <v>19.422599999999999</v>
      </c>
      <c r="L34" s="20">
        <f>[1]Grp_3!K32</f>
        <v>0</v>
      </c>
      <c r="M34" s="20">
        <f>[1]Grp_3!L32</f>
        <v>0</v>
      </c>
      <c r="N34" s="20">
        <f>[1]Grp_3!M32</f>
        <v>0</v>
      </c>
      <c r="O34" s="20">
        <f>[1]Grp_3!N32</f>
        <v>0</v>
      </c>
      <c r="P34" s="20">
        <f>[1]Grp_3!O32</f>
        <v>0</v>
      </c>
      <c r="Q34" s="20">
        <f>[1]Grp_3!P32</f>
        <v>0</v>
      </c>
      <c r="R34" s="20">
        <f>[1]Grp_3!Q32</f>
        <v>0</v>
      </c>
      <c r="S34" s="21">
        <f>[1]Grp_3!R32</f>
        <v>0</v>
      </c>
      <c r="T34" s="9"/>
      <c r="U34" s="9"/>
      <c r="V34" s="10"/>
    </row>
    <row r="35" spans="1:22">
      <c r="A35" s="2">
        <v>32</v>
      </c>
      <c r="B35" s="17" t="str">
        <f>[1]Grp_3!A33</f>
        <v>2011B</v>
      </c>
      <c r="C35" s="30" t="str">
        <f>[1]Grp_3!B33</f>
        <v>Brecksville Robotics</v>
      </c>
      <c r="D35" s="18" t="str">
        <f>[1]Grp_3!C33</f>
        <v>Brecksville-Broadview Heights</v>
      </c>
      <c r="E35" s="31" t="str">
        <f>[1]Grp_3!D33</f>
        <v>Broadview Heights, Ohio, United States</v>
      </c>
      <c r="F35" s="34">
        <f>[1]Grp_3!E33</f>
        <v>278</v>
      </c>
      <c r="G35" s="19">
        <f>[1]Grp_3!F33</f>
        <v>135</v>
      </c>
      <c r="H35" s="37">
        <f>[1]Grp_3!G33</f>
        <v>133.714</v>
      </c>
      <c r="I35" s="38">
        <f>[1]Grp_3!H33</f>
        <v>133.714</v>
      </c>
      <c r="J35" s="20">
        <f>[1]Grp_3!I33</f>
        <v>93.238</v>
      </c>
      <c r="K35" s="20">
        <f>[1]Grp_3!J33</f>
        <v>116.755</v>
      </c>
      <c r="L35" s="20">
        <f>[1]Grp_3!K33</f>
        <v>132.34899999999999</v>
      </c>
      <c r="M35" s="20">
        <f>[1]Grp_3!L33</f>
        <v>87.656999999999996</v>
      </c>
      <c r="N35" s="20">
        <f>[1]Grp_3!M33</f>
        <v>99.972499999999997</v>
      </c>
      <c r="O35" s="20">
        <f>[1]Grp_3!N33</f>
        <v>57.228299999999997</v>
      </c>
      <c r="P35" s="20">
        <f>[1]Grp_3!O33</f>
        <v>27.655899999999999</v>
      </c>
      <c r="Q35" s="20">
        <f>[1]Grp_3!P33</f>
        <v>0</v>
      </c>
      <c r="R35" s="20">
        <f>[1]Grp_3!Q33</f>
        <v>0</v>
      </c>
      <c r="S35" s="21">
        <f>[1]Grp_3!R33</f>
        <v>0</v>
      </c>
      <c r="T35" s="9"/>
      <c r="U35" s="9"/>
      <c r="V35" s="10"/>
    </row>
    <row r="36" spans="1:22">
      <c r="A36" s="2">
        <v>33</v>
      </c>
      <c r="B36" s="17" t="str">
        <f>[1]Grp_3!A34</f>
        <v>2105C</v>
      </c>
      <c r="C36" s="30" t="str">
        <f>[1]Grp_3!B34</f>
        <v>Swampbotics</v>
      </c>
      <c r="D36" s="18" t="str">
        <f>[1]Grp_3!C34</f>
        <v>Ware County High School</v>
      </c>
      <c r="E36" s="31" t="str">
        <f>[1]Grp_3!D34</f>
        <v>Waycross, Georgia, United States</v>
      </c>
      <c r="F36" s="34">
        <f>[1]Grp_3!E34</f>
        <v>279</v>
      </c>
      <c r="G36" s="19">
        <f>[1]Grp_3!F34</f>
        <v>320</v>
      </c>
      <c r="H36" s="37">
        <f>[1]Grp_3!G34</f>
        <v>96.957400000000007</v>
      </c>
      <c r="I36" s="38">
        <f>[1]Grp_3!H34</f>
        <v>61.325899999999997</v>
      </c>
      <c r="J36" s="20">
        <f>[1]Grp_3!I34</f>
        <v>92.936700000000002</v>
      </c>
      <c r="K36" s="20">
        <f>[1]Grp_3!J34</f>
        <v>95.884699999999995</v>
      </c>
      <c r="L36" s="20">
        <f>[1]Grp_3!K34</f>
        <v>96.957400000000007</v>
      </c>
      <c r="M36" s="20">
        <f>[1]Grp_3!L34</f>
        <v>51.7883</v>
      </c>
      <c r="N36" s="20">
        <f>[1]Grp_3!M34</f>
        <v>0</v>
      </c>
      <c r="O36" s="20">
        <f>[1]Grp_3!N34</f>
        <v>0</v>
      </c>
      <c r="P36" s="20">
        <f>[1]Grp_3!O34</f>
        <v>0</v>
      </c>
      <c r="Q36" s="20">
        <f>[1]Grp_3!P34</f>
        <v>0</v>
      </c>
      <c r="R36" s="20">
        <f>[1]Grp_3!Q34</f>
        <v>0</v>
      </c>
      <c r="S36" s="21">
        <f>[1]Grp_3!R34</f>
        <v>0</v>
      </c>
      <c r="T36" s="9"/>
      <c r="U36" s="9"/>
      <c r="V36" s="10"/>
    </row>
    <row r="37" spans="1:22">
      <c r="A37" s="2">
        <v>34</v>
      </c>
      <c r="B37" s="17" t="str">
        <f>[1]Grp_3!A35</f>
        <v>2131W</v>
      </c>
      <c r="C37" s="30" t="str">
        <f>[1]Grp_3!B35</f>
        <v>Radioactive Bananas</v>
      </c>
      <c r="D37" s="18" t="str">
        <f>[1]Grp_3!C35</f>
        <v>Davis High School</v>
      </c>
      <c r="E37" s="31" t="str">
        <f>[1]Grp_3!D35</f>
        <v>Kaysville, Utah, United States</v>
      </c>
      <c r="F37" s="34">
        <f>[1]Grp_3!E35</f>
        <v>332</v>
      </c>
      <c r="G37" s="19">
        <f>[1]Grp_3!F35</f>
        <v>130</v>
      </c>
      <c r="H37" s="37">
        <f>[1]Grp_3!G35</f>
        <v>146.41</v>
      </c>
      <c r="I37" s="38">
        <f>[1]Grp_3!H35</f>
        <v>96.929900000000004</v>
      </c>
      <c r="J37" s="20">
        <f>[1]Grp_3!I35</f>
        <v>36.279600000000002</v>
      </c>
      <c r="K37" s="20">
        <f>[1]Grp_3!J35</f>
        <v>87.758200000000002</v>
      </c>
      <c r="L37" s="20">
        <f>[1]Grp_3!K35</f>
        <v>109.092</v>
      </c>
      <c r="M37" s="20">
        <f>[1]Grp_3!L35</f>
        <v>146.41</v>
      </c>
      <c r="N37" s="20">
        <f>[1]Grp_3!M35</f>
        <v>48.508299999999998</v>
      </c>
      <c r="O37" s="20">
        <f>[1]Grp_3!N35</f>
        <v>0</v>
      </c>
      <c r="P37" s="20">
        <f>[1]Grp_3!O35</f>
        <v>0</v>
      </c>
      <c r="Q37" s="20">
        <f>[1]Grp_3!P35</f>
        <v>0</v>
      </c>
      <c r="R37" s="20">
        <f>[1]Grp_3!Q35</f>
        <v>0</v>
      </c>
      <c r="S37" s="21">
        <f>[1]Grp_3!R35</f>
        <v>0</v>
      </c>
      <c r="T37" s="9"/>
      <c r="U37" s="9"/>
      <c r="V37" s="10"/>
    </row>
    <row r="38" spans="1:22">
      <c r="A38" s="2">
        <v>35</v>
      </c>
      <c r="B38" s="17" t="str">
        <f>[1]Grp_3!A36</f>
        <v>2335</v>
      </c>
      <c r="C38" s="30" t="str">
        <f>[1]Grp_3!B36</f>
        <v>Redhead Robotics</v>
      </c>
      <c r="D38" s="18" t="str">
        <f>[1]Grp_3!C36</f>
        <v>Clear Creek ISD</v>
      </c>
      <c r="E38" s="31" t="str">
        <f>[1]Grp_3!D36</f>
        <v>League City, Texas, United States</v>
      </c>
      <c r="F38" s="34">
        <f>[1]Grp_3!E36</f>
        <v>272</v>
      </c>
      <c r="G38" s="19">
        <f>[1]Grp_3!F36</f>
        <v>108</v>
      </c>
      <c r="H38" s="37">
        <f>[1]Grp_3!G36</f>
        <v>118.932</v>
      </c>
      <c r="I38" s="38">
        <f>[1]Grp_3!H36</f>
        <v>82.659899999999993</v>
      </c>
      <c r="J38" s="20">
        <f>[1]Grp_3!I36</f>
        <v>118.932</v>
      </c>
      <c r="K38" s="20">
        <f>[1]Grp_3!J36</f>
        <v>94.398600000000002</v>
      </c>
      <c r="L38" s="20">
        <f>[1]Grp_3!K36</f>
        <v>88.313000000000002</v>
      </c>
      <c r="M38" s="20">
        <f>[1]Grp_3!L36</f>
        <v>0</v>
      </c>
      <c r="N38" s="20">
        <f>[1]Grp_3!M36</f>
        <v>0</v>
      </c>
      <c r="O38" s="20">
        <f>[1]Grp_3!N36</f>
        <v>0</v>
      </c>
      <c r="P38" s="20">
        <f>[1]Grp_3!O36</f>
        <v>0</v>
      </c>
      <c r="Q38" s="20">
        <f>[1]Grp_3!P36</f>
        <v>0</v>
      </c>
      <c r="R38" s="20">
        <f>[1]Grp_3!Q36</f>
        <v>0</v>
      </c>
      <c r="S38" s="21">
        <f>[1]Grp_3!R36</f>
        <v>0</v>
      </c>
      <c r="T38" s="9"/>
      <c r="U38" s="9"/>
      <c r="V38" s="10"/>
    </row>
    <row r="39" spans="1:22">
      <c r="A39" s="2">
        <v>36</v>
      </c>
      <c r="B39" s="17" t="str">
        <f>[1]Grp_3!A37</f>
        <v>2442C</v>
      </c>
      <c r="C39" s="30" t="str">
        <f>[1]Grp_3!B37</f>
        <v>Bancroft Robodogs C</v>
      </c>
      <c r="D39" s="18" t="str">
        <f>[1]Grp_3!C37</f>
        <v>Bancroft School</v>
      </c>
      <c r="E39" s="31" t="str">
        <f>[1]Grp_3!D37</f>
        <v>Worcester, Massachusetts, United States</v>
      </c>
      <c r="F39" s="34">
        <f>[1]Grp_3!E37</f>
        <v>225</v>
      </c>
      <c r="G39" s="19">
        <f>[1]Grp_3!F37</f>
        <v>163</v>
      </c>
      <c r="H39" s="37">
        <f>[1]Grp_3!G37</f>
        <v>91.221199999999996</v>
      </c>
      <c r="I39" s="38">
        <f>[1]Grp_3!H37</f>
        <v>81.444800000000001</v>
      </c>
      <c r="J39" s="20">
        <f>[1]Grp_3!I37</f>
        <v>91.221199999999996</v>
      </c>
      <c r="K39" s="20">
        <f>[1]Grp_3!J37</f>
        <v>76.431299999999993</v>
      </c>
      <c r="L39" s="20">
        <f>[1]Grp_3!K37</f>
        <v>81.802800000000005</v>
      </c>
      <c r="M39" s="20">
        <f>[1]Grp_3!L37</f>
        <v>74.227900000000005</v>
      </c>
      <c r="N39" s="20">
        <f>[1]Grp_3!M37</f>
        <v>0</v>
      </c>
      <c r="O39" s="20">
        <f>[1]Grp_3!N37</f>
        <v>0</v>
      </c>
      <c r="P39" s="20">
        <f>[1]Grp_3!O37</f>
        <v>0</v>
      </c>
      <c r="Q39" s="20">
        <f>[1]Grp_3!P37</f>
        <v>0</v>
      </c>
      <c r="R39" s="20">
        <f>[1]Grp_3!Q37</f>
        <v>0</v>
      </c>
      <c r="S39" s="21">
        <f>[1]Grp_3!R37</f>
        <v>0</v>
      </c>
      <c r="T39" s="9"/>
      <c r="U39" s="9"/>
      <c r="V39" s="10"/>
    </row>
    <row r="40" spans="1:22">
      <c r="A40" s="2">
        <v>37</v>
      </c>
      <c r="B40" s="17" t="str">
        <f>[1]Grp_3!A38</f>
        <v>2576A</v>
      </c>
      <c r="C40" s="30" t="str">
        <f>[1]Grp_3!B38</f>
        <v>Corazón de Chileno</v>
      </c>
      <c r="D40" s="18" t="str">
        <f>[1]Grp_3!C38</f>
        <v>Fundación Corazón de Chileno</v>
      </c>
      <c r="E40" s="31" t="str">
        <f>[1]Grp_3!D38</f>
        <v>Santiago, N/A, Chile</v>
      </c>
      <c r="F40" s="34">
        <f>[1]Grp_3!E38</f>
        <v>16</v>
      </c>
      <c r="G40" s="19">
        <f>[1]Grp_3!F38</f>
        <v>4</v>
      </c>
      <c r="H40" s="37">
        <f>[1]Grp_3!G38</f>
        <v>34.003799999999998</v>
      </c>
      <c r="I40" s="38">
        <f>[1]Grp_3!H38</f>
        <v>34.003799999999998</v>
      </c>
      <c r="J40" s="20">
        <f>[1]Grp_3!I38</f>
        <v>0</v>
      </c>
      <c r="K40" s="20">
        <f>[1]Grp_3!J38</f>
        <v>0</v>
      </c>
      <c r="L40" s="20">
        <f>[1]Grp_3!K38</f>
        <v>0</v>
      </c>
      <c r="M40" s="20">
        <f>[1]Grp_3!L38</f>
        <v>0</v>
      </c>
      <c r="N40" s="20">
        <f>[1]Grp_3!M38</f>
        <v>0</v>
      </c>
      <c r="O40" s="20">
        <f>[1]Grp_3!N38</f>
        <v>0</v>
      </c>
      <c r="P40" s="20">
        <f>[1]Grp_3!O38</f>
        <v>0</v>
      </c>
      <c r="Q40" s="20">
        <f>[1]Grp_3!P38</f>
        <v>0</v>
      </c>
      <c r="R40" s="20">
        <f>[1]Grp_3!Q38</f>
        <v>0</v>
      </c>
      <c r="S40" s="21">
        <f>[1]Grp_3!R38</f>
        <v>0</v>
      </c>
      <c r="T40" s="9"/>
      <c r="U40" s="9"/>
      <c r="V40" s="10"/>
    </row>
    <row r="41" spans="1:22">
      <c r="A41" s="2">
        <v>38</v>
      </c>
      <c r="B41" s="17" t="str">
        <f>[1]Grp_3!A39</f>
        <v>2616F</v>
      </c>
      <c r="C41" s="30" t="str">
        <f>[1]Grp_3!B39</f>
        <v>Frightning Lightning</v>
      </c>
      <c r="D41" s="18" t="str">
        <f>[1]Grp_3!C39</f>
        <v>Cherry Hill High School East</v>
      </c>
      <c r="E41" s="31" t="str">
        <f>[1]Grp_3!D39</f>
        <v>Cherry Hill, New Jersey, United States</v>
      </c>
      <c r="F41" s="34">
        <f>[1]Grp_3!E39</f>
        <v>58</v>
      </c>
      <c r="G41" s="19">
        <f>[1]Grp_3!F39</f>
        <v>35</v>
      </c>
      <c r="H41" s="37">
        <f>[1]Grp_3!G39</f>
        <v>74.244600000000005</v>
      </c>
      <c r="I41" s="38">
        <f>[1]Grp_3!H39</f>
        <v>49.890799999999999</v>
      </c>
      <c r="J41" s="20">
        <f>[1]Grp_3!I39</f>
        <v>52.1126</v>
      </c>
      <c r="K41" s="20">
        <f>[1]Grp_3!J39</f>
        <v>65.079700000000003</v>
      </c>
      <c r="L41" s="20">
        <f>[1]Grp_3!K39</f>
        <v>74.244600000000005</v>
      </c>
      <c r="M41" s="20">
        <f>[1]Grp_3!L39</f>
        <v>38.698900000000002</v>
      </c>
      <c r="N41" s="20">
        <f>[1]Grp_3!M39</f>
        <v>73.369299999999996</v>
      </c>
      <c r="O41" s="20">
        <f>[1]Grp_3!N39</f>
        <v>59.762599999999999</v>
      </c>
      <c r="P41" s="20">
        <f>[1]Grp_3!O39</f>
        <v>0</v>
      </c>
      <c r="Q41" s="20">
        <f>[1]Grp_3!P39</f>
        <v>0</v>
      </c>
      <c r="R41" s="20">
        <f>[1]Grp_3!Q39</f>
        <v>0</v>
      </c>
      <c r="S41" s="21">
        <f>[1]Grp_3!R39</f>
        <v>0</v>
      </c>
      <c r="T41" s="9"/>
      <c r="U41" s="9"/>
      <c r="V41" s="10"/>
    </row>
    <row r="42" spans="1:22">
      <c r="A42" s="2">
        <v>39</v>
      </c>
      <c r="B42" s="17" t="str">
        <f>[1]Grp_3!A40</f>
        <v>2886A</v>
      </c>
      <c r="C42" s="30" t="str">
        <f>[1]Grp_3!B40</f>
        <v>Bull Dawgs A</v>
      </c>
      <c r="D42" s="18" t="str">
        <f>[1]Grp_3!C40</f>
        <v>John Hardin High School PLTW</v>
      </c>
      <c r="E42" s="31" t="str">
        <f>[1]Grp_3!D40</f>
        <v>Elizabethtown, Kentucky, United States</v>
      </c>
      <c r="F42" s="34">
        <f>[1]Grp_3!E40</f>
        <v>270</v>
      </c>
      <c r="G42" s="19">
        <f>[1]Grp_3!F40</f>
        <v>267</v>
      </c>
      <c r="H42" s="37">
        <f>[1]Grp_3!G40</f>
        <v>141.874</v>
      </c>
      <c r="I42" s="38">
        <f>[1]Grp_3!H40</f>
        <v>141.874</v>
      </c>
      <c r="J42" s="20">
        <f>[1]Grp_3!I40</f>
        <v>128.85599999999999</v>
      </c>
      <c r="K42" s="20">
        <f>[1]Grp_3!J40</f>
        <v>92.710300000000004</v>
      </c>
      <c r="L42" s="20">
        <f>[1]Grp_3!K40</f>
        <v>99.960700000000003</v>
      </c>
      <c r="M42" s="20">
        <f>[1]Grp_3!L40</f>
        <v>124.953</v>
      </c>
      <c r="N42" s="20">
        <f>[1]Grp_3!M40</f>
        <v>99.876099999999994</v>
      </c>
      <c r="O42" s="20">
        <f>[1]Grp_3!N40</f>
        <v>139.50399999999999</v>
      </c>
      <c r="P42" s="20">
        <f>[1]Grp_3!O40</f>
        <v>0</v>
      </c>
      <c r="Q42" s="20">
        <f>[1]Grp_3!P40</f>
        <v>0</v>
      </c>
      <c r="R42" s="20">
        <f>[1]Grp_3!Q40</f>
        <v>0</v>
      </c>
      <c r="S42" s="21">
        <f>[1]Grp_3!R40</f>
        <v>0</v>
      </c>
      <c r="T42" s="9"/>
      <c r="U42" s="9"/>
      <c r="V42" s="10"/>
    </row>
    <row r="43" spans="1:22">
      <c r="A43" s="2">
        <v>40</v>
      </c>
      <c r="B43" s="17" t="str">
        <f>[1]Grp_3!A41</f>
        <v>2941A</v>
      </c>
      <c r="C43" s="30" t="str">
        <f>[1]Grp_3!B41</f>
        <v>Oats Robotics</v>
      </c>
      <c r="D43" s="18" t="str">
        <f>[1]Grp_3!C41</f>
        <v>Otumoetai College</v>
      </c>
      <c r="E43" s="31" t="str">
        <f>[1]Grp_3!D41</f>
        <v>Tauranga, Not Applicable or Not Listed, New Zealand</v>
      </c>
      <c r="F43" s="34">
        <f>[1]Grp_3!E41</f>
        <v>0</v>
      </c>
      <c r="G43" s="19">
        <f>[1]Grp_3!F41</f>
        <v>0</v>
      </c>
      <c r="H43" s="37">
        <f>[1]Grp_3!G41</f>
        <v>22.438199999999998</v>
      </c>
      <c r="I43" s="38">
        <f>[1]Grp_3!H41</f>
        <v>22.438199999999998</v>
      </c>
      <c r="J43" s="20">
        <f>[1]Grp_3!I41</f>
        <v>11.0185</v>
      </c>
      <c r="K43" s="20">
        <f>[1]Grp_3!J41</f>
        <v>0</v>
      </c>
      <c r="L43" s="20">
        <f>[1]Grp_3!K41</f>
        <v>0</v>
      </c>
      <c r="M43" s="20">
        <f>[1]Grp_3!L41</f>
        <v>0</v>
      </c>
      <c r="N43" s="20">
        <f>[1]Grp_3!M41</f>
        <v>0</v>
      </c>
      <c r="O43" s="20">
        <f>[1]Grp_3!N41</f>
        <v>0</v>
      </c>
      <c r="P43" s="20">
        <f>[1]Grp_3!O41</f>
        <v>0</v>
      </c>
      <c r="Q43" s="20">
        <f>[1]Grp_3!P41</f>
        <v>0</v>
      </c>
      <c r="R43" s="20">
        <f>[1]Grp_3!Q41</f>
        <v>0</v>
      </c>
      <c r="S43" s="21">
        <f>[1]Grp_3!R41</f>
        <v>0</v>
      </c>
      <c r="T43" s="9"/>
      <c r="U43" s="9"/>
      <c r="V43" s="10"/>
    </row>
    <row r="44" spans="1:22">
      <c r="A44" s="2">
        <v>41</v>
      </c>
      <c r="B44" s="17" t="str">
        <f>[1]Grp_3!A42</f>
        <v>3273B</v>
      </c>
      <c r="C44" s="30" t="str">
        <f>[1]Grp_3!B42</f>
        <v>One Kelvin</v>
      </c>
      <c r="D44" s="18" t="str">
        <f>[1]Grp_3!C42</f>
        <v>Wayne High School</v>
      </c>
      <c r="E44" s="31" t="str">
        <f>[1]Grp_3!D42</f>
        <v>Wayne, West Virginia, United States</v>
      </c>
      <c r="F44" s="34">
        <f>[1]Grp_3!E42</f>
        <v>60</v>
      </c>
      <c r="G44" s="19">
        <f>[1]Grp_3!F42</f>
        <v>0</v>
      </c>
      <c r="H44" s="37">
        <f>[1]Grp_3!G42</f>
        <v>109.548</v>
      </c>
      <c r="I44" s="38">
        <f>[1]Grp_3!H42</f>
        <v>97.816699999999997</v>
      </c>
      <c r="J44" s="20">
        <f>[1]Grp_3!I42</f>
        <v>61.923099999999998</v>
      </c>
      <c r="K44" s="20">
        <f>[1]Grp_3!J42</f>
        <v>109.548</v>
      </c>
      <c r="L44" s="20">
        <f>[1]Grp_3!K42</f>
        <v>43.940399999999997</v>
      </c>
      <c r="M44" s="20">
        <f>[1]Grp_3!L42</f>
        <v>34.785899999999998</v>
      </c>
      <c r="N44" s="20">
        <f>[1]Grp_3!M42</f>
        <v>0</v>
      </c>
      <c r="O44" s="20">
        <f>[1]Grp_3!N42</f>
        <v>0</v>
      </c>
      <c r="P44" s="20">
        <f>[1]Grp_3!O42</f>
        <v>0</v>
      </c>
      <c r="Q44" s="20">
        <f>[1]Grp_3!P42</f>
        <v>0</v>
      </c>
      <c r="R44" s="20">
        <f>[1]Grp_3!Q42</f>
        <v>0</v>
      </c>
      <c r="S44" s="21">
        <f>[1]Grp_3!R42</f>
        <v>0</v>
      </c>
      <c r="T44" s="9"/>
      <c r="U44" s="9"/>
      <c r="V44" s="10"/>
    </row>
    <row r="45" spans="1:22">
      <c r="A45" s="2">
        <v>42</v>
      </c>
      <c r="B45" s="17" t="str">
        <f>[1]Grp_3!A43</f>
        <v>3309A</v>
      </c>
      <c r="C45" s="30" t="str">
        <f>[1]Grp_3!B43</f>
        <v>Friarbots A</v>
      </c>
      <c r="D45" s="18" t="str">
        <f>[1]Grp_3!C43</f>
        <v>Servite High School</v>
      </c>
      <c r="E45" s="31" t="str">
        <f>[1]Grp_3!D43</f>
        <v>Anaheim, California, United States</v>
      </c>
      <c r="F45" s="34">
        <f>[1]Grp_3!E43</f>
        <v>227</v>
      </c>
      <c r="G45" s="19">
        <f>[1]Grp_3!F43</f>
        <v>160</v>
      </c>
      <c r="H45" s="37">
        <f>[1]Grp_3!G43</f>
        <v>83.291899999999998</v>
      </c>
      <c r="I45" s="38">
        <f>[1]Grp_3!H43</f>
        <v>83.291899999999998</v>
      </c>
      <c r="J45" s="20">
        <f>[1]Grp_3!I43</f>
        <v>52.331600000000002</v>
      </c>
      <c r="K45" s="20">
        <f>[1]Grp_3!J43</f>
        <v>43.8628</v>
      </c>
      <c r="L45" s="20">
        <f>[1]Grp_3!K43</f>
        <v>20.8841</v>
      </c>
      <c r="M45" s="20">
        <f>[1]Grp_3!L43</f>
        <v>36.772500000000001</v>
      </c>
      <c r="N45" s="20">
        <f>[1]Grp_3!M43</f>
        <v>58.417200000000001</v>
      </c>
      <c r="O45" s="20">
        <f>[1]Grp_3!N43</f>
        <v>22.155999999999999</v>
      </c>
      <c r="P45" s="20">
        <f>[1]Grp_3!O43</f>
        <v>38.387599999999999</v>
      </c>
      <c r="Q45" s="20">
        <f>[1]Grp_3!P43</f>
        <v>0</v>
      </c>
      <c r="R45" s="20">
        <f>[1]Grp_3!Q43</f>
        <v>0</v>
      </c>
      <c r="S45" s="21">
        <f>[1]Grp_3!R43</f>
        <v>0</v>
      </c>
      <c r="T45" s="9"/>
      <c r="U45" s="9"/>
      <c r="V45" s="10"/>
    </row>
    <row r="46" spans="1:22">
      <c r="A46" s="2">
        <v>43</v>
      </c>
      <c r="B46" s="17" t="str">
        <f>[1]Grp_3!A44</f>
        <v>3396</v>
      </c>
      <c r="C46" s="30" t="str">
        <f>[1]Grp_3!B44</f>
        <v>The Galaxies</v>
      </c>
      <c r="D46" s="18" t="str">
        <f>[1]Grp_3!C44</f>
        <v>The Harker School</v>
      </c>
      <c r="E46" s="31" t="str">
        <f>[1]Grp_3!D44</f>
        <v>Los Gatos , California, United States</v>
      </c>
      <c r="F46" s="34">
        <f>[1]Grp_3!E44</f>
        <v>191</v>
      </c>
      <c r="G46" s="19">
        <f>[1]Grp_3!F44</f>
        <v>306</v>
      </c>
      <c r="H46" s="37">
        <f>[1]Grp_3!G44</f>
        <v>116.67</v>
      </c>
      <c r="I46" s="38">
        <f>[1]Grp_3!H44</f>
        <v>102.101</v>
      </c>
      <c r="J46" s="20">
        <f>[1]Grp_3!I44</f>
        <v>88.612799999999993</v>
      </c>
      <c r="K46" s="20">
        <f>[1]Grp_3!J44</f>
        <v>104.77500000000001</v>
      </c>
      <c r="L46" s="20">
        <f>[1]Grp_3!K44</f>
        <v>68.983999999999995</v>
      </c>
      <c r="M46" s="20">
        <f>[1]Grp_3!L44</f>
        <v>97.607100000000003</v>
      </c>
      <c r="N46" s="20">
        <f>[1]Grp_3!M44</f>
        <v>116.67</v>
      </c>
      <c r="O46" s="20">
        <f>[1]Grp_3!N44</f>
        <v>78.343400000000003</v>
      </c>
      <c r="P46" s="20">
        <f>[1]Grp_3!O44</f>
        <v>0</v>
      </c>
      <c r="Q46" s="20">
        <f>[1]Grp_3!P44</f>
        <v>0</v>
      </c>
      <c r="R46" s="20">
        <f>[1]Grp_3!Q44</f>
        <v>0</v>
      </c>
      <c r="S46" s="21">
        <f>[1]Grp_3!R44</f>
        <v>0</v>
      </c>
      <c r="T46" s="9"/>
      <c r="U46" s="9"/>
      <c r="V46" s="10"/>
    </row>
    <row r="47" spans="1:22">
      <c r="A47" s="2">
        <v>44</v>
      </c>
      <c r="B47" s="17" t="str">
        <f>[1]Grp_3!A45</f>
        <v>3815J</v>
      </c>
      <c r="C47" s="30" t="str">
        <f>[1]Grp_3!B45</f>
        <v>Incursio</v>
      </c>
      <c r="D47" s="18" t="str">
        <f>[1]Grp_3!C45</f>
        <v>Ranney</v>
      </c>
      <c r="E47" s="31" t="str">
        <f>[1]Grp_3!D45</f>
        <v>Tinton Falls, New Jersey, United States</v>
      </c>
      <c r="F47" s="34">
        <f>[1]Grp_3!E45</f>
        <v>186</v>
      </c>
      <c r="G47" s="19">
        <f>[1]Grp_3!F45</f>
        <v>126</v>
      </c>
      <c r="H47" s="37">
        <f>[1]Grp_3!G45</f>
        <v>99.9255</v>
      </c>
      <c r="I47" s="38">
        <f>[1]Grp_3!H45</f>
        <v>58.521099999999997</v>
      </c>
      <c r="J47" s="20">
        <f>[1]Grp_3!I45</f>
        <v>97.573300000000003</v>
      </c>
      <c r="K47" s="20">
        <f>[1]Grp_3!J45</f>
        <v>99.9255</v>
      </c>
      <c r="L47" s="20">
        <f>[1]Grp_3!K45</f>
        <v>60.705500000000001</v>
      </c>
      <c r="M47" s="20">
        <f>[1]Grp_3!L45</f>
        <v>60.6633</v>
      </c>
      <c r="N47" s="20">
        <f>[1]Grp_3!M45</f>
        <v>64.836399999999998</v>
      </c>
      <c r="O47" s="20">
        <f>[1]Grp_3!N45</f>
        <v>0</v>
      </c>
      <c r="P47" s="20">
        <f>[1]Grp_3!O45</f>
        <v>0</v>
      </c>
      <c r="Q47" s="20">
        <f>[1]Grp_3!P45</f>
        <v>0</v>
      </c>
      <c r="R47" s="20">
        <f>[1]Grp_3!Q45</f>
        <v>0</v>
      </c>
      <c r="S47" s="21">
        <f>[1]Grp_3!R45</f>
        <v>0</v>
      </c>
      <c r="T47" s="9"/>
      <c r="U47" s="9"/>
      <c r="V47" s="10"/>
    </row>
    <row r="48" spans="1:22">
      <c r="A48" s="2">
        <v>45</v>
      </c>
      <c r="B48" s="17" t="str">
        <f>[1]Grp_3!A46</f>
        <v>3946E</v>
      </c>
      <c r="C48" s="30" t="str">
        <f>[1]Grp_3!B46</f>
        <v>Sun Devils</v>
      </c>
      <c r="D48" s="18" t="str">
        <f>[1]Grp_3!C46</f>
        <v>Kent Denver School</v>
      </c>
      <c r="E48" s="31" t="str">
        <f>[1]Grp_3!D46</f>
        <v>Englewood, Colorado, United States</v>
      </c>
      <c r="F48" s="34">
        <f>[1]Grp_3!E46</f>
        <v>363</v>
      </c>
      <c r="G48" s="19">
        <f>[1]Grp_3!F46</f>
        <v>315</v>
      </c>
      <c r="H48" s="37">
        <f>[1]Grp_3!G46</f>
        <v>142.22200000000001</v>
      </c>
      <c r="I48" s="38">
        <f>[1]Grp_3!H46</f>
        <v>142.22200000000001</v>
      </c>
      <c r="J48" s="20">
        <f>[1]Grp_3!I46</f>
        <v>103.527</v>
      </c>
      <c r="K48" s="20">
        <f>[1]Grp_3!J46</f>
        <v>95.291700000000006</v>
      </c>
      <c r="L48" s="20">
        <f>[1]Grp_3!K46</f>
        <v>16.667000000000002</v>
      </c>
      <c r="M48" s="20">
        <f>[1]Grp_3!L46</f>
        <v>68.207499999999996</v>
      </c>
      <c r="N48" s="20">
        <f>[1]Grp_3!M46</f>
        <v>0</v>
      </c>
      <c r="O48" s="20">
        <f>[1]Grp_3!N46</f>
        <v>0</v>
      </c>
      <c r="P48" s="20">
        <f>[1]Grp_3!O46</f>
        <v>0</v>
      </c>
      <c r="Q48" s="20">
        <f>[1]Grp_3!P46</f>
        <v>0</v>
      </c>
      <c r="R48" s="20">
        <f>[1]Grp_3!Q46</f>
        <v>0</v>
      </c>
      <c r="S48" s="21">
        <f>[1]Grp_3!R46</f>
        <v>0</v>
      </c>
      <c r="T48" s="9"/>
      <c r="U48" s="9"/>
      <c r="V48" s="10"/>
    </row>
    <row r="49" spans="1:22">
      <c r="A49" s="2">
        <v>46</v>
      </c>
      <c r="B49" s="17" t="str">
        <f>[1]Grp_3!A47</f>
        <v>4104A</v>
      </c>
      <c r="C49" s="30" t="str">
        <f>[1]Grp_3!B47</f>
        <v>Trojan Pride A</v>
      </c>
      <c r="D49" s="18" t="str">
        <f>[1]Grp_3!C47</f>
        <v>North Hardin High School PLTW</v>
      </c>
      <c r="E49" s="31" t="str">
        <f>[1]Grp_3!D47</f>
        <v>Radcliff, Kentucky, United States</v>
      </c>
      <c r="F49" s="34">
        <f>[1]Grp_3!E47</f>
        <v>320</v>
      </c>
      <c r="G49" s="19">
        <f>[1]Grp_3!F47</f>
        <v>320</v>
      </c>
      <c r="H49" s="37">
        <f>[1]Grp_3!G47</f>
        <v>122.85899999999999</v>
      </c>
      <c r="I49" s="38">
        <f>[1]Grp_3!H47</f>
        <v>122.85899999999999</v>
      </c>
      <c r="J49" s="20">
        <f>[1]Grp_3!I47</f>
        <v>90.794700000000006</v>
      </c>
      <c r="K49" s="20">
        <f>[1]Grp_3!J47</f>
        <v>75.221999999999994</v>
      </c>
      <c r="L49" s="20">
        <f>[1]Grp_3!K47</f>
        <v>109.41200000000001</v>
      </c>
      <c r="M49" s="20">
        <f>[1]Grp_3!L47</f>
        <v>26.7666</v>
      </c>
      <c r="N49" s="20">
        <f>[1]Grp_3!M47</f>
        <v>0</v>
      </c>
      <c r="O49" s="20">
        <f>[1]Grp_3!N47</f>
        <v>0</v>
      </c>
      <c r="P49" s="20">
        <f>[1]Grp_3!O47</f>
        <v>0</v>
      </c>
      <c r="Q49" s="20">
        <f>[1]Grp_3!P47</f>
        <v>0</v>
      </c>
      <c r="R49" s="20">
        <f>[1]Grp_3!Q47</f>
        <v>0</v>
      </c>
      <c r="S49" s="21">
        <f>[1]Grp_3!R47</f>
        <v>0</v>
      </c>
      <c r="T49" s="9"/>
      <c r="U49" s="9"/>
      <c r="V49" s="10"/>
    </row>
    <row r="50" spans="1:22">
      <c r="A50" s="2">
        <v>47</v>
      </c>
      <c r="B50" s="17" t="str">
        <f>[1]Grp_3!A48</f>
        <v>4148A</v>
      </c>
      <c r="C50" s="30" t="str">
        <f>[1]Grp_3!B48</f>
        <v>Iron Cowboys</v>
      </c>
      <c r="D50" s="18" t="str">
        <f>[1]Grp_3!C48</f>
        <v>Greenville High School</v>
      </c>
      <c r="E50" s="31" t="str">
        <f>[1]Grp_3!D48</f>
        <v>Greenville, Texas, United States</v>
      </c>
      <c r="F50" s="34">
        <f>[1]Grp_3!E48</f>
        <v>257</v>
      </c>
      <c r="G50" s="19">
        <f>[1]Grp_3!F48</f>
        <v>130</v>
      </c>
      <c r="H50" s="37">
        <f>[1]Grp_3!G48</f>
        <v>107.127</v>
      </c>
      <c r="I50" s="38">
        <f>[1]Grp_3!H48</f>
        <v>91.912400000000005</v>
      </c>
      <c r="J50" s="20">
        <f>[1]Grp_3!I48</f>
        <v>107.127</v>
      </c>
      <c r="K50" s="20">
        <f>[1]Grp_3!J48</f>
        <v>84.268500000000003</v>
      </c>
      <c r="L50" s="20">
        <f>[1]Grp_3!K48</f>
        <v>89.802000000000007</v>
      </c>
      <c r="M50" s="20">
        <f>[1]Grp_3!L48</f>
        <v>69.767399999999995</v>
      </c>
      <c r="N50" s="20">
        <f>[1]Grp_3!M48</f>
        <v>87.231800000000007</v>
      </c>
      <c r="O50" s="20">
        <f>[1]Grp_3!N48</f>
        <v>0</v>
      </c>
      <c r="P50" s="20">
        <f>[1]Grp_3!O48</f>
        <v>0</v>
      </c>
      <c r="Q50" s="20">
        <f>[1]Grp_3!P48</f>
        <v>0</v>
      </c>
      <c r="R50" s="20">
        <f>[1]Grp_3!Q48</f>
        <v>0</v>
      </c>
      <c r="S50" s="21">
        <f>[1]Grp_3!R48</f>
        <v>0</v>
      </c>
      <c r="T50" s="9"/>
      <c r="U50" s="9"/>
      <c r="V50" s="10"/>
    </row>
    <row r="51" spans="1:22">
      <c r="A51" s="2">
        <v>48</v>
      </c>
      <c r="B51" s="17" t="str">
        <f>[1]Grp_3!A49</f>
        <v>4256B</v>
      </c>
      <c r="C51" s="30" t="str">
        <f>[1]Grp_3!B49</f>
        <v>Gear Monkey Robotics</v>
      </c>
      <c r="D51" s="18" t="str">
        <f>[1]Grp_3!C49</f>
        <v>Madison Career and Technical Center</v>
      </c>
      <c r="E51" s="31" t="str">
        <f>[1]Grp_3!D49</f>
        <v>Madison, Mississippi, United States</v>
      </c>
      <c r="F51" s="34">
        <f>[1]Grp_3!E49</f>
        <v>288</v>
      </c>
      <c r="G51" s="19">
        <f>[1]Grp_3!F49</f>
        <v>184</v>
      </c>
      <c r="H51" s="37">
        <f>[1]Grp_3!G49</f>
        <v>172.536</v>
      </c>
      <c r="I51" s="38">
        <f>[1]Grp_3!H49</f>
        <v>92.507300000000001</v>
      </c>
      <c r="J51" s="20">
        <f>[1]Grp_3!I49</f>
        <v>140.334</v>
      </c>
      <c r="K51" s="20">
        <f>[1]Grp_3!J49</f>
        <v>172.536</v>
      </c>
      <c r="L51" s="20">
        <f>[1]Grp_3!K49</f>
        <v>95.552800000000005</v>
      </c>
      <c r="M51" s="20">
        <f>[1]Grp_3!L49</f>
        <v>71.743399999999994</v>
      </c>
      <c r="N51" s="20">
        <f>[1]Grp_3!M49</f>
        <v>0</v>
      </c>
      <c r="O51" s="20">
        <f>[1]Grp_3!N49</f>
        <v>0</v>
      </c>
      <c r="P51" s="20">
        <f>[1]Grp_3!O49</f>
        <v>0</v>
      </c>
      <c r="Q51" s="20">
        <f>[1]Grp_3!P49</f>
        <v>0</v>
      </c>
      <c r="R51" s="20">
        <f>[1]Grp_3!Q49</f>
        <v>0</v>
      </c>
      <c r="S51" s="21">
        <f>[1]Grp_3!R49</f>
        <v>0</v>
      </c>
      <c r="T51" s="9"/>
      <c r="U51" s="9"/>
      <c r="V51" s="10"/>
    </row>
    <row r="52" spans="1:22">
      <c r="A52" s="2">
        <v>49</v>
      </c>
      <c r="B52" s="17" t="str">
        <f>[1]Grp_3!A50</f>
        <v>4410A</v>
      </c>
      <c r="C52" s="30" t="str">
        <f>[1]Grp_3!B50</f>
        <v>Technocracy</v>
      </c>
      <c r="D52" s="18" t="str">
        <f>[1]Grp_3!C50</f>
        <v>South Eden Robotics Club</v>
      </c>
      <c r="E52" s="31" t="str">
        <f>[1]Grp_3!D50</f>
        <v>Fond du Lac, Wisconsin, United States</v>
      </c>
      <c r="F52" s="34">
        <f>[1]Grp_3!E50</f>
        <v>151</v>
      </c>
      <c r="G52" s="19">
        <f>[1]Grp_3!F50</f>
        <v>151</v>
      </c>
      <c r="H52" s="37">
        <f>[1]Grp_3!G50</f>
        <v>113.627</v>
      </c>
      <c r="I52" s="38">
        <f>[1]Grp_3!H50</f>
        <v>71.320400000000006</v>
      </c>
      <c r="J52" s="20">
        <f>[1]Grp_3!I50</f>
        <v>113.627</v>
      </c>
      <c r="K52" s="20">
        <f>[1]Grp_3!J50</f>
        <v>42.824100000000001</v>
      </c>
      <c r="L52" s="20">
        <f>[1]Grp_3!K50</f>
        <v>73.821100000000001</v>
      </c>
      <c r="M52" s="20">
        <f>[1]Grp_3!L50</f>
        <v>0</v>
      </c>
      <c r="N52" s="20">
        <f>[1]Grp_3!M50</f>
        <v>0</v>
      </c>
      <c r="O52" s="20">
        <f>[1]Grp_3!N50</f>
        <v>0</v>
      </c>
      <c r="P52" s="20">
        <f>[1]Grp_3!O50</f>
        <v>0</v>
      </c>
      <c r="Q52" s="20">
        <f>[1]Grp_3!P50</f>
        <v>0</v>
      </c>
      <c r="R52" s="20">
        <f>[1]Grp_3!Q50</f>
        <v>0</v>
      </c>
      <c r="S52" s="21">
        <f>[1]Grp_3!R50</f>
        <v>0</v>
      </c>
      <c r="T52" s="9"/>
      <c r="U52" s="9"/>
      <c r="V52" s="10"/>
    </row>
    <row r="53" spans="1:22">
      <c r="A53" s="2">
        <v>50</v>
      </c>
      <c r="B53" s="17" t="str">
        <f>[1]Grp_3!A51</f>
        <v>4502G</v>
      </c>
      <c r="C53" s="30" t="str">
        <f>[1]Grp_3!B51</f>
        <v>Masters Gamma</v>
      </c>
      <c r="D53" s="18" t="str">
        <f>[1]Grp_3!C51</f>
        <v>San Pedro Claver</v>
      </c>
      <c r="E53" s="31" t="str">
        <f>[1]Grp_3!D51</f>
        <v>Bucaramanga, Santander, Colombia</v>
      </c>
      <c r="F53" s="34">
        <f>[1]Grp_3!E51</f>
        <v>177</v>
      </c>
      <c r="G53" s="19">
        <f>[1]Grp_3!F51</f>
        <v>0</v>
      </c>
      <c r="H53" s="37">
        <f>[1]Grp_3!G51</f>
        <v>113.483</v>
      </c>
      <c r="I53" s="38">
        <f>[1]Grp_3!H51</f>
        <v>113.483</v>
      </c>
      <c r="J53" s="20">
        <f>[1]Grp_3!I51</f>
        <v>82.038499999999999</v>
      </c>
      <c r="K53" s="20">
        <f>[1]Grp_3!J51</f>
        <v>0</v>
      </c>
      <c r="L53" s="20">
        <f>[1]Grp_3!K51</f>
        <v>0</v>
      </c>
      <c r="M53" s="20">
        <f>[1]Grp_3!L51</f>
        <v>0</v>
      </c>
      <c r="N53" s="20">
        <f>[1]Grp_3!M51</f>
        <v>0</v>
      </c>
      <c r="O53" s="20">
        <f>[1]Grp_3!N51</f>
        <v>0</v>
      </c>
      <c r="P53" s="20">
        <f>[1]Grp_3!O51</f>
        <v>0</v>
      </c>
      <c r="Q53" s="20">
        <f>[1]Grp_3!P51</f>
        <v>0</v>
      </c>
      <c r="R53" s="20">
        <f>[1]Grp_3!Q51</f>
        <v>0</v>
      </c>
      <c r="S53" s="21">
        <f>[1]Grp_3!R51</f>
        <v>0</v>
      </c>
      <c r="T53" s="9"/>
      <c r="U53" s="9"/>
      <c r="V53" s="10"/>
    </row>
    <row r="54" spans="1:22">
      <c r="A54" s="2">
        <v>51</v>
      </c>
      <c r="B54" s="17" t="str">
        <f>[1]Grp_3!A52</f>
        <v>4800</v>
      </c>
      <c r="C54" s="30" t="str">
        <f>[1]Grp_3!B52</f>
        <v>Brobot</v>
      </c>
      <c r="D54" s="18" t="str">
        <f>[1]Grp_3!C52</f>
        <v>St. Francis High School</v>
      </c>
      <c r="E54" s="31" t="str">
        <f>[1]Grp_3!D52</f>
        <v>La Canada, California, United States</v>
      </c>
      <c r="F54" s="34">
        <f>[1]Grp_3!E52</f>
        <v>199</v>
      </c>
      <c r="G54" s="19">
        <f>[1]Grp_3!F52</f>
        <v>44</v>
      </c>
      <c r="H54" s="37">
        <f>[1]Grp_3!G52</f>
        <v>58.962299999999999</v>
      </c>
      <c r="I54" s="38">
        <f>[1]Grp_3!H52</f>
        <v>58.962299999999999</v>
      </c>
      <c r="J54" s="20">
        <f>[1]Grp_3!I52</f>
        <v>17.427600000000002</v>
      </c>
      <c r="K54" s="20">
        <f>[1]Grp_3!J52</f>
        <v>21.586200000000002</v>
      </c>
      <c r="L54" s="20">
        <f>[1]Grp_3!K52</f>
        <v>-3.1076000000000001</v>
      </c>
      <c r="M54" s="20">
        <f>[1]Grp_3!L52</f>
        <v>0</v>
      </c>
      <c r="N54" s="20">
        <f>[1]Grp_3!M52</f>
        <v>0</v>
      </c>
      <c r="O54" s="20">
        <f>[1]Grp_3!N52</f>
        <v>0</v>
      </c>
      <c r="P54" s="20">
        <f>[1]Grp_3!O52</f>
        <v>0</v>
      </c>
      <c r="Q54" s="20">
        <f>[1]Grp_3!P52</f>
        <v>0</v>
      </c>
      <c r="R54" s="20">
        <f>[1]Grp_3!Q52</f>
        <v>0</v>
      </c>
      <c r="S54" s="21">
        <f>[1]Grp_3!R52</f>
        <v>0</v>
      </c>
      <c r="T54" s="9"/>
      <c r="U54" s="9"/>
      <c r="V54" s="10"/>
    </row>
    <row r="55" spans="1:22">
      <c r="A55" s="2">
        <v>52</v>
      </c>
      <c r="B55" s="17" t="str">
        <f>[1]Grp_3!A53</f>
        <v>4825A</v>
      </c>
      <c r="C55" s="30" t="str">
        <f>[1]Grp_3!B53</f>
        <v>Full Metal Robotics</v>
      </c>
      <c r="D55" s="18" t="str">
        <f>[1]Grp_3!C53</f>
        <v>Royal Live Oaks Academy Charter School</v>
      </c>
      <c r="E55" s="31" t="str">
        <f>[1]Grp_3!D53</f>
        <v>Hardeeville, South Carolina, United States</v>
      </c>
      <c r="F55" s="34">
        <f>[1]Grp_3!E53</f>
        <v>218</v>
      </c>
      <c r="G55" s="19">
        <f>[1]Grp_3!F53</f>
        <v>203</v>
      </c>
      <c r="H55" s="37">
        <f>[1]Grp_3!G53</f>
        <v>78.689899999999994</v>
      </c>
      <c r="I55" s="38">
        <f>[1]Grp_3!H53</f>
        <v>68.914100000000005</v>
      </c>
      <c r="J55" s="20">
        <f>[1]Grp_3!I53</f>
        <v>78.689899999999994</v>
      </c>
      <c r="K55" s="20">
        <f>[1]Grp_3!J53</f>
        <v>47.624899999999997</v>
      </c>
      <c r="L55" s="20">
        <f>[1]Grp_3!K53</f>
        <v>39.673699999999997</v>
      </c>
      <c r="M55" s="20">
        <f>[1]Grp_3!L53</f>
        <v>0</v>
      </c>
      <c r="N55" s="20">
        <f>[1]Grp_3!M53</f>
        <v>0</v>
      </c>
      <c r="O55" s="20">
        <f>[1]Grp_3!N53</f>
        <v>0</v>
      </c>
      <c r="P55" s="20">
        <f>[1]Grp_3!O53</f>
        <v>0</v>
      </c>
      <c r="Q55" s="20">
        <f>[1]Grp_3!P53</f>
        <v>0</v>
      </c>
      <c r="R55" s="20">
        <f>[1]Grp_3!Q53</f>
        <v>0</v>
      </c>
      <c r="S55" s="21">
        <f>[1]Grp_3!R53</f>
        <v>0</v>
      </c>
      <c r="T55" s="9"/>
      <c r="U55" s="9"/>
      <c r="V55" s="10"/>
    </row>
    <row r="56" spans="1:22">
      <c r="A56" s="2">
        <v>53</v>
      </c>
      <c r="B56" s="17" t="str">
        <f>[1]Grp_3!A54</f>
        <v>4906A</v>
      </c>
      <c r="C56" s="30" t="str">
        <f>[1]Grp_3!B54</f>
        <v>The Collective</v>
      </c>
      <c r="D56" s="18" t="str">
        <f>[1]Grp_3!C54</f>
        <v>Mid-Maine Technical Center</v>
      </c>
      <c r="E56" s="31" t="str">
        <f>[1]Grp_3!D54</f>
        <v>Waterville, Maine, United States</v>
      </c>
      <c r="F56" s="34">
        <f>[1]Grp_3!E54</f>
        <v>25</v>
      </c>
      <c r="G56" s="19">
        <f>[1]Grp_3!F54</f>
        <v>12</v>
      </c>
      <c r="H56" s="37">
        <f>[1]Grp_3!G54</f>
        <v>65.862499999999997</v>
      </c>
      <c r="I56" s="38">
        <f>[1]Grp_3!H54</f>
        <v>65.862499999999997</v>
      </c>
      <c r="J56" s="20">
        <f>[1]Grp_3!I54</f>
        <v>31.6799</v>
      </c>
      <c r="K56" s="20">
        <f>[1]Grp_3!J54</f>
        <v>35.819800000000001</v>
      </c>
      <c r="L56" s="20">
        <f>[1]Grp_3!K54</f>
        <v>0</v>
      </c>
      <c r="M56" s="20">
        <f>[1]Grp_3!L54</f>
        <v>0</v>
      </c>
      <c r="N56" s="20">
        <f>[1]Grp_3!M54</f>
        <v>0</v>
      </c>
      <c r="O56" s="20">
        <f>[1]Grp_3!N54</f>
        <v>0</v>
      </c>
      <c r="P56" s="20">
        <f>[1]Grp_3!O54</f>
        <v>0</v>
      </c>
      <c r="Q56" s="20">
        <f>[1]Grp_3!P54</f>
        <v>0</v>
      </c>
      <c r="R56" s="20">
        <f>[1]Grp_3!Q54</f>
        <v>0</v>
      </c>
      <c r="S56" s="21">
        <f>[1]Grp_3!R54</f>
        <v>0</v>
      </c>
      <c r="T56" s="9"/>
      <c r="U56" s="9"/>
      <c r="V56" s="10"/>
    </row>
    <row r="57" spans="1:22">
      <c r="A57" s="2">
        <v>54</v>
      </c>
      <c r="B57" s="17" t="str">
        <f>[1]Grp_3!A55</f>
        <v>5081C</v>
      </c>
      <c r="C57" s="30" t="str">
        <f>[1]Grp_3!B55</f>
        <v>ZABRISKIE</v>
      </c>
      <c r="D57" s="18" t="str">
        <f>[1]Grp_3!C55</f>
        <v>Institución Educativa Roberto Velandia</v>
      </c>
      <c r="E57" s="31" t="str">
        <f>[1]Grp_3!D55</f>
        <v>Mosquera, Cundinamarca, Colombia</v>
      </c>
      <c r="F57" s="34">
        <f>[1]Grp_3!E55</f>
        <v>0</v>
      </c>
      <c r="G57" s="19">
        <f>[1]Grp_3!F55</f>
        <v>0</v>
      </c>
      <c r="H57" s="37">
        <f>[1]Grp_3!G55</f>
        <v>71.8065</v>
      </c>
      <c r="I57" s="38">
        <f>[1]Grp_3!H55</f>
        <v>71.8065</v>
      </c>
      <c r="J57" s="20">
        <f>[1]Grp_3!I55</f>
        <v>0</v>
      </c>
      <c r="K57" s="20">
        <f>[1]Grp_3!J55</f>
        <v>0</v>
      </c>
      <c r="L57" s="20">
        <f>[1]Grp_3!K55</f>
        <v>0</v>
      </c>
      <c r="M57" s="20">
        <f>[1]Grp_3!L55</f>
        <v>0</v>
      </c>
      <c r="N57" s="20">
        <f>[1]Grp_3!M55</f>
        <v>0</v>
      </c>
      <c r="O57" s="20">
        <f>[1]Grp_3!N55</f>
        <v>0</v>
      </c>
      <c r="P57" s="20">
        <f>[1]Grp_3!O55</f>
        <v>0</v>
      </c>
      <c r="Q57" s="20">
        <f>[1]Grp_3!P55</f>
        <v>0</v>
      </c>
      <c r="R57" s="20">
        <f>[1]Grp_3!Q55</f>
        <v>0</v>
      </c>
      <c r="S57" s="21">
        <f>[1]Grp_3!R55</f>
        <v>0</v>
      </c>
      <c r="T57" s="9"/>
      <c r="U57" s="9"/>
      <c r="V57" s="10"/>
    </row>
    <row r="58" spans="1:22">
      <c r="A58" s="2">
        <v>55</v>
      </c>
      <c r="B58" s="17" t="str">
        <f>[1]Grp_3!A56</f>
        <v>5150F</v>
      </c>
      <c r="C58" s="30" t="str">
        <f>[1]Grp_3!B56</f>
        <v>Mad Hatters</v>
      </c>
      <c r="D58" s="18" t="str">
        <f>[1]Grp_3!C56</f>
        <v>Danbury High School</v>
      </c>
      <c r="E58" s="31" t="str">
        <f>[1]Grp_3!D56</f>
        <v>Danbury, Connecticut, United States</v>
      </c>
      <c r="F58" s="34">
        <f>[1]Grp_3!E56</f>
        <v>68</v>
      </c>
      <c r="G58" s="19">
        <f>[1]Grp_3!F56</f>
        <v>155</v>
      </c>
      <c r="H58" s="37">
        <f>[1]Grp_3!G56</f>
        <v>60.353299999999997</v>
      </c>
      <c r="I58" s="38">
        <f>[1]Grp_3!H56</f>
        <v>51.033099999999997</v>
      </c>
      <c r="J58" s="20">
        <f>[1]Grp_3!I56</f>
        <v>56.912999999999997</v>
      </c>
      <c r="K58" s="20">
        <f>[1]Grp_3!J56</f>
        <v>60.159399999999998</v>
      </c>
      <c r="L58" s="20">
        <f>[1]Grp_3!K56</f>
        <v>39.666800000000002</v>
      </c>
      <c r="M58" s="20">
        <f>[1]Grp_3!L56</f>
        <v>42.213099999999997</v>
      </c>
      <c r="N58" s="20">
        <f>[1]Grp_3!M56</f>
        <v>60.353299999999997</v>
      </c>
      <c r="O58" s="20">
        <f>[1]Grp_3!N56</f>
        <v>0</v>
      </c>
      <c r="P58" s="20">
        <f>[1]Grp_3!O56</f>
        <v>0</v>
      </c>
      <c r="Q58" s="20">
        <f>[1]Grp_3!P56</f>
        <v>0</v>
      </c>
      <c r="R58" s="20">
        <f>[1]Grp_3!Q56</f>
        <v>0</v>
      </c>
      <c r="S58" s="21">
        <f>[1]Grp_3!R56</f>
        <v>0</v>
      </c>
      <c r="T58" s="9"/>
      <c r="U58" s="9"/>
      <c r="V58" s="10"/>
    </row>
    <row r="59" spans="1:22">
      <c r="A59" s="2">
        <v>56</v>
      </c>
      <c r="B59" s="17" t="str">
        <f>[1]Grp_3!A57</f>
        <v>5233J</v>
      </c>
      <c r="C59" s="30" t="str">
        <f>[1]Grp_3!B57</f>
        <v>Justice League</v>
      </c>
      <c r="D59" s="18" t="str">
        <f>[1]Grp_3!C57</f>
        <v>National Robotics Academy, Inc.</v>
      </c>
      <c r="E59" s="31" t="str">
        <f>[1]Grp_3!D57</f>
        <v>Waterloo, Nebraska, United States</v>
      </c>
      <c r="F59" s="34">
        <f>[1]Grp_3!E57</f>
        <v>228</v>
      </c>
      <c r="G59" s="19">
        <f>[1]Grp_3!F57</f>
        <v>277</v>
      </c>
      <c r="H59" s="37">
        <f>[1]Grp_3!G57</f>
        <v>102.586</v>
      </c>
      <c r="I59" s="38">
        <f>[1]Grp_3!H57</f>
        <v>81.115099999999998</v>
      </c>
      <c r="J59" s="20">
        <f>[1]Grp_3!I57</f>
        <v>102.586</v>
      </c>
      <c r="K59" s="20">
        <f>[1]Grp_3!J57</f>
        <v>72.068299999999994</v>
      </c>
      <c r="L59" s="20">
        <f>[1]Grp_3!K57</f>
        <v>79.566800000000001</v>
      </c>
      <c r="M59" s="20">
        <f>[1]Grp_3!L57</f>
        <v>78.900999999999996</v>
      </c>
      <c r="N59" s="20">
        <f>[1]Grp_3!M57</f>
        <v>74.974199999999996</v>
      </c>
      <c r="O59" s="20">
        <f>[1]Grp_3!N57</f>
        <v>37.213200000000001</v>
      </c>
      <c r="P59" s="20">
        <f>[1]Grp_3!O57</f>
        <v>0</v>
      </c>
      <c r="Q59" s="20">
        <f>[1]Grp_3!P57</f>
        <v>0</v>
      </c>
      <c r="R59" s="20">
        <f>[1]Grp_3!Q57</f>
        <v>0</v>
      </c>
      <c r="S59" s="21">
        <f>[1]Grp_3!R57</f>
        <v>0</v>
      </c>
      <c r="T59" s="9"/>
      <c r="U59" s="9"/>
      <c r="V59" s="10"/>
    </row>
    <row r="60" spans="1:22">
      <c r="A60" s="2">
        <v>57</v>
      </c>
      <c r="B60" s="17" t="str">
        <f>[1]Grp_3!A58</f>
        <v>5408A</v>
      </c>
      <c r="C60" s="30" t="str">
        <f>[1]Grp_3!B58</f>
        <v>Sachse Texas Torque</v>
      </c>
      <c r="D60" s="18" t="str">
        <f>[1]Grp_3!C58</f>
        <v>Sachse High School</v>
      </c>
      <c r="E60" s="31" t="str">
        <f>[1]Grp_3!D58</f>
        <v>Sachse, Texas, United States</v>
      </c>
      <c r="F60" s="34">
        <f>[1]Grp_3!E58</f>
        <v>135</v>
      </c>
      <c r="G60" s="19">
        <f>[1]Grp_3!F58</f>
        <v>86</v>
      </c>
      <c r="H60" s="37">
        <f>[1]Grp_3!G58</f>
        <v>91.288700000000006</v>
      </c>
      <c r="I60" s="38">
        <f>[1]Grp_3!H58</f>
        <v>71.246600000000001</v>
      </c>
      <c r="J60" s="20">
        <f>[1]Grp_3!I58</f>
        <v>91.288700000000006</v>
      </c>
      <c r="K60" s="20">
        <f>[1]Grp_3!J58</f>
        <v>65.708699999999993</v>
      </c>
      <c r="L60" s="20">
        <f>[1]Grp_3!K58</f>
        <v>81.421000000000006</v>
      </c>
      <c r="M60" s="20">
        <f>[1]Grp_3!L58</f>
        <v>39.316699999999997</v>
      </c>
      <c r="N60" s="20">
        <f>[1]Grp_3!M58</f>
        <v>17.835599999999999</v>
      </c>
      <c r="O60" s="20">
        <f>[1]Grp_3!N58</f>
        <v>0</v>
      </c>
      <c r="P60" s="20">
        <f>[1]Grp_3!O58</f>
        <v>0</v>
      </c>
      <c r="Q60" s="20">
        <f>[1]Grp_3!P58</f>
        <v>0</v>
      </c>
      <c r="R60" s="20">
        <f>[1]Grp_3!Q58</f>
        <v>0</v>
      </c>
      <c r="S60" s="21">
        <f>[1]Grp_3!R58</f>
        <v>0</v>
      </c>
      <c r="T60" s="9"/>
      <c r="U60" s="9"/>
      <c r="V60" s="10"/>
    </row>
    <row r="61" spans="1:22">
      <c r="A61" s="2">
        <v>58</v>
      </c>
      <c r="B61" s="17" t="str">
        <f>[1]Grp_3!A59</f>
        <v>5454P</v>
      </c>
      <c r="C61" s="30" t="str">
        <f>[1]Grp_3!B59</f>
        <v>POOKIE'S PRESCHOOLERS</v>
      </c>
      <c r="D61" s="18" t="str">
        <f>[1]Grp_3!C59</f>
        <v>Elkhorn Crossing School</v>
      </c>
      <c r="E61" s="31" t="str">
        <f>[1]Grp_3!D59</f>
        <v>Georgetown, Kentucky, United States</v>
      </c>
      <c r="F61" s="34">
        <f>[1]Grp_3!E59</f>
        <v>125</v>
      </c>
      <c r="G61" s="19">
        <f>[1]Grp_3!F59</f>
        <v>0</v>
      </c>
      <c r="H61" s="37">
        <f>[1]Grp_3!G59</f>
        <v>74.635800000000003</v>
      </c>
      <c r="I61" s="38">
        <f>[1]Grp_3!H59</f>
        <v>66.310299999999998</v>
      </c>
      <c r="J61" s="20">
        <f>[1]Grp_3!I59</f>
        <v>67.335499999999996</v>
      </c>
      <c r="K61" s="20">
        <f>[1]Grp_3!J59</f>
        <v>6.4343599999999999</v>
      </c>
      <c r="L61" s="20">
        <f>[1]Grp_3!K59</f>
        <v>9.76891</v>
      </c>
      <c r="M61" s="20">
        <f>[1]Grp_3!L59</f>
        <v>74.635800000000003</v>
      </c>
      <c r="N61" s="20">
        <f>[1]Grp_3!M59</f>
        <v>65.118099999999998</v>
      </c>
      <c r="O61" s="20">
        <f>[1]Grp_3!N59</f>
        <v>50.7639</v>
      </c>
      <c r="P61" s="20">
        <f>[1]Grp_3!O59</f>
        <v>41.2012</v>
      </c>
      <c r="Q61" s="20">
        <f>[1]Grp_3!P59</f>
        <v>59.211799999999997</v>
      </c>
      <c r="R61" s="20">
        <f>[1]Grp_3!Q59</f>
        <v>0</v>
      </c>
      <c r="S61" s="21">
        <f>[1]Grp_3!R59</f>
        <v>0</v>
      </c>
      <c r="T61" s="9"/>
      <c r="U61" s="9"/>
      <c r="V61" s="10"/>
    </row>
    <row r="62" spans="1:22">
      <c r="A62" s="2">
        <v>59</v>
      </c>
      <c r="B62" s="17" t="str">
        <f>[1]Grp_3!A60</f>
        <v>5588C</v>
      </c>
      <c r="C62" s="30" t="str">
        <f>[1]Grp_3!B60</f>
        <v>Calvert Hall Cardinals</v>
      </c>
      <c r="D62" s="18" t="str">
        <f>[1]Grp_3!C60</f>
        <v>Calvert Hall College High School</v>
      </c>
      <c r="E62" s="31" t="str">
        <f>[1]Grp_3!D60</f>
        <v>Towson, Maryland, United States</v>
      </c>
      <c r="F62" s="34">
        <f>[1]Grp_3!E60</f>
        <v>326</v>
      </c>
      <c r="G62" s="19">
        <f>[1]Grp_3!F60</f>
        <v>306</v>
      </c>
      <c r="H62" s="37">
        <f>[1]Grp_3!G60</f>
        <v>154.471</v>
      </c>
      <c r="I62" s="38">
        <f>[1]Grp_3!H60</f>
        <v>139.18600000000001</v>
      </c>
      <c r="J62" s="20">
        <f>[1]Grp_3!I60</f>
        <v>129.28299999999999</v>
      </c>
      <c r="K62" s="20">
        <f>[1]Grp_3!J60</f>
        <v>111.251</v>
      </c>
      <c r="L62" s="20">
        <f>[1]Grp_3!K60</f>
        <v>154.471</v>
      </c>
      <c r="M62" s="20">
        <f>[1]Grp_3!L60</f>
        <v>98.900999999999996</v>
      </c>
      <c r="N62" s="20">
        <f>[1]Grp_3!M60</f>
        <v>87.624700000000004</v>
      </c>
      <c r="O62" s="20">
        <f>[1]Grp_3!N60</f>
        <v>41.599800000000002</v>
      </c>
      <c r="P62" s="20">
        <f>[1]Grp_3!O60</f>
        <v>0</v>
      </c>
      <c r="Q62" s="20">
        <f>[1]Grp_3!P60</f>
        <v>0</v>
      </c>
      <c r="R62" s="20">
        <f>[1]Grp_3!Q60</f>
        <v>0</v>
      </c>
      <c r="S62" s="21">
        <f>[1]Grp_3!R60</f>
        <v>0</v>
      </c>
      <c r="T62" s="9"/>
      <c r="U62" s="9"/>
      <c r="V62" s="10"/>
    </row>
    <row r="63" spans="1:22">
      <c r="A63" s="2">
        <v>60</v>
      </c>
      <c r="B63" s="17" t="str">
        <f>[1]Grp_3!A61</f>
        <v>5735B</v>
      </c>
      <c r="C63" s="30" t="str">
        <f>[1]Grp_3!B61</f>
        <v>Jackets STEAM Team</v>
      </c>
      <c r="D63" s="18" t="str">
        <f>[1]Grp_3!C61</f>
        <v>St Martin High School</v>
      </c>
      <c r="E63" s="31" t="str">
        <f>[1]Grp_3!D61</f>
        <v>Ocean Springs, Mississippi, United States</v>
      </c>
      <c r="F63" s="34">
        <f>[1]Grp_3!E61</f>
        <v>42</v>
      </c>
      <c r="G63" s="19">
        <f>[1]Grp_3!F61</f>
        <v>3</v>
      </c>
      <c r="H63" s="37">
        <f>[1]Grp_3!G61</f>
        <v>46.560899999999997</v>
      </c>
      <c r="I63" s="38">
        <f>[1]Grp_3!H61</f>
        <v>19.330400000000001</v>
      </c>
      <c r="J63" s="20">
        <f>[1]Grp_3!I61</f>
        <v>38.1083</v>
      </c>
      <c r="K63" s="20">
        <f>[1]Grp_3!J61</f>
        <v>46.560899999999997</v>
      </c>
      <c r="L63" s="20">
        <f>[1]Grp_3!K61</f>
        <v>0</v>
      </c>
      <c r="M63" s="20">
        <f>[1]Grp_3!L61</f>
        <v>0</v>
      </c>
      <c r="N63" s="20">
        <f>[1]Grp_3!M61</f>
        <v>0</v>
      </c>
      <c r="O63" s="20">
        <f>[1]Grp_3!N61</f>
        <v>0</v>
      </c>
      <c r="P63" s="20">
        <f>[1]Grp_3!O61</f>
        <v>0</v>
      </c>
      <c r="Q63" s="20">
        <f>[1]Grp_3!P61</f>
        <v>0</v>
      </c>
      <c r="R63" s="20">
        <f>[1]Grp_3!Q61</f>
        <v>0</v>
      </c>
      <c r="S63" s="21">
        <f>[1]Grp_3!R61</f>
        <v>0</v>
      </c>
      <c r="T63" s="9"/>
      <c r="U63" s="9"/>
      <c r="V63" s="10"/>
    </row>
    <row r="64" spans="1:22">
      <c r="A64" s="2">
        <v>61</v>
      </c>
      <c r="B64" s="17" t="str">
        <f>[1]Grp_3!A62</f>
        <v>5776B</v>
      </c>
      <c r="C64" s="30" t="str">
        <f>[1]Grp_3!B62</f>
        <v>DVHS Robotics</v>
      </c>
      <c r="D64" s="18" t="str">
        <f>[1]Grp_3!C62</f>
        <v>Dougherty Valley High School</v>
      </c>
      <c r="E64" s="31" t="str">
        <f>[1]Grp_3!D62</f>
        <v>San Ramon, California, United States</v>
      </c>
      <c r="F64" s="34">
        <f>[1]Grp_3!E62</f>
        <v>313</v>
      </c>
      <c r="G64" s="19">
        <f>[1]Grp_3!F62</f>
        <v>0</v>
      </c>
      <c r="H64" s="37">
        <f>[1]Grp_3!G62</f>
        <v>80.337800000000001</v>
      </c>
      <c r="I64" s="38">
        <f>[1]Grp_3!H62</f>
        <v>73.427499999999995</v>
      </c>
      <c r="J64" s="20">
        <f>[1]Grp_3!I62</f>
        <v>58.421599999999998</v>
      </c>
      <c r="K64" s="20">
        <f>[1]Grp_3!J62</f>
        <v>80.337800000000001</v>
      </c>
      <c r="L64" s="20">
        <f>[1]Grp_3!K62</f>
        <v>79.048599999999993</v>
      </c>
      <c r="M64" s="20">
        <f>[1]Grp_3!L62</f>
        <v>45.505200000000002</v>
      </c>
      <c r="N64" s="20">
        <f>[1]Grp_3!M62</f>
        <v>28.797599999999999</v>
      </c>
      <c r="O64" s="20">
        <f>[1]Grp_3!N62</f>
        <v>0</v>
      </c>
      <c r="P64" s="20">
        <f>[1]Grp_3!O62</f>
        <v>0</v>
      </c>
      <c r="Q64" s="20">
        <f>[1]Grp_3!P62</f>
        <v>0</v>
      </c>
      <c r="R64" s="20">
        <f>[1]Grp_3!Q62</f>
        <v>0</v>
      </c>
      <c r="S64" s="21">
        <f>[1]Grp_3!R62</f>
        <v>0</v>
      </c>
      <c r="T64" s="9"/>
      <c r="U64" s="9"/>
      <c r="V64" s="10"/>
    </row>
    <row r="65" spans="1:22">
      <c r="A65" s="2">
        <v>62</v>
      </c>
      <c r="B65" s="17" t="str">
        <f>[1]Grp_3!A63</f>
        <v>5813B</v>
      </c>
      <c r="C65" s="30" t="str">
        <f>[1]Grp_3!B63</f>
        <v>Black Squirrels</v>
      </c>
      <c r="D65" s="18" t="str">
        <f>[1]Grp_3!C63</f>
        <v>Abraham Lincoln High School</v>
      </c>
      <c r="E65" s="31" t="str">
        <f>[1]Grp_3!D63</f>
        <v>Council Bluffs, Iowa, United States</v>
      </c>
      <c r="F65" s="34">
        <f>[1]Grp_3!E63</f>
        <v>136</v>
      </c>
      <c r="G65" s="19">
        <f>[1]Grp_3!F63</f>
        <v>111</v>
      </c>
      <c r="H65" s="37">
        <f>[1]Grp_3!G63</f>
        <v>154.46799999999999</v>
      </c>
      <c r="I65" s="38">
        <f>[1]Grp_3!H63</f>
        <v>139.91300000000001</v>
      </c>
      <c r="J65" s="20">
        <f>[1]Grp_3!I63</f>
        <v>131.91300000000001</v>
      </c>
      <c r="K65" s="20">
        <f>[1]Grp_3!J63</f>
        <v>154.46799999999999</v>
      </c>
      <c r="L65" s="20">
        <f>[1]Grp_3!K63</f>
        <v>105.45</v>
      </c>
      <c r="M65" s="20">
        <f>[1]Grp_3!L63</f>
        <v>114.07299999999999</v>
      </c>
      <c r="N65" s="20">
        <f>[1]Grp_3!M63</f>
        <v>77.180700000000002</v>
      </c>
      <c r="O65" s="20">
        <f>[1]Grp_3!N63</f>
        <v>79.323999999999998</v>
      </c>
      <c r="P65" s="20">
        <f>[1]Grp_3!O63</f>
        <v>61.818800000000003</v>
      </c>
      <c r="Q65" s="20">
        <f>[1]Grp_3!P63</f>
        <v>0</v>
      </c>
      <c r="R65" s="20">
        <f>[1]Grp_3!Q63</f>
        <v>0</v>
      </c>
      <c r="S65" s="21">
        <f>[1]Grp_3!R63</f>
        <v>0</v>
      </c>
      <c r="T65" s="9"/>
      <c r="U65" s="9"/>
      <c r="V65" s="10"/>
    </row>
    <row r="66" spans="1:22">
      <c r="A66" s="2">
        <v>63</v>
      </c>
      <c r="B66" s="17" t="str">
        <f>[1]Grp_3!A64</f>
        <v>5994B</v>
      </c>
      <c r="C66" s="30" t="str">
        <f>[1]Grp_3!B64</f>
        <v>Sancris B</v>
      </c>
      <c r="D66" s="18" t="str">
        <f>[1]Grp_3!C64</f>
        <v>CECYTECH PLANTEL 20 San Cristóbal</v>
      </c>
      <c r="E66" s="31" t="str">
        <f>[1]Grp_3!D64</f>
        <v>San Cristobal de las Casa, Chiapas, Chiapas, Mexico</v>
      </c>
      <c r="F66" s="34">
        <f>[1]Grp_3!E64</f>
        <v>0</v>
      </c>
      <c r="G66" s="19">
        <f>[1]Grp_3!F64</f>
        <v>0</v>
      </c>
      <c r="H66" s="37">
        <f>[1]Grp_3!G64</f>
        <v>27.488299999999999</v>
      </c>
      <c r="I66" s="38">
        <f>[1]Grp_3!H64</f>
        <v>27.488299999999999</v>
      </c>
      <c r="J66" s="20">
        <f>[1]Grp_3!I64</f>
        <v>0</v>
      </c>
      <c r="K66" s="20">
        <f>[1]Grp_3!J64</f>
        <v>0</v>
      </c>
      <c r="L66" s="20">
        <f>[1]Grp_3!K64</f>
        <v>0</v>
      </c>
      <c r="M66" s="20">
        <f>[1]Grp_3!L64</f>
        <v>0</v>
      </c>
      <c r="N66" s="20">
        <f>[1]Grp_3!M64</f>
        <v>0</v>
      </c>
      <c r="O66" s="20">
        <f>[1]Grp_3!N64</f>
        <v>0</v>
      </c>
      <c r="P66" s="20">
        <f>[1]Grp_3!O64</f>
        <v>0</v>
      </c>
      <c r="Q66" s="20">
        <f>[1]Grp_3!P64</f>
        <v>0</v>
      </c>
      <c r="R66" s="20">
        <f>[1]Grp_3!Q64</f>
        <v>0</v>
      </c>
      <c r="S66" s="21">
        <f>[1]Grp_3!R64</f>
        <v>0</v>
      </c>
      <c r="T66" s="9"/>
      <c r="U66" s="9"/>
      <c r="V66" s="10"/>
    </row>
    <row r="67" spans="1:22">
      <c r="A67" s="2">
        <v>64</v>
      </c>
      <c r="B67" s="17" t="str">
        <f>[1]Grp_3!A65</f>
        <v>6030J</v>
      </c>
      <c r="C67" s="30" t="str">
        <f>[1]Grp_3!B65</f>
        <v>Jesters</v>
      </c>
      <c r="D67" s="18" t="str">
        <f>[1]Grp_3!C65</f>
        <v>Arizona College Prep - Erie</v>
      </c>
      <c r="E67" s="31" t="str">
        <f>[1]Grp_3!D65</f>
        <v>Chandler, Arizona, United States</v>
      </c>
      <c r="F67" s="34">
        <f>[1]Grp_3!E65</f>
        <v>281</v>
      </c>
      <c r="G67" s="19">
        <f>[1]Grp_3!F65</f>
        <v>285</v>
      </c>
      <c r="H67" s="37">
        <f>[1]Grp_3!G65</f>
        <v>85.1143</v>
      </c>
      <c r="I67" s="38">
        <f>[1]Grp_3!H65</f>
        <v>85.1143</v>
      </c>
      <c r="J67" s="20">
        <f>[1]Grp_3!I65</f>
        <v>66.758499999999998</v>
      </c>
      <c r="K67" s="20">
        <f>[1]Grp_3!J65</f>
        <v>20.473299999999998</v>
      </c>
      <c r="L67" s="20">
        <f>[1]Grp_3!K65</f>
        <v>74.468500000000006</v>
      </c>
      <c r="M67" s="20">
        <f>[1]Grp_3!L65</f>
        <v>41.542900000000003</v>
      </c>
      <c r="N67" s="20">
        <f>[1]Grp_3!M65</f>
        <v>76.986699999999999</v>
      </c>
      <c r="O67" s="20">
        <f>[1]Grp_3!N65</f>
        <v>45.329900000000002</v>
      </c>
      <c r="P67" s="20">
        <f>[1]Grp_3!O65</f>
        <v>0</v>
      </c>
      <c r="Q67" s="20">
        <f>[1]Grp_3!P65</f>
        <v>0</v>
      </c>
      <c r="R67" s="20">
        <f>[1]Grp_3!Q65</f>
        <v>0</v>
      </c>
      <c r="S67" s="21">
        <f>[1]Grp_3!R65</f>
        <v>0</v>
      </c>
      <c r="T67" s="9"/>
      <c r="U67" s="9"/>
      <c r="V67" s="10"/>
    </row>
    <row r="68" spans="1:22">
      <c r="A68" s="2">
        <v>65</v>
      </c>
      <c r="B68" s="17" t="str">
        <f>[1]Grp_3!A66</f>
        <v>6127C</v>
      </c>
      <c r="C68" s="30" t="str">
        <f>[1]Grp_3!B66</f>
        <v>DV3</v>
      </c>
      <c r="D68" s="18" t="str">
        <f>[1]Grp_3!C66</f>
        <v>Del Valle High School</v>
      </c>
      <c r="E68" s="31" t="str">
        <f>[1]Grp_3!D66</f>
        <v>El Paso, Texas, United States</v>
      </c>
      <c r="F68" s="34">
        <f>[1]Grp_3!E66</f>
        <v>0</v>
      </c>
      <c r="G68" s="19">
        <f>[1]Grp_3!F66</f>
        <v>0</v>
      </c>
      <c r="H68" s="37">
        <f>[1]Grp_3!G66</f>
        <v>38.878300000000003</v>
      </c>
      <c r="I68" s="38">
        <f>[1]Grp_3!H66</f>
        <v>38.878300000000003</v>
      </c>
      <c r="J68" s="20">
        <f>[1]Grp_3!I66</f>
        <v>28.616299999999999</v>
      </c>
      <c r="K68" s="20">
        <f>[1]Grp_3!J66</f>
        <v>0</v>
      </c>
      <c r="L68" s="20">
        <f>[1]Grp_3!K66</f>
        <v>0</v>
      </c>
      <c r="M68" s="20">
        <f>[1]Grp_3!L66</f>
        <v>0</v>
      </c>
      <c r="N68" s="20">
        <f>[1]Grp_3!M66</f>
        <v>0</v>
      </c>
      <c r="O68" s="20">
        <f>[1]Grp_3!N66</f>
        <v>0</v>
      </c>
      <c r="P68" s="20">
        <f>[1]Grp_3!O66</f>
        <v>0</v>
      </c>
      <c r="Q68" s="20">
        <f>[1]Grp_3!P66</f>
        <v>0</v>
      </c>
      <c r="R68" s="20">
        <f>[1]Grp_3!Q66</f>
        <v>0</v>
      </c>
      <c r="S68" s="21">
        <f>[1]Grp_3!R66</f>
        <v>0</v>
      </c>
      <c r="T68" s="9"/>
      <c r="U68" s="9"/>
      <c r="V68" s="10"/>
    </row>
    <row r="69" spans="1:22">
      <c r="A69" s="2">
        <v>66</v>
      </c>
      <c r="B69" s="17" t="str">
        <f>[1]Grp_3!A67</f>
        <v>6210Z</v>
      </c>
      <c r="C69" s="30" t="str">
        <f>[1]Grp_3!B67</f>
        <v>Eagles Engineering</v>
      </c>
      <c r="D69" s="18" t="str">
        <f>[1]Grp_3!C67</f>
        <v>Heritage Christian School</v>
      </c>
      <c r="E69" s="31" t="str">
        <f>[1]Grp_3!D67</f>
        <v>Indianapolis, Indiana, United States</v>
      </c>
      <c r="F69" s="34">
        <f>[1]Grp_3!E67</f>
        <v>41</v>
      </c>
      <c r="G69" s="19">
        <f>[1]Grp_3!F67</f>
        <v>176</v>
      </c>
      <c r="H69" s="37">
        <f>[1]Grp_3!G67</f>
        <v>80.170500000000004</v>
      </c>
      <c r="I69" s="38">
        <f>[1]Grp_3!H67</f>
        <v>80.170500000000004</v>
      </c>
      <c r="J69" s="20">
        <f>[1]Grp_3!I67</f>
        <v>16.645900000000001</v>
      </c>
      <c r="K69" s="20">
        <f>[1]Grp_3!J67</f>
        <v>71.386399999999995</v>
      </c>
      <c r="L69" s="20">
        <f>[1]Grp_3!K67</f>
        <v>54.289499999999997</v>
      </c>
      <c r="M69" s="20">
        <f>[1]Grp_3!L67</f>
        <v>0</v>
      </c>
      <c r="N69" s="20">
        <f>[1]Grp_3!M67</f>
        <v>0</v>
      </c>
      <c r="O69" s="20">
        <f>[1]Grp_3!N67</f>
        <v>0</v>
      </c>
      <c r="P69" s="20">
        <f>[1]Grp_3!O67</f>
        <v>0</v>
      </c>
      <c r="Q69" s="20">
        <f>[1]Grp_3!P67</f>
        <v>0</v>
      </c>
      <c r="R69" s="20">
        <f>[1]Grp_3!Q67</f>
        <v>0</v>
      </c>
      <c r="S69" s="21">
        <f>[1]Grp_3!R67</f>
        <v>0</v>
      </c>
      <c r="T69" s="9"/>
      <c r="U69" s="9"/>
      <c r="V69" s="10"/>
    </row>
    <row r="70" spans="1:22">
      <c r="A70" s="2">
        <v>67</v>
      </c>
      <c r="B70" s="17" t="str">
        <f>[1]Grp_3!A68</f>
        <v>6302Y</v>
      </c>
      <c r="C70" s="30" t="str">
        <f>[1]Grp_3!B68</f>
        <v>Rockets</v>
      </c>
      <c r="D70" s="18" t="str">
        <f>[1]Grp_3!C68</f>
        <v>Ridgedale High School</v>
      </c>
      <c r="E70" s="31" t="str">
        <f>[1]Grp_3!D68</f>
        <v>Morral, Ohio, United States</v>
      </c>
      <c r="F70" s="34">
        <f>[1]Grp_3!E68</f>
        <v>335</v>
      </c>
      <c r="G70" s="19">
        <f>[1]Grp_3!F68</f>
        <v>265</v>
      </c>
      <c r="H70" s="37">
        <f>[1]Grp_3!G68</f>
        <v>117.559</v>
      </c>
      <c r="I70" s="38">
        <f>[1]Grp_3!H68</f>
        <v>86.634</v>
      </c>
      <c r="J70" s="20">
        <f>[1]Grp_3!I68</f>
        <v>117.559</v>
      </c>
      <c r="K70" s="20">
        <f>[1]Grp_3!J68</f>
        <v>92.394499999999994</v>
      </c>
      <c r="L70" s="20">
        <f>[1]Grp_3!K68</f>
        <v>69.703299999999999</v>
      </c>
      <c r="M70" s="20">
        <f>[1]Grp_3!L68</f>
        <v>0</v>
      </c>
      <c r="N70" s="20">
        <f>[1]Grp_3!M68</f>
        <v>75.162999999999997</v>
      </c>
      <c r="O70" s="20">
        <f>[1]Grp_3!N68</f>
        <v>76.433400000000006</v>
      </c>
      <c r="P70" s="20">
        <f>[1]Grp_3!O68</f>
        <v>29.2591</v>
      </c>
      <c r="Q70" s="20">
        <f>[1]Grp_3!P68</f>
        <v>11.9977</v>
      </c>
      <c r="R70" s="20">
        <f>[1]Grp_3!Q68</f>
        <v>0</v>
      </c>
      <c r="S70" s="21">
        <f>[1]Grp_3!R68</f>
        <v>0</v>
      </c>
      <c r="T70" s="9"/>
      <c r="U70" s="9"/>
      <c r="V70" s="10"/>
    </row>
    <row r="71" spans="1:22">
      <c r="A71" s="2">
        <v>68</v>
      </c>
      <c r="B71" s="17" t="str">
        <f>[1]Grp_3!A69</f>
        <v>6526D</v>
      </c>
      <c r="C71" s="30" t="str">
        <f>[1]Grp_3!B69</f>
        <v>D-High</v>
      </c>
      <c r="D71" s="18" t="str">
        <f>[1]Grp_3!C69</f>
        <v>Damien High School</v>
      </c>
      <c r="E71" s="31" t="str">
        <f>[1]Grp_3!D69</f>
        <v>La Verne, California, United States</v>
      </c>
      <c r="F71" s="34">
        <f>[1]Grp_3!E69</f>
        <v>146</v>
      </c>
      <c r="G71" s="19">
        <f>[1]Grp_3!F69</f>
        <v>181</v>
      </c>
      <c r="H71" s="37">
        <f>[1]Grp_3!G69</f>
        <v>87.715100000000007</v>
      </c>
      <c r="I71" s="38">
        <f>[1]Grp_3!H69</f>
        <v>87.715100000000007</v>
      </c>
      <c r="J71" s="20">
        <f>[1]Grp_3!I69</f>
        <v>65.442800000000005</v>
      </c>
      <c r="K71" s="20">
        <f>[1]Grp_3!J69</f>
        <v>24.197900000000001</v>
      </c>
      <c r="L71" s="20">
        <f>[1]Grp_3!K69</f>
        <v>44.206200000000003</v>
      </c>
      <c r="M71" s="20">
        <f>[1]Grp_3!L69</f>
        <v>0</v>
      </c>
      <c r="N71" s="20">
        <f>[1]Grp_3!M69</f>
        <v>0</v>
      </c>
      <c r="O71" s="20">
        <f>[1]Grp_3!N69</f>
        <v>0</v>
      </c>
      <c r="P71" s="20">
        <f>[1]Grp_3!O69</f>
        <v>0</v>
      </c>
      <c r="Q71" s="20">
        <f>[1]Grp_3!P69</f>
        <v>0</v>
      </c>
      <c r="R71" s="20">
        <f>[1]Grp_3!Q69</f>
        <v>0</v>
      </c>
      <c r="S71" s="21">
        <f>[1]Grp_3!R69</f>
        <v>0</v>
      </c>
      <c r="T71" s="9"/>
      <c r="U71" s="9"/>
      <c r="V71" s="10"/>
    </row>
    <row r="72" spans="1:22">
      <c r="A72" s="2">
        <v>69</v>
      </c>
      <c r="B72" s="17" t="str">
        <f>[1]Grp_3!A70</f>
        <v>6685R</v>
      </c>
      <c r="C72" s="30" t="str">
        <f>[1]Grp_3!B70</f>
        <v>Vexorsism</v>
      </c>
      <c r="D72" s="18" t="str">
        <f>[1]Grp_3!C70</f>
        <v>Millard South High School</v>
      </c>
      <c r="E72" s="31" t="str">
        <f>[1]Grp_3!D70</f>
        <v>Omaha, Nebraska, United States</v>
      </c>
      <c r="F72" s="34">
        <f>[1]Grp_3!E70</f>
        <v>287</v>
      </c>
      <c r="G72" s="19">
        <f>[1]Grp_3!F70</f>
        <v>275</v>
      </c>
      <c r="H72" s="37">
        <f>[1]Grp_3!G70</f>
        <v>102.583</v>
      </c>
      <c r="I72" s="38">
        <f>[1]Grp_3!H70</f>
        <v>102.583</v>
      </c>
      <c r="J72" s="20">
        <f>[1]Grp_3!I70</f>
        <v>85.001400000000004</v>
      </c>
      <c r="K72" s="20">
        <f>[1]Grp_3!J70</f>
        <v>70.370500000000007</v>
      </c>
      <c r="L72" s="20">
        <f>[1]Grp_3!K70</f>
        <v>75.260800000000003</v>
      </c>
      <c r="M72" s="20">
        <f>[1]Grp_3!L70</f>
        <v>65.789500000000004</v>
      </c>
      <c r="N72" s="20">
        <f>[1]Grp_3!M70</f>
        <v>94.399199999999993</v>
      </c>
      <c r="O72" s="20">
        <f>[1]Grp_3!N70</f>
        <v>0</v>
      </c>
      <c r="P72" s="20">
        <f>[1]Grp_3!O70</f>
        <v>0</v>
      </c>
      <c r="Q72" s="20">
        <f>[1]Grp_3!P70</f>
        <v>0</v>
      </c>
      <c r="R72" s="20">
        <f>[1]Grp_3!Q70</f>
        <v>0</v>
      </c>
      <c r="S72" s="21">
        <f>[1]Grp_3!R70</f>
        <v>0</v>
      </c>
      <c r="T72" s="9"/>
      <c r="U72" s="9"/>
      <c r="V72" s="10"/>
    </row>
    <row r="73" spans="1:22">
      <c r="A73" s="2">
        <v>70</v>
      </c>
      <c r="B73" s="17" t="str">
        <f>[1]Grp_3!A71</f>
        <v>6815Z</v>
      </c>
      <c r="C73" s="30" t="str">
        <f>[1]Grp_3!B71</f>
        <v>Do you even lift bro?</v>
      </c>
      <c r="D73" s="18" t="str">
        <f>[1]Grp_3!C71</f>
        <v>Lincoln County High School</v>
      </c>
      <c r="E73" s="31" t="str">
        <f>[1]Grp_3!D71</f>
        <v>Hamlin, West Virginia, United States</v>
      </c>
      <c r="F73" s="34">
        <f>[1]Grp_3!E71</f>
        <v>208</v>
      </c>
      <c r="G73" s="19">
        <f>[1]Grp_3!F71</f>
        <v>93</v>
      </c>
      <c r="H73" s="37">
        <f>[1]Grp_3!G71</f>
        <v>118.259</v>
      </c>
      <c r="I73" s="38">
        <f>[1]Grp_3!H71</f>
        <v>118.259</v>
      </c>
      <c r="J73" s="20">
        <f>[1]Grp_3!I71</f>
        <v>91.063999999999993</v>
      </c>
      <c r="K73" s="20">
        <f>[1]Grp_3!J71</f>
        <v>58.146900000000002</v>
      </c>
      <c r="L73" s="20">
        <f>[1]Grp_3!K71</f>
        <v>0</v>
      </c>
      <c r="M73" s="20">
        <f>[1]Grp_3!L71</f>
        <v>0</v>
      </c>
      <c r="N73" s="20">
        <f>[1]Grp_3!M71</f>
        <v>0</v>
      </c>
      <c r="O73" s="20">
        <f>[1]Grp_3!N71</f>
        <v>0</v>
      </c>
      <c r="P73" s="20">
        <f>[1]Grp_3!O71</f>
        <v>0</v>
      </c>
      <c r="Q73" s="20">
        <f>[1]Grp_3!P71</f>
        <v>0</v>
      </c>
      <c r="R73" s="20">
        <f>[1]Grp_3!Q71</f>
        <v>0</v>
      </c>
      <c r="S73" s="21">
        <f>[1]Grp_3!R71</f>
        <v>0</v>
      </c>
      <c r="T73" s="9"/>
      <c r="U73" s="9"/>
      <c r="V73" s="10"/>
    </row>
    <row r="74" spans="1:22">
      <c r="A74" s="2">
        <v>71</v>
      </c>
      <c r="B74" s="17" t="str">
        <f>[1]Grp_3!A72</f>
        <v>6916C</v>
      </c>
      <c r="C74" s="30" t="str">
        <f>[1]Grp_3!B72</f>
        <v>BVT VexVengers</v>
      </c>
      <c r="D74" s="18" t="str">
        <f>[1]Grp_3!C72</f>
        <v>Blackstone Valley Regional High School</v>
      </c>
      <c r="E74" s="31" t="str">
        <f>[1]Grp_3!D72</f>
        <v>Upton, Massachusetts, United States</v>
      </c>
      <c r="F74" s="34">
        <f>[1]Grp_3!E72</f>
        <v>80</v>
      </c>
      <c r="G74" s="19">
        <f>[1]Grp_3!F72</f>
        <v>120</v>
      </c>
      <c r="H74" s="37">
        <f>[1]Grp_3!G72</f>
        <v>125.61199999999999</v>
      </c>
      <c r="I74" s="38">
        <f>[1]Grp_3!H72</f>
        <v>125.61199999999999</v>
      </c>
      <c r="J74" s="20">
        <f>[1]Grp_3!I72</f>
        <v>100.79900000000001</v>
      </c>
      <c r="K74" s="20">
        <f>[1]Grp_3!J72</f>
        <v>72.357100000000003</v>
      </c>
      <c r="L74" s="20">
        <f>[1]Grp_3!K72</f>
        <v>88.680499999999995</v>
      </c>
      <c r="M74" s="20">
        <f>[1]Grp_3!L72</f>
        <v>68.870800000000003</v>
      </c>
      <c r="N74" s="20">
        <f>[1]Grp_3!M72</f>
        <v>0</v>
      </c>
      <c r="O74" s="20">
        <f>[1]Grp_3!N72</f>
        <v>0</v>
      </c>
      <c r="P74" s="20">
        <f>[1]Grp_3!O72</f>
        <v>0</v>
      </c>
      <c r="Q74" s="20">
        <f>[1]Grp_3!P72</f>
        <v>0</v>
      </c>
      <c r="R74" s="20">
        <f>[1]Grp_3!Q72</f>
        <v>0</v>
      </c>
      <c r="S74" s="21">
        <f>[1]Grp_3!R72</f>
        <v>0</v>
      </c>
      <c r="T74" s="9"/>
      <c r="U74" s="9"/>
      <c r="V74" s="10"/>
    </row>
    <row r="75" spans="1:22">
      <c r="A75" s="2">
        <v>72</v>
      </c>
      <c r="B75" s="17" t="str">
        <f>[1]Grp_3!A73</f>
        <v>7010C</v>
      </c>
      <c r="C75" s="30" t="str">
        <f>[1]Grp_3!B73</f>
        <v>Conalep Chiapas A</v>
      </c>
      <c r="D75" s="18" t="str">
        <f>[1]Grp_3!C73</f>
        <v>Colegio Nacional de Educación Profesional Técnica (Conalep Chiapas)</v>
      </c>
      <c r="E75" s="31" t="str">
        <f>[1]Grp_3!D73</f>
        <v>Tuxtal Gutierrez , Chiapas, Chiapas, Mexico</v>
      </c>
      <c r="F75" s="34">
        <f>[1]Grp_3!E73</f>
        <v>58</v>
      </c>
      <c r="G75" s="19">
        <f>[1]Grp_3!F73</f>
        <v>0</v>
      </c>
      <c r="H75" s="37">
        <f>[1]Grp_3!G73</f>
        <v>84.464200000000005</v>
      </c>
      <c r="I75" s="38">
        <f>[1]Grp_3!H73</f>
        <v>84.464200000000005</v>
      </c>
      <c r="J75" s="20">
        <f>[1]Grp_3!I73</f>
        <v>69.351900000000001</v>
      </c>
      <c r="K75" s="20">
        <f>[1]Grp_3!J73</f>
        <v>45.874200000000002</v>
      </c>
      <c r="L75" s="20">
        <f>[1]Grp_3!K73</f>
        <v>56.573099999999997</v>
      </c>
      <c r="M75" s="20">
        <f>[1]Grp_3!L73</f>
        <v>0</v>
      </c>
      <c r="N75" s="20">
        <f>[1]Grp_3!M73</f>
        <v>0</v>
      </c>
      <c r="O75" s="20">
        <f>[1]Grp_3!N73</f>
        <v>0</v>
      </c>
      <c r="P75" s="20">
        <f>[1]Grp_3!O73</f>
        <v>0</v>
      </c>
      <c r="Q75" s="20">
        <f>[1]Grp_3!P73</f>
        <v>0</v>
      </c>
      <c r="R75" s="20">
        <f>[1]Grp_3!Q73</f>
        <v>0</v>
      </c>
      <c r="S75" s="21">
        <f>[1]Grp_3!R73</f>
        <v>0</v>
      </c>
      <c r="T75" s="9"/>
      <c r="U75" s="9"/>
      <c r="V75" s="10"/>
    </row>
    <row r="76" spans="1:22">
      <c r="A76" s="2">
        <v>73</v>
      </c>
      <c r="B76" s="17" t="str">
        <f>[1]Grp_3!A74</f>
        <v>7192B</v>
      </c>
      <c r="C76" s="30" t="str">
        <f>[1]Grp_3!B74</f>
        <v>Windom Eagles B Team</v>
      </c>
      <c r="D76" s="18" t="str">
        <f>[1]Grp_3!C74</f>
        <v>Windom MS &amp; HS</v>
      </c>
      <c r="E76" s="31" t="str">
        <f>[1]Grp_3!D74</f>
        <v>Windom, Minnesota, United States</v>
      </c>
      <c r="F76" s="34">
        <f>[1]Grp_3!E74</f>
        <v>215</v>
      </c>
      <c r="G76" s="19">
        <f>[1]Grp_3!F74</f>
        <v>0</v>
      </c>
      <c r="H76" s="37">
        <f>[1]Grp_3!G74</f>
        <v>85.253399999999999</v>
      </c>
      <c r="I76" s="38">
        <f>[1]Grp_3!H74</f>
        <v>85.253399999999999</v>
      </c>
      <c r="J76" s="20">
        <f>[1]Grp_3!I74</f>
        <v>68.738699999999994</v>
      </c>
      <c r="K76" s="20">
        <f>[1]Grp_3!J74</f>
        <v>62.842700000000001</v>
      </c>
      <c r="L76" s="20">
        <f>[1]Grp_3!K74</f>
        <v>47.9148</v>
      </c>
      <c r="M76" s="20">
        <f>[1]Grp_3!L74</f>
        <v>29.606100000000001</v>
      </c>
      <c r="N76" s="20">
        <f>[1]Grp_3!M74</f>
        <v>0</v>
      </c>
      <c r="O76" s="20">
        <f>[1]Grp_3!N74</f>
        <v>0</v>
      </c>
      <c r="P76" s="20">
        <f>[1]Grp_3!O74</f>
        <v>0</v>
      </c>
      <c r="Q76" s="20">
        <f>[1]Grp_3!P74</f>
        <v>0</v>
      </c>
      <c r="R76" s="20">
        <f>[1]Grp_3!Q74</f>
        <v>0</v>
      </c>
      <c r="S76" s="21">
        <f>[1]Grp_3!R74</f>
        <v>0</v>
      </c>
      <c r="T76" s="9"/>
      <c r="U76" s="9"/>
      <c r="V76" s="10"/>
    </row>
    <row r="77" spans="1:22">
      <c r="A77" s="2">
        <v>75</v>
      </c>
      <c r="B77" s="17" t="str">
        <f>[1]Grp_3!A76</f>
        <v>7504X</v>
      </c>
      <c r="C77" s="30" t="str">
        <f>[1]Grp_3!B76</f>
        <v>Equilibrium</v>
      </c>
      <c r="D77" s="18" t="str">
        <f>[1]Grp_3!C76</f>
        <v>Austin Academy for Excellence</v>
      </c>
      <c r="E77" s="31" t="str">
        <f>[1]Grp_3!D76</f>
        <v>Garland, Texas, United States</v>
      </c>
      <c r="F77" s="34">
        <f>[1]Grp_3!E76</f>
        <v>222</v>
      </c>
      <c r="G77" s="19">
        <f>[1]Grp_3!F76</f>
        <v>155</v>
      </c>
      <c r="H77" s="37">
        <f>[1]Grp_3!G76</f>
        <v>168.34200000000001</v>
      </c>
      <c r="I77" s="38">
        <f>[1]Grp_3!H76</f>
        <v>168.34200000000001</v>
      </c>
      <c r="J77" s="20">
        <f>[1]Grp_3!I76</f>
        <v>127.622</v>
      </c>
      <c r="K77" s="20">
        <f>[1]Grp_3!J76</f>
        <v>128.77099999999999</v>
      </c>
      <c r="L77" s="20">
        <f>[1]Grp_3!K76</f>
        <v>114.059</v>
      </c>
      <c r="M77" s="20">
        <f>[1]Grp_3!L76</f>
        <v>113.22799999999999</v>
      </c>
      <c r="N77" s="20">
        <f>[1]Grp_3!M76</f>
        <v>93.570800000000006</v>
      </c>
      <c r="O77" s="20">
        <f>[1]Grp_3!N76</f>
        <v>17.4818</v>
      </c>
      <c r="P77" s="20">
        <f>[1]Grp_3!O76</f>
        <v>83.492099999999994</v>
      </c>
      <c r="Q77" s="20">
        <f>[1]Grp_3!P76</f>
        <v>84.513300000000001</v>
      </c>
      <c r="R77" s="20">
        <f>[1]Grp_3!Q76</f>
        <v>73.336100000000002</v>
      </c>
      <c r="S77" s="21">
        <f>[1]Grp_3!R75</f>
        <v>0</v>
      </c>
      <c r="T77" s="9"/>
      <c r="U77" s="9"/>
      <c r="V77" s="10"/>
    </row>
    <row r="78" spans="1:22">
      <c r="A78" s="2">
        <v>76</v>
      </c>
      <c r="B78" s="17" t="str">
        <f>[1]Grp_3!A77</f>
        <v>7627A</v>
      </c>
      <c r="C78" s="30" t="str">
        <f>[1]Grp_3!B77</f>
        <v>Gaoxin A</v>
      </c>
      <c r="D78" s="18" t="str">
        <f>[1]Grp_3!C77</f>
        <v>Chengdu NO.7 High School Gaoxin Branch</v>
      </c>
      <c r="E78" s="31" t="str">
        <f>[1]Grp_3!D77</f>
        <v>chengdu, Not Applicable or Not Listed, China</v>
      </c>
      <c r="F78" s="34">
        <f>[1]Grp_3!E77</f>
        <v>0</v>
      </c>
      <c r="G78" s="19">
        <f>[1]Grp_3!F77</f>
        <v>0</v>
      </c>
      <c r="H78" s="37">
        <f>[1]Grp_3!G77</f>
        <v>101.46599999999999</v>
      </c>
      <c r="I78" s="38">
        <f>[1]Grp_3!H77</f>
        <v>101.46599999999999</v>
      </c>
      <c r="J78" s="20">
        <f>[1]Grp_3!I77</f>
        <v>0</v>
      </c>
      <c r="K78" s="20">
        <f>[1]Grp_3!J77</f>
        <v>0</v>
      </c>
      <c r="L78" s="20">
        <f>[1]Grp_3!K77</f>
        <v>0</v>
      </c>
      <c r="M78" s="20">
        <f>[1]Grp_3!L77</f>
        <v>0</v>
      </c>
      <c r="N78" s="20">
        <f>[1]Grp_3!M77</f>
        <v>0</v>
      </c>
      <c r="O78" s="20">
        <f>[1]Grp_3!N77</f>
        <v>0</v>
      </c>
      <c r="P78" s="20">
        <f>[1]Grp_3!O77</f>
        <v>0</v>
      </c>
      <c r="Q78" s="20">
        <f>[1]Grp_3!P77</f>
        <v>0</v>
      </c>
      <c r="R78" s="20">
        <f>[1]Grp_3!Q77</f>
        <v>0</v>
      </c>
      <c r="S78" s="21">
        <f>[1]Grp_3!R76</f>
        <v>51.3611</v>
      </c>
      <c r="T78" s="9"/>
      <c r="U78" s="9"/>
      <c r="V78" s="10"/>
    </row>
    <row r="79" spans="1:22">
      <c r="A79" s="2">
        <v>77</v>
      </c>
      <c r="B79" s="17" t="str">
        <f>[1]Grp_3!A78</f>
        <v>7701Z</v>
      </c>
      <c r="C79" s="30" t="str">
        <f>[1]Grp_3!B78</f>
        <v>The Stainless Steel Eagle</v>
      </c>
      <c r="D79" s="18" t="str">
        <f>[1]Grp_3!C78</f>
        <v>Zionsville Community High School</v>
      </c>
      <c r="E79" s="31" t="str">
        <f>[1]Grp_3!D78</f>
        <v>Zionsville, Indiana, United States</v>
      </c>
      <c r="F79" s="34">
        <f>[1]Grp_3!E78</f>
        <v>306</v>
      </c>
      <c r="G79" s="19">
        <f>[1]Grp_3!F78</f>
        <v>170</v>
      </c>
      <c r="H79" s="37">
        <f>[1]Grp_3!G78</f>
        <v>117.81399999999999</v>
      </c>
      <c r="I79" s="38">
        <f>[1]Grp_3!H78</f>
        <v>112.28100000000001</v>
      </c>
      <c r="J79" s="20">
        <f>[1]Grp_3!I78</f>
        <v>61.669600000000003</v>
      </c>
      <c r="K79" s="20">
        <f>[1]Grp_3!J78</f>
        <v>110.70099999999999</v>
      </c>
      <c r="L79" s="20">
        <f>[1]Grp_3!K78</f>
        <v>117.81399999999999</v>
      </c>
      <c r="M79" s="20">
        <f>[1]Grp_3!L78</f>
        <v>0</v>
      </c>
      <c r="N79" s="20">
        <f>[1]Grp_3!M78</f>
        <v>0</v>
      </c>
      <c r="O79" s="20">
        <f>[1]Grp_3!N78</f>
        <v>0</v>
      </c>
      <c r="P79" s="20">
        <f>[1]Grp_3!O78</f>
        <v>0</v>
      </c>
      <c r="Q79" s="20">
        <f>[1]Grp_3!P78</f>
        <v>0</v>
      </c>
      <c r="R79" s="20">
        <f>[1]Grp_3!Q78</f>
        <v>0</v>
      </c>
      <c r="S79" s="21">
        <f>[1]Grp_3!R77</f>
        <v>0</v>
      </c>
      <c r="T79" s="9"/>
      <c r="U79" s="9"/>
      <c r="V79" s="10"/>
    </row>
    <row r="80" spans="1:22">
      <c r="A80" s="2">
        <v>78</v>
      </c>
      <c r="B80" s="17" t="str">
        <f>[1]Grp_3!A79</f>
        <v>7856A</v>
      </c>
      <c r="C80" s="30" t="str">
        <f>[1]Grp_3!B79</f>
        <v>SH Fuxing HS A</v>
      </c>
      <c r="D80" s="18" t="str">
        <f>[1]Grp_3!C79</f>
        <v>Shanghai Fuxing High School</v>
      </c>
      <c r="E80" s="31" t="str">
        <f>[1]Grp_3!D79</f>
        <v>Shanghai, Not Applicable or Not Listed, China</v>
      </c>
      <c r="F80" s="34">
        <f>[1]Grp_3!E79</f>
        <v>67</v>
      </c>
      <c r="G80" s="19">
        <f>[1]Grp_3!F79</f>
        <v>0</v>
      </c>
      <c r="H80" s="37">
        <f>[1]Grp_3!G79</f>
        <v>128.821</v>
      </c>
      <c r="I80" s="38">
        <f>[1]Grp_3!H79</f>
        <v>128.821</v>
      </c>
      <c r="J80" s="20">
        <f>[1]Grp_3!I79</f>
        <v>0</v>
      </c>
      <c r="K80" s="20">
        <f>[1]Grp_3!J79</f>
        <v>0</v>
      </c>
      <c r="L80" s="20">
        <f>[1]Grp_3!K79</f>
        <v>0</v>
      </c>
      <c r="M80" s="20">
        <f>[1]Grp_3!L79</f>
        <v>0</v>
      </c>
      <c r="N80" s="20">
        <f>[1]Grp_3!M79</f>
        <v>0</v>
      </c>
      <c r="O80" s="20">
        <f>[1]Grp_3!N79</f>
        <v>0</v>
      </c>
      <c r="P80" s="20">
        <f>[1]Grp_3!O79</f>
        <v>0</v>
      </c>
      <c r="Q80" s="20">
        <f>[1]Grp_3!P79</f>
        <v>0</v>
      </c>
      <c r="R80" s="20">
        <f>[1]Grp_3!Q79</f>
        <v>0</v>
      </c>
      <c r="S80" s="21">
        <f>[1]Grp_3!R78</f>
        <v>0</v>
      </c>
      <c r="T80" s="9"/>
      <c r="U80" s="9"/>
      <c r="V80" s="10"/>
    </row>
    <row r="81" spans="1:22">
      <c r="A81" s="2">
        <v>79</v>
      </c>
      <c r="B81" s="17" t="str">
        <f>[1]Grp_3!A80</f>
        <v>7925A</v>
      </c>
      <c r="C81" s="30" t="str">
        <f>[1]Grp_3!B80</f>
        <v>Hangzhou NO.2 A</v>
      </c>
      <c r="D81" s="18" t="str">
        <f>[1]Grp_3!C80</f>
        <v>Hangzhou No.2 High School</v>
      </c>
      <c r="E81" s="31" t="str">
        <f>[1]Grp_3!D80</f>
        <v>hanzhou, Not Applicable or Not Listed, China</v>
      </c>
      <c r="F81" s="34">
        <f>[1]Grp_3!E80</f>
        <v>203</v>
      </c>
      <c r="G81" s="19">
        <f>[1]Grp_3!F80</f>
        <v>0</v>
      </c>
      <c r="H81" s="37">
        <f>[1]Grp_3!G80</f>
        <v>87.843299999999999</v>
      </c>
      <c r="I81" s="38">
        <f>[1]Grp_3!H80</f>
        <v>87.843299999999999</v>
      </c>
      <c r="J81" s="20">
        <f>[1]Grp_3!I80</f>
        <v>0</v>
      </c>
      <c r="K81" s="20">
        <f>[1]Grp_3!J80</f>
        <v>0</v>
      </c>
      <c r="L81" s="20">
        <f>[1]Grp_3!K80</f>
        <v>0</v>
      </c>
      <c r="M81" s="20">
        <f>[1]Grp_3!L80</f>
        <v>0</v>
      </c>
      <c r="N81" s="20">
        <f>[1]Grp_3!M80</f>
        <v>0</v>
      </c>
      <c r="O81" s="20">
        <f>[1]Grp_3!N80</f>
        <v>0</v>
      </c>
      <c r="P81" s="20">
        <f>[1]Grp_3!O80</f>
        <v>0</v>
      </c>
      <c r="Q81" s="20">
        <f>[1]Grp_3!P80</f>
        <v>0</v>
      </c>
      <c r="R81" s="20">
        <f>[1]Grp_3!Q80</f>
        <v>0</v>
      </c>
      <c r="S81" s="21">
        <f>[1]Grp_3!R79</f>
        <v>0</v>
      </c>
      <c r="T81" s="9"/>
      <c r="U81" s="9"/>
      <c r="V81" s="10"/>
    </row>
    <row r="82" spans="1:22">
      <c r="A82" s="2">
        <v>80</v>
      </c>
      <c r="B82" s="17" t="str">
        <f>[1]Grp_3!A81</f>
        <v>8000A</v>
      </c>
      <c r="C82" s="30" t="str">
        <f>[1]Grp_3!B81</f>
        <v>HRS Robohawks</v>
      </c>
      <c r="D82" s="18" t="str">
        <f>[1]Grp_3!C81</f>
        <v>Head-Royce School</v>
      </c>
      <c r="E82" s="31" t="str">
        <f>[1]Grp_3!D81</f>
        <v>Oakland, California, United States</v>
      </c>
      <c r="F82" s="34">
        <f>[1]Grp_3!E81</f>
        <v>380</v>
      </c>
      <c r="G82" s="19">
        <f>[1]Grp_3!F81</f>
        <v>0</v>
      </c>
      <c r="H82" s="37">
        <f>[1]Grp_3!G81</f>
        <v>124.241</v>
      </c>
      <c r="I82" s="38">
        <f>[1]Grp_3!H81</f>
        <v>102.992</v>
      </c>
      <c r="J82" s="20">
        <f>[1]Grp_3!I81</f>
        <v>124.241</v>
      </c>
      <c r="K82" s="20">
        <f>[1]Grp_3!J81</f>
        <v>107.396</v>
      </c>
      <c r="L82" s="20">
        <f>[1]Grp_3!K81</f>
        <v>84.531800000000004</v>
      </c>
      <c r="M82" s="20">
        <f>[1]Grp_3!L81</f>
        <v>44.6937</v>
      </c>
      <c r="N82" s="20">
        <f>[1]Grp_3!M81</f>
        <v>37.076799999999999</v>
      </c>
      <c r="O82" s="20">
        <f>[1]Grp_3!N81</f>
        <v>69.261200000000002</v>
      </c>
      <c r="P82" s="20">
        <f>[1]Grp_3!O81</f>
        <v>0</v>
      </c>
      <c r="Q82" s="20">
        <f>[1]Grp_3!P81</f>
        <v>0</v>
      </c>
      <c r="R82" s="20">
        <f>[1]Grp_3!Q81</f>
        <v>0</v>
      </c>
      <c r="S82" s="21">
        <f>[1]Grp_3!R80</f>
        <v>0</v>
      </c>
      <c r="T82" s="9"/>
      <c r="U82" s="9"/>
      <c r="V82" s="10"/>
    </row>
    <row r="83" spans="1:22">
      <c r="A83" s="2">
        <v>81</v>
      </c>
      <c r="B83" s="17" t="str">
        <f>[1]Grp_3!A82</f>
        <v>8059A</v>
      </c>
      <c r="C83" s="30" t="str">
        <f>[1]Grp_3!B82</f>
        <v>Blank.</v>
      </c>
      <c r="D83" s="18" t="str">
        <f>[1]Grp_3!C82</f>
        <v>Anglo-Chinese School (Independent)</v>
      </c>
      <c r="E83" s="31" t="str">
        <f>[1]Grp_3!D82</f>
        <v>Singapore, Not Applicable or Not Listed, Singapore</v>
      </c>
      <c r="F83" s="34">
        <f>[1]Grp_3!E82</f>
        <v>301</v>
      </c>
      <c r="G83" s="19">
        <f>[1]Grp_3!F82</f>
        <v>330</v>
      </c>
      <c r="H83" s="37">
        <f>[1]Grp_3!G82</f>
        <v>87.022999999999996</v>
      </c>
      <c r="I83" s="38">
        <f>[1]Grp_3!H82</f>
        <v>87.022999999999996</v>
      </c>
      <c r="J83" s="20">
        <f>[1]Grp_3!I82</f>
        <v>0</v>
      </c>
      <c r="K83" s="20">
        <f>[1]Grp_3!J82</f>
        <v>0</v>
      </c>
      <c r="L83" s="20">
        <f>[1]Grp_3!K82</f>
        <v>0</v>
      </c>
      <c r="M83" s="20">
        <f>[1]Grp_3!L82</f>
        <v>0</v>
      </c>
      <c r="N83" s="20">
        <f>[1]Grp_3!M82</f>
        <v>0</v>
      </c>
      <c r="O83" s="20">
        <f>[1]Grp_3!N82</f>
        <v>0</v>
      </c>
      <c r="P83" s="20">
        <f>[1]Grp_3!O82</f>
        <v>0</v>
      </c>
      <c r="Q83" s="20">
        <f>[1]Grp_3!P82</f>
        <v>0</v>
      </c>
      <c r="R83" s="20">
        <f>[1]Grp_3!Q82</f>
        <v>0</v>
      </c>
      <c r="S83" s="21">
        <f>[1]Grp_3!R81</f>
        <v>0</v>
      </c>
      <c r="T83" s="9"/>
      <c r="U83" s="9"/>
      <c r="V83" s="10"/>
    </row>
    <row r="84" spans="1:22">
      <c r="A84" s="2">
        <v>82</v>
      </c>
      <c r="B84" s="17" t="str">
        <f>[1]Grp_3!A83</f>
        <v>8123</v>
      </c>
      <c r="C84" s="30" t="str">
        <f>[1]Grp_3!B83</f>
        <v>Irvington Robotics</v>
      </c>
      <c r="D84" s="18" t="str">
        <f>[1]Grp_3!C83</f>
        <v>Irvington Preparatory Academy</v>
      </c>
      <c r="E84" s="31" t="str">
        <f>[1]Grp_3!D83</f>
        <v>Indianapolis, Indiana, United States</v>
      </c>
      <c r="F84" s="34">
        <f>[1]Grp_3!E83</f>
        <v>272</v>
      </c>
      <c r="G84" s="19">
        <f>[1]Grp_3!F83</f>
        <v>199</v>
      </c>
      <c r="H84" s="37">
        <f>[1]Grp_3!G83</f>
        <v>126.827</v>
      </c>
      <c r="I84" s="38">
        <f>[1]Grp_3!H83</f>
        <v>126.827</v>
      </c>
      <c r="J84" s="20">
        <f>[1]Grp_3!I83</f>
        <v>73.429900000000004</v>
      </c>
      <c r="K84" s="20">
        <f>[1]Grp_3!J83</f>
        <v>82.083399999999997</v>
      </c>
      <c r="L84" s="20">
        <f>[1]Grp_3!K83</f>
        <v>116.584</v>
      </c>
      <c r="M84" s="20">
        <f>[1]Grp_3!L83</f>
        <v>100.883</v>
      </c>
      <c r="N84" s="20">
        <f>[1]Grp_3!M83</f>
        <v>62.842599999999997</v>
      </c>
      <c r="O84" s="20">
        <f>[1]Grp_3!N83</f>
        <v>31.335000000000001</v>
      </c>
      <c r="P84" s="20">
        <f>[1]Grp_3!O83</f>
        <v>0</v>
      </c>
      <c r="Q84" s="20">
        <f>[1]Grp_3!P83</f>
        <v>0</v>
      </c>
      <c r="R84" s="20">
        <f>[1]Grp_3!Q83</f>
        <v>0</v>
      </c>
      <c r="S84" s="21">
        <f>[1]Grp_3!R82</f>
        <v>0</v>
      </c>
      <c r="T84" s="9"/>
      <c r="U84" s="9"/>
      <c r="V84" s="10"/>
    </row>
    <row r="85" spans="1:22">
      <c r="A85" s="2">
        <v>83</v>
      </c>
      <c r="B85" s="17" t="str">
        <f>[1]Grp_3!A84</f>
        <v>8353A</v>
      </c>
      <c r="C85" s="30" t="str">
        <f>[1]Grp_3!B84</f>
        <v>CECyTEH Santiago 1</v>
      </c>
      <c r="D85" s="18" t="str">
        <f>[1]Grp_3!C84</f>
        <v>CECyTEH Plantel Santiago de Anaya</v>
      </c>
      <c r="E85" s="31" t="str">
        <f>[1]Grp_3!D84</f>
        <v>Santiago de Anaya, Hidalgo, Mexico</v>
      </c>
      <c r="F85" s="34">
        <f>[1]Grp_3!E84</f>
        <v>0</v>
      </c>
      <c r="G85" s="19">
        <f>[1]Grp_3!F84</f>
        <v>0</v>
      </c>
      <c r="H85" s="37">
        <f>[1]Grp_3!G84</f>
        <v>76.379300000000001</v>
      </c>
      <c r="I85" s="38">
        <f>[1]Grp_3!H84</f>
        <v>76.379300000000001</v>
      </c>
      <c r="J85" s="20">
        <f>[1]Grp_3!I84</f>
        <v>64.084000000000003</v>
      </c>
      <c r="K85" s="20">
        <f>[1]Grp_3!J84</f>
        <v>72.259699999999995</v>
      </c>
      <c r="L85" s="20">
        <f>[1]Grp_3!K84</f>
        <v>73.882800000000003</v>
      </c>
      <c r="M85" s="20">
        <f>[1]Grp_3!L84</f>
        <v>17.8582</v>
      </c>
      <c r="N85" s="20">
        <f>[1]Grp_3!M84</f>
        <v>0</v>
      </c>
      <c r="O85" s="20">
        <f>[1]Grp_3!N84</f>
        <v>0</v>
      </c>
      <c r="P85" s="20">
        <f>[1]Grp_3!O84</f>
        <v>0</v>
      </c>
      <c r="Q85" s="20">
        <f>[1]Grp_3!P84</f>
        <v>0</v>
      </c>
      <c r="R85" s="20">
        <f>[1]Grp_3!Q84</f>
        <v>0</v>
      </c>
      <c r="S85" s="21">
        <f>[1]Grp_3!R83</f>
        <v>0</v>
      </c>
      <c r="T85" s="9"/>
      <c r="U85" s="9"/>
      <c r="V85" s="10"/>
    </row>
    <row r="86" spans="1:22">
      <c r="A86" s="2">
        <v>84</v>
      </c>
      <c r="B86" s="17" t="str">
        <f>[1]Grp_3!A85</f>
        <v>8568A</v>
      </c>
      <c r="C86" s="30" t="str">
        <f>[1]Grp_3!B85</f>
        <v>Knights</v>
      </c>
      <c r="D86" s="18" t="str">
        <f>[1]Grp_3!C85</f>
        <v>North Andover High School</v>
      </c>
      <c r="E86" s="31" t="str">
        <f>[1]Grp_3!D85</f>
        <v>North Andover, Massachusetts, United States</v>
      </c>
      <c r="F86" s="34">
        <f>[1]Grp_3!E85</f>
        <v>340</v>
      </c>
      <c r="G86" s="19">
        <f>[1]Grp_3!F85</f>
        <v>298</v>
      </c>
      <c r="H86" s="37">
        <f>[1]Grp_3!G85</f>
        <v>55.2575</v>
      </c>
      <c r="I86" s="38">
        <f>[1]Grp_3!H85</f>
        <v>42.392299999999999</v>
      </c>
      <c r="J86" s="20">
        <f>[1]Grp_3!I85</f>
        <v>55.2575</v>
      </c>
      <c r="K86" s="20">
        <f>[1]Grp_3!J85</f>
        <v>30.300699999999999</v>
      </c>
      <c r="L86" s="20">
        <f>[1]Grp_3!K85</f>
        <v>33.899900000000002</v>
      </c>
      <c r="M86" s="20">
        <f>[1]Grp_3!L85</f>
        <v>0</v>
      </c>
      <c r="N86" s="20">
        <f>[1]Grp_3!M85</f>
        <v>0</v>
      </c>
      <c r="O86" s="20">
        <f>[1]Grp_3!N85</f>
        <v>0</v>
      </c>
      <c r="P86" s="20">
        <f>[1]Grp_3!O85</f>
        <v>0</v>
      </c>
      <c r="Q86" s="20">
        <f>[1]Grp_3!P85</f>
        <v>0</v>
      </c>
      <c r="R86" s="20">
        <f>[1]Grp_3!Q85</f>
        <v>0</v>
      </c>
      <c r="S86" s="21">
        <f>[1]Grp_3!R84</f>
        <v>0</v>
      </c>
      <c r="T86" s="9"/>
      <c r="U86" s="9"/>
      <c r="V86" s="10"/>
    </row>
    <row r="87" spans="1:22">
      <c r="A87" s="2">
        <v>85</v>
      </c>
      <c r="B87" s="17" t="str">
        <f>[1]Grp_3!A86</f>
        <v>8615F</v>
      </c>
      <c r="C87" s="30" t="str">
        <f>[1]Grp_3!B86</f>
        <v>The Vexecutors</v>
      </c>
      <c r="D87" s="18" t="str">
        <f>[1]Grp_3!C86</f>
        <v>New Hope High School</v>
      </c>
      <c r="E87" s="31" t="str">
        <f>[1]Grp_3!D86</f>
        <v>Columbus, Mississippi, United States</v>
      </c>
      <c r="F87" s="34">
        <f>[1]Grp_3!E86</f>
        <v>86</v>
      </c>
      <c r="G87" s="19">
        <f>[1]Grp_3!F86</f>
        <v>28</v>
      </c>
      <c r="H87" s="37">
        <f>[1]Grp_3!G86</f>
        <v>99.660799999999995</v>
      </c>
      <c r="I87" s="38">
        <f>[1]Grp_3!H86</f>
        <v>99.660799999999995</v>
      </c>
      <c r="J87" s="20">
        <f>[1]Grp_3!I86</f>
        <v>46.040199999999999</v>
      </c>
      <c r="K87" s="20">
        <f>[1]Grp_3!J86</f>
        <v>73.659199999999998</v>
      </c>
      <c r="L87" s="20">
        <f>[1]Grp_3!K86</f>
        <v>31.5259</v>
      </c>
      <c r="M87" s="20">
        <f>[1]Grp_3!L86</f>
        <v>39.412999999999997</v>
      </c>
      <c r="N87" s="20">
        <f>[1]Grp_3!M86</f>
        <v>36.4666</v>
      </c>
      <c r="O87" s="20">
        <f>[1]Grp_3!N86</f>
        <v>0</v>
      </c>
      <c r="P87" s="20">
        <f>[1]Grp_3!O86</f>
        <v>0</v>
      </c>
      <c r="Q87" s="20">
        <f>[1]Grp_3!P86</f>
        <v>0</v>
      </c>
      <c r="R87" s="20">
        <f>[1]Grp_3!Q86</f>
        <v>0</v>
      </c>
      <c r="S87" s="21">
        <f>[1]Grp_3!R85</f>
        <v>0</v>
      </c>
      <c r="T87" s="9"/>
      <c r="U87" s="9"/>
      <c r="V87" s="10"/>
    </row>
    <row r="88" spans="1:22">
      <c r="A88" s="2">
        <v>86</v>
      </c>
      <c r="B88" s="17" t="str">
        <f>[1]Grp_3!A87</f>
        <v>8691D</v>
      </c>
      <c r="C88" s="30" t="str">
        <f>[1]Grp_3!B87</f>
        <v>hefei NO.8 SMSch D</v>
      </c>
      <c r="D88" s="18" t="str">
        <f>[1]Grp_3!C87</f>
        <v>Hefei No.8 Senior Middle School</v>
      </c>
      <c r="E88" s="31" t="str">
        <f>[1]Grp_3!D87</f>
        <v>hefei, Not Applicable or Not Listed, China</v>
      </c>
      <c r="F88" s="34">
        <f>[1]Grp_3!E87</f>
        <v>0</v>
      </c>
      <c r="G88" s="19">
        <f>[1]Grp_3!F87</f>
        <v>0</v>
      </c>
      <c r="H88" s="37">
        <f>[1]Grp_3!G87</f>
        <v>108.545</v>
      </c>
      <c r="I88" s="38">
        <f>[1]Grp_3!H87</f>
        <v>108.545</v>
      </c>
      <c r="J88" s="20">
        <f>[1]Grp_3!I87</f>
        <v>0</v>
      </c>
      <c r="K88" s="20">
        <f>[1]Grp_3!J87</f>
        <v>0</v>
      </c>
      <c r="L88" s="20">
        <f>[1]Grp_3!K87</f>
        <v>0</v>
      </c>
      <c r="M88" s="20">
        <f>[1]Grp_3!L87</f>
        <v>0</v>
      </c>
      <c r="N88" s="20">
        <f>[1]Grp_3!M87</f>
        <v>0</v>
      </c>
      <c r="O88" s="20">
        <f>[1]Grp_3!N87</f>
        <v>0</v>
      </c>
      <c r="P88" s="20">
        <f>[1]Grp_3!O87</f>
        <v>0</v>
      </c>
      <c r="Q88" s="20">
        <f>[1]Grp_3!P87</f>
        <v>0</v>
      </c>
      <c r="R88" s="20">
        <f>[1]Grp_3!Q87</f>
        <v>0</v>
      </c>
      <c r="S88" s="21">
        <f>[1]Grp_3!R86</f>
        <v>0</v>
      </c>
      <c r="T88" s="9"/>
      <c r="U88" s="9"/>
      <c r="V88" s="10"/>
    </row>
    <row r="89" spans="1:22">
      <c r="A89" s="2">
        <v>87</v>
      </c>
      <c r="B89" s="17" t="str">
        <f>[1]Grp_3!A88</f>
        <v>8776B</v>
      </c>
      <c r="C89" s="30" t="str">
        <f>[1]Grp_3!B88</f>
        <v>Arrowhead Vex Team B</v>
      </c>
      <c r="D89" s="18" t="str">
        <f>[1]Grp_3!C88</f>
        <v>Arrowhead Park Early College High School</v>
      </c>
      <c r="E89" s="31" t="str">
        <f>[1]Grp_3!D88</f>
        <v>Las Cruces, New Mexico, United States</v>
      </c>
      <c r="F89" s="34">
        <f>[1]Grp_3!E88</f>
        <v>87</v>
      </c>
      <c r="G89" s="19">
        <f>[1]Grp_3!F88</f>
        <v>116</v>
      </c>
      <c r="H89" s="37">
        <f>[1]Grp_3!G88</f>
        <v>73.817599999999999</v>
      </c>
      <c r="I89" s="38">
        <f>[1]Grp_3!H88</f>
        <v>73.817599999999999</v>
      </c>
      <c r="J89" s="20">
        <f>[1]Grp_3!I88</f>
        <v>48.386499999999998</v>
      </c>
      <c r="K89" s="20">
        <f>[1]Grp_3!J88</f>
        <v>0</v>
      </c>
      <c r="L89" s="20">
        <f>[1]Grp_3!K88</f>
        <v>0</v>
      </c>
      <c r="M89" s="20">
        <f>[1]Grp_3!L88</f>
        <v>0</v>
      </c>
      <c r="N89" s="20">
        <f>[1]Grp_3!M88</f>
        <v>0</v>
      </c>
      <c r="O89" s="20">
        <f>[1]Grp_3!N88</f>
        <v>0</v>
      </c>
      <c r="P89" s="20">
        <f>[1]Grp_3!O88</f>
        <v>0</v>
      </c>
      <c r="Q89" s="20">
        <f>[1]Grp_3!P88</f>
        <v>0</v>
      </c>
      <c r="R89" s="20">
        <f>[1]Grp_3!Q88</f>
        <v>0</v>
      </c>
      <c r="S89" s="21">
        <f>[1]Grp_3!R87</f>
        <v>0</v>
      </c>
      <c r="T89" s="9"/>
      <c r="U89" s="9"/>
      <c r="V89" s="10"/>
    </row>
    <row r="90" spans="1:22">
      <c r="A90" s="2">
        <v>88</v>
      </c>
      <c r="B90" s="17" t="str">
        <f>[1]Grp_3!A89</f>
        <v>8892B</v>
      </c>
      <c r="C90" s="30" t="str">
        <f>[1]Grp_3!B89</f>
        <v>The Minutemen</v>
      </c>
      <c r="D90" s="18" t="str">
        <f>[1]Grp_3!C89</f>
        <v>Delhi Charter School</v>
      </c>
      <c r="E90" s="31" t="str">
        <f>[1]Grp_3!D89</f>
        <v>Delhi, Louisiana, United States</v>
      </c>
      <c r="F90" s="34">
        <f>[1]Grp_3!E89</f>
        <v>136</v>
      </c>
      <c r="G90" s="19">
        <f>[1]Grp_3!F89</f>
        <v>16</v>
      </c>
      <c r="H90" s="37">
        <f>[1]Grp_3!G89</f>
        <v>135.273</v>
      </c>
      <c r="I90" s="38">
        <f>[1]Grp_3!H89</f>
        <v>135.273</v>
      </c>
      <c r="J90" s="20">
        <f>[1]Grp_3!I89</f>
        <v>58.240499999999997</v>
      </c>
      <c r="K90" s="20">
        <f>[1]Grp_3!J89</f>
        <v>63.560699999999997</v>
      </c>
      <c r="L90" s="20">
        <f>[1]Grp_3!K89</f>
        <v>0</v>
      </c>
      <c r="M90" s="20">
        <f>[1]Grp_3!L89</f>
        <v>0</v>
      </c>
      <c r="N90" s="20">
        <f>[1]Grp_3!M89</f>
        <v>0</v>
      </c>
      <c r="O90" s="20">
        <f>[1]Grp_3!N89</f>
        <v>0</v>
      </c>
      <c r="P90" s="20">
        <f>[1]Grp_3!O89</f>
        <v>0</v>
      </c>
      <c r="Q90" s="20">
        <f>[1]Grp_3!P89</f>
        <v>0</v>
      </c>
      <c r="R90" s="20">
        <f>[1]Grp_3!Q89</f>
        <v>0</v>
      </c>
      <c r="S90" s="21">
        <f>[1]Grp_3!R88</f>
        <v>0</v>
      </c>
      <c r="T90" s="9"/>
      <c r="U90" s="9"/>
      <c r="V90" s="10"/>
    </row>
    <row r="91" spans="1:22">
      <c r="A91" s="2">
        <v>89</v>
      </c>
      <c r="B91" s="17" t="str">
        <f>[1]Grp_3!A90</f>
        <v>8931B</v>
      </c>
      <c r="C91" s="30" t="str">
        <f>[1]Grp_3!B90</f>
        <v>V-Bots Trifecta</v>
      </c>
      <c r="D91" s="18" t="str">
        <f>[1]Grp_3!C90</f>
        <v>Lake Stevens High</v>
      </c>
      <c r="E91" s="31" t="str">
        <f>[1]Grp_3!D90</f>
        <v>Lake Stevens, Washington, United States</v>
      </c>
      <c r="F91" s="34">
        <f>[1]Grp_3!E90</f>
        <v>174</v>
      </c>
      <c r="G91" s="19">
        <f>[1]Grp_3!F90</f>
        <v>130</v>
      </c>
      <c r="H91" s="37">
        <f>[1]Grp_3!G90</f>
        <v>116.723</v>
      </c>
      <c r="I91" s="38">
        <f>[1]Grp_3!H90</f>
        <v>116.723</v>
      </c>
      <c r="J91" s="20">
        <f>[1]Grp_3!I90</f>
        <v>74.938400000000001</v>
      </c>
      <c r="K91" s="20">
        <f>[1]Grp_3!J90</f>
        <v>55.4863</v>
      </c>
      <c r="L91" s="20">
        <f>[1]Grp_3!K90</f>
        <v>57.863199999999999</v>
      </c>
      <c r="M91" s="20">
        <f>[1]Grp_3!L90</f>
        <v>21.606400000000001</v>
      </c>
      <c r="N91" s="20">
        <f>[1]Grp_3!M90</f>
        <v>0</v>
      </c>
      <c r="O91" s="20">
        <f>[1]Grp_3!N90</f>
        <v>0</v>
      </c>
      <c r="P91" s="20">
        <f>[1]Grp_3!O90</f>
        <v>0</v>
      </c>
      <c r="Q91" s="20">
        <f>[1]Grp_3!P90</f>
        <v>0</v>
      </c>
      <c r="R91" s="20">
        <f>[1]Grp_3!Q90</f>
        <v>0</v>
      </c>
      <c r="S91" s="21">
        <f>[1]Grp_3!R89</f>
        <v>0</v>
      </c>
      <c r="T91" s="9"/>
      <c r="U91" s="9"/>
      <c r="V91" s="10"/>
    </row>
    <row r="92" spans="1:22">
      <c r="A92" s="2">
        <v>90</v>
      </c>
      <c r="B92" s="17" t="str">
        <f>[1]Grp_3!A91</f>
        <v>9080H</v>
      </c>
      <c r="C92" s="30" t="str">
        <f>[1]Grp_3!B91</f>
        <v>Rebel Robotics II</v>
      </c>
      <c r="D92" s="18" t="str">
        <f>[1]Grp_3!C91</f>
        <v>South Hagerstown High School</v>
      </c>
      <c r="E92" s="31" t="str">
        <f>[1]Grp_3!D91</f>
        <v>Hagerstown, Maryland, United States</v>
      </c>
      <c r="F92" s="34">
        <f>[1]Grp_3!E91</f>
        <v>322</v>
      </c>
      <c r="G92" s="19">
        <f>[1]Grp_3!F91</f>
        <v>2</v>
      </c>
      <c r="H92" s="37">
        <f>[1]Grp_3!G91</f>
        <v>70.145600000000002</v>
      </c>
      <c r="I92" s="38">
        <f>[1]Grp_3!H91</f>
        <v>60.614100000000001</v>
      </c>
      <c r="J92" s="20">
        <f>[1]Grp_3!I91</f>
        <v>25.400200000000002</v>
      </c>
      <c r="K92" s="20">
        <f>[1]Grp_3!J91</f>
        <v>70.145600000000002</v>
      </c>
      <c r="L92" s="20">
        <f>[1]Grp_3!K91</f>
        <v>24.004100000000001</v>
      </c>
      <c r="M92" s="20">
        <f>[1]Grp_3!L91</f>
        <v>51.624899999999997</v>
      </c>
      <c r="N92" s="20">
        <f>[1]Grp_3!M91</f>
        <v>10.0482</v>
      </c>
      <c r="O92" s="20">
        <f>[1]Grp_3!N91</f>
        <v>0</v>
      </c>
      <c r="P92" s="20">
        <f>[1]Grp_3!O91</f>
        <v>0</v>
      </c>
      <c r="Q92" s="20">
        <f>[1]Grp_3!P91</f>
        <v>0</v>
      </c>
      <c r="R92" s="20">
        <f>[1]Grp_3!Q91</f>
        <v>0</v>
      </c>
      <c r="S92" s="21">
        <f>[1]Grp_3!R90</f>
        <v>0</v>
      </c>
      <c r="T92" s="9"/>
      <c r="U92" s="9"/>
      <c r="V92" s="10"/>
    </row>
    <row r="93" spans="1:22">
      <c r="A93" s="2">
        <v>91</v>
      </c>
      <c r="B93" s="17" t="str">
        <f>[1]Grp_3!A92</f>
        <v>9185</v>
      </c>
      <c r="C93" s="30" t="str">
        <f>[1]Grp_3!B92</f>
        <v>B.H.S. Kickin Bots</v>
      </c>
      <c r="D93" s="18" t="str">
        <f>[1]Grp_3!C92</f>
        <v xml:space="preserve">Bellefontaine High School </v>
      </c>
      <c r="E93" s="31" t="str">
        <f>[1]Grp_3!D92</f>
        <v>Bellefontaine, Ohio, United States</v>
      </c>
      <c r="F93" s="34">
        <f>[1]Grp_3!E92</f>
        <v>252</v>
      </c>
      <c r="G93" s="19">
        <f>[1]Grp_3!F92</f>
        <v>176</v>
      </c>
      <c r="H93" s="37">
        <f>[1]Grp_3!G92</f>
        <v>122.18</v>
      </c>
      <c r="I93" s="38">
        <f>[1]Grp_3!H92</f>
        <v>122.18</v>
      </c>
      <c r="J93" s="20">
        <f>[1]Grp_3!I92</f>
        <v>98.350499999999997</v>
      </c>
      <c r="K93" s="20">
        <f>[1]Grp_3!J92</f>
        <v>77.36</v>
      </c>
      <c r="L93" s="20">
        <f>[1]Grp_3!K92</f>
        <v>100.474</v>
      </c>
      <c r="M93" s="20">
        <f>[1]Grp_3!L92</f>
        <v>0</v>
      </c>
      <c r="N93" s="20">
        <f>[1]Grp_3!M92</f>
        <v>92.342299999999994</v>
      </c>
      <c r="O93" s="20">
        <f>[1]Grp_3!N92</f>
        <v>54.228099999999998</v>
      </c>
      <c r="P93" s="20">
        <f>[1]Grp_3!O92</f>
        <v>98.024799999999999</v>
      </c>
      <c r="Q93" s="20">
        <f>[1]Grp_3!P92</f>
        <v>0</v>
      </c>
      <c r="R93" s="20">
        <f>[1]Grp_3!Q92</f>
        <v>0</v>
      </c>
      <c r="S93" s="21">
        <f>[1]Grp_3!R91</f>
        <v>0</v>
      </c>
      <c r="T93" s="9"/>
      <c r="U93" s="9"/>
      <c r="V93" s="10"/>
    </row>
    <row r="94" spans="1:22">
      <c r="A94" s="2">
        <v>92</v>
      </c>
      <c r="B94" s="17" t="str">
        <f>[1]Grp_3!A93</f>
        <v>9364C</v>
      </c>
      <c r="C94" s="30" t="str">
        <f>[1]Grp_3!B93</f>
        <v>Iron Eagles</v>
      </c>
      <c r="D94" s="18" t="str">
        <f>[1]Grp_3!C93</f>
        <v>Brentwood Academy</v>
      </c>
      <c r="E94" s="31" t="str">
        <f>[1]Grp_3!D93</f>
        <v>Brentwood, Tennessee, United States</v>
      </c>
      <c r="F94" s="34">
        <f>[1]Grp_3!E93</f>
        <v>287</v>
      </c>
      <c r="G94" s="19">
        <f>[1]Grp_3!F93</f>
        <v>146</v>
      </c>
      <c r="H94" s="37">
        <f>[1]Grp_3!G93</f>
        <v>103.898</v>
      </c>
      <c r="I94" s="38">
        <f>[1]Grp_3!H93</f>
        <v>103.898</v>
      </c>
      <c r="J94" s="20">
        <f>[1]Grp_3!I93</f>
        <v>86.001099999999994</v>
      </c>
      <c r="K94" s="20">
        <f>[1]Grp_3!J93</f>
        <v>98.8429</v>
      </c>
      <c r="L94" s="20">
        <f>[1]Grp_3!K93</f>
        <v>87.537899999999993</v>
      </c>
      <c r="M94" s="20">
        <f>[1]Grp_3!L93</f>
        <v>47.779299999999999</v>
      </c>
      <c r="N94" s="20">
        <f>[1]Grp_3!M93</f>
        <v>40.892899999999997</v>
      </c>
      <c r="O94" s="20">
        <f>[1]Grp_3!N93</f>
        <v>14.3568</v>
      </c>
      <c r="P94" s="20">
        <f>[1]Grp_3!O93</f>
        <v>0</v>
      </c>
      <c r="Q94" s="20">
        <f>[1]Grp_3!P93</f>
        <v>0</v>
      </c>
      <c r="R94" s="20">
        <f>[1]Grp_3!Q93</f>
        <v>0</v>
      </c>
      <c r="S94" s="21">
        <f>[1]Grp_3!R92</f>
        <v>0</v>
      </c>
      <c r="T94" s="9"/>
      <c r="U94" s="9"/>
      <c r="V94" s="10"/>
    </row>
    <row r="95" spans="1:22">
      <c r="A95" s="2">
        <v>93</v>
      </c>
      <c r="B95" s="17" t="str">
        <f>[1]Grp_3!A94</f>
        <v>9458</v>
      </c>
      <c r="C95" s="30" t="str">
        <f>[1]Grp_3!B94</f>
        <v>Robo Chiefs</v>
      </c>
      <c r="D95" s="18" t="str">
        <f>[1]Grp_3!C94</f>
        <v>Massapequa School District</v>
      </c>
      <c r="E95" s="31" t="str">
        <f>[1]Grp_3!D94</f>
        <v>Massapequa, New York, United States</v>
      </c>
      <c r="F95" s="34">
        <f>[1]Grp_3!E94</f>
        <v>72</v>
      </c>
      <c r="G95" s="19">
        <f>[1]Grp_3!F94</f>
        <v>59</v>
      </c>
      <c r="H95" s="37">
        <f>[1]Grp_3!G94</f>
        <v>80.007099999999994</v>
      </c>
      <c r="I95" s="38">
        <f>[1]Grp_3!H94</f>
        <v>70.394599999999997</v>
      </c>
      <c r="J95" s="20">
        <f>[1]Grp_3!I94</f>
        <v>18.3508</v>
      </c>
      <c r="K95" s="20">
        <f>[1]Grp_3!J94</f>
        <v>35.317599999999999</v>
      </c>
      <c r="L95" s="20">
        <f>[1]Grp_3!K94</f>
        <v>38.368499999999997</v>
      </c>
      <c r="M95" s="20">
        <f>[1]Grp_3!L94</f>
        <v>47.3581</v>
      </c>
      <c r="N95" s="20">
        <f>[1]Grp_3!M94</f>
        <v>80.007099999999994</v>
      </c>
      <c r="O95" s="20">
        <f>[1]Grp_3!N94</f>
        <v>48.747900000000001</v>
      </c>
      <c r="P95" s="20">
        <f>[1]Grp_3!O94</f>
        <v>0</v>
      </c>
      <c r="Q95" s="20">
        <f>[1]Grp_3!P94</f>
        <v>0</v>
      </c>
      <c r="R95" s="20">
        <f>[1]Grp_3!Q94</f>
        <v>0</v>
      </c>
      <c r="S95" s="21">
        <f>[1]Grp_3!R93</f>
        <v>0</v>
      </c>
      <c r="T95" s="9"/>
      <c r="U95" s="9"/>
      <c r="V95" s="10"/>
    </row>
    <row r="96" spans="1:22">
      <c r="A96" s="2">
        <v>94</v>
      </c>
      <c r="B96" s="17" t="str">
        <f>[1]Grp_3!A95</f>
        <v>9663</v>
      </c>
      <c r="C96" s="30" t="str">
        <f>[1]Grp_3!B95</f>
        <v>RIKITIK</v>
      </c>
      <c r="D96" s="18" t="str">
        <f>[1]Grp_3!C95</f>
        <v>Ecole Paul-Hubert</v>
      </c>
      <c r="E96" s="31" t="str">
        <f>[1]Grp_3!D95</f>
        <v>Rimouski, Quebec, Canada</v>
      </c>
      <c r="F96" s="34">
        <f>[1]Grp_3!E95</f>
        <v>140</v>
      </c>
      <c r="G96" s="19">
        <f>[1]Grp_3!F95</f>
        <v>0</v>
      </c>
      <c r="H96" s="37">
        <f>[1]Grp_3!G95</f>
        <v>60.265099999999997</v>
      </c>
      <c r="I96" s="38">
        <f>[1]Grp_3!H95</f>
        <v>60.265099999999997</v>
      </c>
      <c r="J96" s="20">
        <f>[1]Grp_3!I95</f>
        <v>15.333399999999999</v>
      </c>
      <c r="K96" s="20">
        <f>[1]Grp_3!J95</f>
        <v>0</v>
      </c>
      <c r="L96" s="20">
        <f>[1]Grp_3!K95</f>
        <v>0</v>
      </c>
      <c r="M96" s="20">
        <f>[1]Grp_3!L95</f>
        <v>0</v>
      </c>
      <c r="N96" s="20">
        <f>[1]Grp_3!M95</f>
        <v>0</v>
      </c>
      <c r="O96" s="20">
        <f>[1]Grp_3!N95</f>
        <v>0</v>
      </c>
      <c r="P96" s="20">
        <f>[1]Grp_3!O95</f>
        <v>0</v>
      </c>
      <c r="Q96" s="20">
        <f>[1]Grp_3!P95</f>
        <v>0</v>
      </c>
      <c r="R96" s="20">
        <f>[1]Grp_3!Q95</f>
        <v>0</v>
      </c>
      <c r="S96" s="21">
        <f>[1]Grp_3!R94</f>
        <v>0</v>
      </c>
      <c r="T96" s="9"/>
      <c r="U96" s="9"/>
      <c r="V96" s="10"/>
    </row>
    <row r="97" spans="1:22">
      <c r="A97" s="2">
        <v>95</v>
      </c>
      <c r="B97" s="17" t="str">
        <f>[1]Grp_3!A96</f>
        <v>9848</v>
      </c>
      <c r="C97" s="30" t="str">
        <f>[1]Grp_3!B96</f>
        <v>MCHS Tigers</v>
      </c>
      <c r="D97" s="18" t="str">
        <f>[1]Grp_3!C96</f>
        <v>Madison County High School</v>
      </c>
      <c r="E97" s="31" t="str">
        <f>[1]Grp_3!D96</f>
        <v>Gurley, Alabama, United States</v>
      </c>
      <c r="F97" s="34">
        <f>[1]Grp_3!E96</f>
        <v>205</v>
      </c>
      <c r="G97" s="19">
        <f>[1]Grp_3!F96</f>
        <v>164</v>
      </c>
      <c r="H97" s="37">
        <f>[1]Grp_3!G96</f>
        <v>109.57299999999999</v>
      </c>
      <c r="I97" s="38">
        <f>[1]Grp_3!H96</f>
        <v>37.754199999999997</v>
      </c>
      <c r="J97" s="20">
        <f>[1]Grp_3!I96</f>
        <v>34.2866</v>
      </c>
      <c r="K97" s="20">
        <f>[1]Grp_3!J96</f>
        <v>62.601999999999997</v>
      </c>
      <c r="L97" s="20">
        <f>[1]Grp_3!K96</f>
        <v>109.57299999999999</v>
      </c>
      <c r="M97" s="20">
        <f>[1]Grp_3!L96</f>
        <v>89.790499999999994</v>
      </c>
      <c r="N97" s="20">
        <f>[1]Grp_3!M96</f>
        <v>0</v>
      </c>
      <c r="O97" s="20">
        <f>[1]Grp_3!N96</f>
        <v>0</v>
      </c>
      <c r="P97" s="20">
        <f>[1]Grp_3!O96</f>
        <v>0</v>
      </c>
      <c r="Q97" s="20">
        <f>[1]Grp_3!P96</f>
        <v>0</v>
      </c>
      <c r="R97" s="20">
        <f>[1]Grp_3!Q96</f>
        <v>0</v>
      </c>
      <c r="S97" s="21">
        <f>[1]Grp_3!R95</f>
        <v>0</v>
      </c>
      <c r="T97" s="9"/>
      <c r="U97" s="9"/>
      <c r="V97" s="10"/>
    </row>
    <row r="98" spans="1:22">
      <c r="A98" s="2">
        <v>96</v>
      </c>
      <c r="B98" s="17" t="str">
        <f>[1]Grp_3!A97</f>
        <v>9932</v>
      </c>
      <c r="C98" s="30" t="str">
        <f>[1]Grp_3!B97</f>
        <v>Hawks</v>
      </c>
      <c r="D98" s="18" t="str">
        <f>[1]Grp_3!C97</f>
        <v>Jericho High School</v>
      </c>
      <c r="E98" s="31" t="str">
        <f>[1]Grp_3!D97</f>
        <v>Jericho, New York, United States</v>
      </c>
      <c r="F98" s="34">
        <f>[1]Grp_3!E97</f>
        <v>56</v>
      </c>
      <c r="G98" s="19">
        <f>[1]Grp_3!F97</f>
        <v>146</v>
      </c>
      <c r="H98" s="37">
        <f>[1]Grp_3!G97</f>
        <v>84.776700000000005</v>
      </c>
      <c r="I98" s="38">
        <f>[1]Grp_3!H97</f>
        <v>84.776700000000005</v>
      </c>
      <c r="J98" s="20">
        <f>[1]Grp_3!I97</f>
        <v>63.548299999999998</v>
      </c>
      <c r="K98" s="20">
        <f>[1]Grp_3!J97</f>
        <v>67.640799999999999</v>
      </c>
      <c r="L98" s="20">
        <f>[1]Grp_3!K97</f>
        <v>73.188999999999993</v>
      </c>
      <c r="M98" s="20">
        <f>[1]Grp_3!L97</f>
        <v>52.500900000000001</v>
      </c>
      <c r="N98" s="20">
        <f>[1]Grp_3!M97</f>
        <v>39.500399999999999</v>
      </c>
      <c r="O98" s="20">
        <f>[1]Grp_3!N97</f>
        <v>0</v>
      </c>
      <c r="P98" s="20">
        <f>[1]Grp_3!O97</f>
        <v>0</v>
      </c>
      <c r="Q98" s="20">
        <f>[1]Grp_3!P97</f>
        <v>0</v>
      </c>
      <c r="R98" s="20">
        <f>[1]Grp_3!Q97</f>
        <v>0</v>
      </c>
      <c r="S98" s="21">
        <f>[1]Grp_3!R96</f>
        <v>0</v>
      </c>
      <c r="T98" s="9"/>
      <c r="U98" s="9"/>
      <c r="V98" s="10"/>
    </row>
    <row r="99" spans="1:22">
      <c r="A99" s="2">
        <v>98</v>
      </c>
      <c r="B99" s="17" t="str">
        <f>[1]Grp_3!A99</f>
        <v>98521</v>
      </c>
      <c r="C99" s="30" t="str">
        <f>[1]Grp_3!B99</f>
        <v>HP Robotics</v>
      </c>
      <c r="D99" s="18" t="str">
        <f>[1]Grp_3!C99</f>
        <v>Holly Pond High School</v>
      </c>
      <c r="E99" s="31" t="str">
        <f>[1]Grp_3!D99</f>
        <v>Holly Pond, Alabama, United States</v>
      </c>
      <c r="F99" s="34">
        <f>[1]Grp_3!E99</f>
        <v>156</v>
      </c>
      <c r="G99" s="19">
        <f>[1]Grp_3!F99</f>
        <v>167</v>
      </c>
      <c r="H99" s="37">
        <f>[1]Grp_3!G99</f>
        <v>117.277</v>
      </c>
      <c r="I99" s="38">
        <f>[1]Grp_3!H99</f>
        <v>102.291</v>
      </c>
      <c r="J99" s="20">
        <f>[1]Grp_3!I99</f>
        <v>112.414</v>
      </c>
      <c r="K99" s="20">
        <f>[1]Grp_3!J99</f>
        <v>117.277</v>
      </c>
      <c r="L99" s="20">
        <f>[1]Grp_3!K99</f>
        <v>91.134100000000004</v>
      </c>
      <c r="M99" s="20">
        <f>[1]Grp_3!L99</f>
        <v>117.074</v>
      </c>
      <c r="N99" s="20">
        <f>[1]Grp_3!M99</f>
        <v>38.848700000000001</v>
      </c>
      <c r="O99" s="20">
        <f>[1]Grp_3!N99</f>
        <v>0</v>
      </c>
      <c r="P99" s="20">
        <f>[1]Grp_3!O99</f>
        <v>0</v>
      </c>
      <c r="Q99" s="20">
        <f>[1]Grp_3!P99</f>
        <v>0</v>
      </c>
      <c r="R99" s="20">
        <f>[1]Grp_3!Q99</f>
        <v>0</v>
      </c>
      <c r="S99" s="21">
        <f>[1]Grp_3!R97</f>
        <v>0</v>
      </c>
      <c r="T99" s="9"/>
      <c r="U99" s="9"/>
      <c r="V99" s="10"/>
    </row>
    <row r="100" spans="1:22">
      <c r="A100" s="2">
        <v>99</v>
      </c>
      <c r="B100" s="17" t="str">
        <f>[1]Grp_3!A100</f>
        <v>99523A</v>
      </c>
      <c r="C100" s="30" t="str">
        <f>[1]Grp_3!B100</f>
        <v>SCCS [Co.R.E.] = 99523;</v>
      </c>
      <c r="D100" s="18" t="str">
        <f>[1]Grp_3!C100</f>
        <v>Sandy Creek Central School</v>
      </c>
      <c r="E100" s="31" t="str">
        <f>[1]Grp_3!D100</f>
        <v>Sandy Creek, New York, United States</v>
      </c>
      <c r="F100" s="34">
        <f>[1]Grp_3!E100</f>
        <v>50</v>
      </c>
      <c r="G100" s="19">
        <f>[1]Grp_3!F100</f>
        <v>20</v>
      </c>
      <c r="H100" s="37">
        <f>[1]Grp_3!G100</f>
        <v>74.767700000000005</v>
      </c>
      <c r="I100" s="38">
        <f>[1]Grp_3!H100</f>
        <v>55.286700000000003</v>
      </c>
      <c r="J100" s="20">
        <f>[1]Grp_3!I100</f>
        <v>74.767700000000005</v>
      </c>
      <c r="K100" s="20">
        <f>[1]Grp_3!J100</f>
        <v>0</v>
      </c>
      <c r="L100" s="20">
        <f>[1]Grp_3!K100</f>
        <v>41.824100000000001</v>
      </c>
      <c r="M100" s="20">
        <f>[1]Grp_3!L100</f>
        <v>3.4075899999999999</v>
      </c>
      <c r="N100" s="20">
        <f>[1]Grp_3!M100</f>
        <v>22.367599999999999</v>
      </c>
      <c r="O100" s="20">
        <f>[1]Grp_3!N100</f>
        <v>0</v>
      </c>
      <c r="P100" s="20">
        <f>[1]Grp_3!O100</f>
        <v>0</v>
      </c>
      <c r="Q100" s="20">
        <f>[1]Grp_3!P100</f>
        <v>0</v>
      </c>
      <c r="R100" s="20">
        <f>[1]Grp_3!Q100</f>
        <v>0</v>
      </c>
      <c r="S100" s="21">
        <f>[1]Grp_3!R98</f>
        <v>0</v>
      </c>
      <c r="T100" s="9"/>
      <c r="U100" s="9"/>
      <c r="V100" s="10"/>
    </row>
    <row r="101" spans="1:22">
      <c r="A101" s="2">
        <v>74</v>
      </c>
      <c r="B101" s="17" t="str">
        <f>[1]Grp_3!A75</f>
        <v>7262</v>
      </c>
      <c r="C101" s="30" t="str">
        <f>[1]Grp_3!B75</f>
        <v>HSch AT RUC A</v>
      </c>
      <c r="D101" s="18" t="str">
        <f>[1]Grp_3!C75</f>
        <v>High School Affiliated to RUC</v>
      </c>
      <c r="E101" s="31" t="str">
        <f>[1]Grp_3!D75</f>
        <v>beijing, Not Applicable or Not Listed, China</v>
      </c>
      <c r="F101" s="34">
        <f>[1]Grp_3!E75</f>
        <v>0</v>
      </c>
      <c r="G101" s="19">
        <f>[1]Grp_3!F75</f>
        <v>0</v>
      </c>
      <c r="H101" s="37">
        <f>[1]Grp_3!G75</f>
        <v>0</v>
      </c>
      <c r="I101" s="38">
        <f>[1]Grp_3!H75</f>
        <v>0</v>
      </c>
      <c r="J101" s="20">
        <f>[1]Grp_3!I75</f>
        <v>0</v>
      </c>
      <c r="K101" s="20">
        <f>[1]Grp_3!J75</f>
        <v>0</v>
      </c>
      <c r="L101" s="20">
        <f>[1]Grp_3!K75</f>
        <v>0</v>
      </c>
      <c r="M101" s="20">
        <f>[1]Grp_3!L75</f>
        <v>0</v>
      </c>
      <c r="N101" s="20">
        <f>[1]Grp_3!M75</f>
        <v>0</v>
      </c>
      <c r="O101" s="20">
        <f>[1]Grp_3!N75</f>
        <v>0</v>
      </c>
      <c r="P101" s="20">
        <f>[1]Grp_3!O75</f>
        <v>0</v>
      </c>
      <c r="Q101" s="20">
        <f>[1]Grp_3!P75</f>
        <v>0</v>
      </c>
      <c r="R101" s="20">
        <f>[1]Grp_3!Q75</f>
        <v>0</v>
      </c>
      <c r="S101" s="21">
        <f>[1]Grp_3!R99</f>
        <v>0</v>
      </c>
      <c r="T101" s="9"/>
      <c r="U101" s="9"/>
      <c r="V101" s="10"/>
    </row>
    <row r="102" spans="1:22">
      <c r="A102" s="2">
        <v>97</v>
      </c>
      <c r="B102" s="22" t="str">
        <f>[1]Grp_3!A98</f>
        <v>23222A</v>
      </c>
      <c r="C102" s="32" t="str">
        <f>[1]Grp_3!B98</f>
        <v xml:space="preserve">Makarov's children </v>
      </c>
      <c r="D102" s="23" t="str">
        <f>[1]Grp_3!C98</f>
        <v>Churapcha classic school after S.K. Makarov</v>
      </c>
      <c r="E102" s="33" t="str">
        <f>[1]Grp_3!D98</f>
        <v>Yakutsk, N/A, Russia</v>
      </c>
      <c r="F102" s="36">
        <f>[1]Grp_3!E98</f>
        <v>0</v>
      </c>
      <c r="G102" s="24">
        <f>[1]Grp_3!F98</f>
        <v>0</v>
      </c>
      <c r="H102" s="39">
        <f>[1]Grp_3!G98</f>
        <v>0</v>
      </c>
      <c r="I102" s="40">
        <f>[1]Grp_3!H98</f>
        <v>0</v>
      </c>
      <c r="J102" s="25">
        <f>[1]Grp_3!I98</f>
        <v>0</v>
      </c>
      <c r="K102" s="25">
        <f>[1]Grp_3!J98</f>
        <v>0</v>
      </c>
      <c r="L102" s="25">
        <f>[1]Grp_3!K98</f>
        <v>0</v>
      </c>
      <c r="M102" s="25">
        <f>[1]Grp_3!L98</f>
        <v>0</v>
      </c>
      <c r="N102" s="25">
        <f>[1]Grp_3!M98</f>
        <v>0</v>
      </c>
      <c r="O102" s="25">
        <f>[1]Grp_3!N98</f>
        <v>0</v>
      </c>
      <c r="P102" s="25">
        <f>[1]Grp_3!O98</f>
        <v>0</v>
      </c>
      <c r="Q102" s="25">
        <f>[1]Grp_3!P98</f>
        <v>0</v>
      </c>
      <c r="R102" s="25">
        <f>[1]Grp_3!Q98</f>
        <v>0</v>
      </c>
      <c r="S102" s="26">
        <f>[1]Grp_3!R100</f>
        <v>0</v>
      </c>
      <c r="T102" s="9"/>
      <c r="U102" s="9"/>
      <c r="V102" s="10"/>
    </row>
    <row r="103" spans="1:22">
      <c r="A103" s="2">
        <v>100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2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2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6:21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6:21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6:21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6:21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6:21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6:21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6:21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6:21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6:21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6:21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6:21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6:21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6:21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6:21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6:21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6:21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6:21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6:21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6:21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6:21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6:21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6:21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6:21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6:21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6:21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6:21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6:21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6:21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6:21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6:21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6:21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6:21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6:21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6:21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6:21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6:21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6:21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6:21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6:21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6:21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6:21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6:21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6:21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6:21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6:21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6:21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6:21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6:21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6:21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6:21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6:21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6:21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6:21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6:21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6:21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6:21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6:21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6:21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6:21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6:21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6:21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6:21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6:21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6:21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6:21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6:21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6:21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6:21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6:21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6:21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6:21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6:21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6:21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6:21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6:21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6:21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6:21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6:21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6:21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6:21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6:21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6:21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6:21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6:21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6:21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6:21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6:21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6:21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6:21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6:21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6:21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6:21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6:21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6:21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6:21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6:21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6:21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6:21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6:21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6:21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6:21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6:21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6:21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6:21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6:21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6:21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6:21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6:21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6:21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6:21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6:21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6:21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6:21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6:21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6:21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6:21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6:21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6:21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6:21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6:21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6:21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6:21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6:21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6:21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6:21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6:21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6:21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6:21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6:21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6:21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6:21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6:21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6:21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  <row r="246" spans="6:21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</row>
    <row r="247" spans="6:21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</row>
    <row r="248" spans="6:21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</row>
    <row r="249" spans="6:21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</row>
    <row r="250" spans="6:21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</row>
    <row r="251" spans="6:21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</row>
    <row r="252" spans="6:21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</row>
    <row r="253" spans="6:21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</row>
    <row r="254" spans="6:21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</row>
    <row r="255" spans="6:21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</row>
    <row r="256" spans="6:21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</row>
    <row r="257" spans="6:21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</row>
    <row r="258" spans="6:21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</row>
    <row r="259" spans="6:21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</row>
    <row r="260" spans="6:21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</row>
    <row r="261" spans="6:21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</row>
    <row r="262" spans="6:21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</row>
    <row r="263" spans="6:21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</row>
    <row r="264" spans="6:21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</row>
    <row r="265" spans="6:21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</row>
    <row r="266" spans="6:21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</row>
    <row r="267" spans="6:21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</row>
    <row r="268" spans="6:21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</row>
    <row r="269" spans="6:21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</row>
    <row r="270" spans="6:21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</row>
    <row r="271" spans="6:21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</row>
    <row r="272" spans="6:21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</row>
    <row r="273" spans="6:21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</row>
    <row r="274" spans="6:21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</row>
    <row r="275" spans="6:21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</row>
    <row r="276" spans="6:21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</row>
    <row r="277" spans="6:21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</row>
    <row r="278" spans="6:21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</row>
    <row r="279" spans="6:21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</row>
    <row r="280" spans="6:21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</row>
    <row r="281" spans="6:21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</row>
    <row r="282" spans="6:21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</row>
    <row r="283" spans="6:21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</row>
    <row r="284" spans="6:21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</row>
    <row r="285" spans="6:21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</row>
    <row r="286" spans="6:21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</row>
    <row r="287" spans="6:21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</row>
    <row r="288" spans="6:21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</row>
    <row r="289" spans="6:21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</row>
    <row r="290" spans="6:21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</row>
    <row r="291" spans="6:21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</row>
    <row r="292" spans="6:21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</row>
    <row r="293" spans="6:21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</row>
    <row r="294" spans="6:21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</row>
    <row r="295" spans="6:21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</row>
    <row r="296" spans="6:21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</row>
    <row r="297" spans="6:21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</row>
    <row r="298" spans="6:21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</row>
    <row r="299" spans="6:21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</row>
    <row r="300" spans="6:21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</row>
    <row r="301" spans="6:21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</row>
    <row r="302" spans="6:21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</row>
    <row r="303" spans="6:21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</row>
    <row r="304" spans="6:21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</row>
    <row r="305" spans="6:21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</row>
    <row r="306" spans="6:21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</row>
    <row r="307" spans="6:21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</row>
    <row r="308" spans="6:21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</row>
    <row r="309" spans="6:21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</row>
    <row r="310" spans="6:21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</row>
    <row r="311" spans="6:21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</row>
    <row r="312" spans="6:21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</row>
    <row r="313" spans="6:21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</row>
    <row r="314" spans="6:21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</row>
    <row r="315" spans="6:21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</row>
    <row r="316" spans="6:21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</row>
    <row r="317" spans="6:21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</row>
    <row r="318" spans="6:21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</row>
    <row r="319" spans="6:21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</row>
    <row r="320" spans="6:21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</row>
    <row r="321" spans="6:21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</row>
    <row r="322" spans="6:21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</row>
    <row r="323" spans="6:21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</row>
    <row r="324" spans="6:21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</row>
    <row r="325" spans="6:21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</row>
    <row r="326" spans="6:21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</row>
    <row r="327" spans="6:21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</row>
    <row r="328" spans="6:21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</row>
    <row r="329" spans="6:21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</row>
    <row r="330" spans="6:21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</row>
    <row r="331" spans="6:21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</row>
    <row r="332" spans="6:21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</row>
    <row r="333" spans="6:21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</row>
    <row r="334" spans="6:21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</row>
    <row r="335" spans="6:21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</row>
    <row r="336" spans="6:21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</row>
    <row r="337" spans="6:21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</row>
    <row r="338" spans="6:21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</row>
    <row r="339" spans="6:21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</row>
    <row r="340" spans="6:21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</row>
    <row r="341" spans="6:21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</row>
    <row r="342" spans="6:21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</row>
    <row r="343" spans="6:21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</row>
    <row r="344" spans="6:21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</row>
    <row r="345" spans="6:21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</row>
    <row r="346" spans="6:21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</row>
    <row r="347" spans="6:21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</row>
    <row r="348" spans="6:21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</row>
    <row r="349" spans="6:21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</row>
    <row r="350" spans="6:21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</row>
    <row r="351" spans="6:21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</row>
    <row r="352" spans="6:21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</row>
    <row r="353" spans="6:21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</row>
    <row r="354" spans="6:21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</row>
    <row r="355" spans="6:21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</row>
    <row r="356" spans="6:21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</row>
    <row r="357" spans="6:21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</row>
    <row r="358" spans="6:21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</row>
    <row r="359" spans="6:21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</row>
    <row r="360" spans="6:21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</row>
    <row r="361" spans="6:21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</row>
    <row r="362" spans="6:21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</row>
    <row r="363" spans="6:21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</row>
    <row r="364" spans="6:21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</row>
    <row r="365" spans="6:21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</row>
    <row r="366" spans="6:21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</row>
    <row r="367" spans="6:21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</row>
    <row r="368" spans="6:21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</row>
    <row r="369" spans="6:21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</row>
    <row r="370" spans="6:21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</row>
    <row r="371" spans="6:21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</row>
    <row r="372" spans="6:21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</row>
    <row r="373" spans="6:21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</row>
    <row r="374" spans="6:21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</row>
    <row r="375" spans="6:21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</row>
    <row r="376" spans="6:21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</row>
    <row r="377" spans="6:21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</row>
    <row r="378" spans="6:21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</row>
    <row r="379" spans="6:21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</row>
    <row r="380" spans="6:21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</row>
    <row r="381" spans="6:21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</row>
    <row r="382" spans="6:21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</row>
    <row r="383" spans="6:21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</row>
    <row r="384" spans="6:21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</row>
    <row r="385" spans="6:21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</row>
    <row r="386" spans="6:21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</row>
    <row r="387" spans="6:21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</row>
    <row r="388" spans="6:21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</row>
    <row r="389" spans="6:21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</row>
    <row r="390" spans="6:21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</row>
    <row r="391" spans="6:21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</row>
    <row r="392" spans="6:21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</row>
    <row r="393" spans="6:21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</row>
    <row r="394" spans="6:21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</row>
    <row r="395" spans="6:21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</row>
    <row r="396" spans="6:21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</row>
    <row r="397" spans="6:21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</row>
    <row r="398" spans="6:21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</row>
    <row r="399" spans="6:21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</row>
    <row r="400" spans="6:21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</row>
    <row r="401" spans="6:21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</row>
    <row r="402" spans="6:21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</row>
    <row r="403" spans="6:21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</row>
    <row r="404" spans="6:21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</row>
    <row r="405" spans="6:21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</row>
    <row r="406" spans="6:21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</row>
    <row r="407" spans="6:21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</row>
    <row r="408" spans="6:21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</row>
    <row r="409" spans="6:21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</row>
    <row r="410" spans="6:21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</row>
    <row r="411" spans="6:21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</row>
    <row r="412" spans="6:21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</row>
    <row r="413" spans="6:21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</row>
    <row r="414" spans="6:21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</row>
    <row r="415" spans="6:21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</row>
    <row r="416" spans="6:21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</row>
    <row r="417" spans="6:21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</row>
    <row r="418" spans="6:21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</row>
    <row r="419" spans="6:21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</row>
    <row r="420" spans="6:21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</row>
    <row r="421" spans="6:21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</row>
    <row r="422" spans="6:21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</row>
    <row r="423" spans="6:21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</row>
    <row r="424" spans="6:21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</row>
    <row r="425" spans="6:21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</row>
    <row r="426" spans="6:21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</row>
    <row r="427" spans="6:21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</row>
    <row r="428" spans="6:21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</row>
    <row r="429" spans="6:21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</row>
    <row r="430" spans="6:21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</row>
    <row r="431" spans="6:21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</row>
    <row r="432" spans="6:21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</row>
    <row r="433" spans="6:21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</row>
    <row r="434" spans="6:21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</row>
    <row r="435" spans="6:21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</row>
    <row r="436" spans="6:21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</row>
    <row r="437" spans="6:21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</row>
    <row r="438" spans="6:21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</row>
    <row r="439" spans="6:21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</row>
    <row r="440" spans="6:21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</row>
    <row r="441" spans="6:21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</row>
    <row r="442" spans="6:21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</row>
    <row r="443" spans="6:21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</row>
    <row r="444" spans="6:21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</row>
    <row r="445" spans="6:21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</row>
    <row r="446" spans="6:21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</row>
    <row r="447" spans="6:21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</row>
    <row r="448" spans="6:21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</row>
    <row r="449" spans="6:21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</row>
    <row r="450" spans="6:21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</row>
    <row r="451" spans="6:21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</row>
    <row r="452" spans="6:21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</row>
    <row r="453" spans="6:21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</row>
    <row r="454" spans="6:21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</row>
    <row r="455" spans="6:21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</row>
    <row r="456" spans="6:21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</row>
    <row r="457" spans="6:21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</row>
    <row r="458" spans="6:21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</row>
    <row r="459" spans="6:21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</row>
    <row r="460" spans="6:21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</row>
    <row r="461" spans="6:21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</row>
    <row r="462" spans="6:21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</row>
    <row r="463" spans="6:21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</row>
    <row r="464" spans="6:21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</row>
    <row r="465" spans="6:21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</row>
    <row r="466" spans="6:21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</row>
    <row r="467" spans="6:21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</row>
    <row r="468" spans="6:21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</row>
    <row r="469" spans="6:21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</row>
    <row r="470" spans="6:21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</row>
    <row r="471" spans="6:21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</row>
    <row r="472" spans="6:21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</row>
    <row r="473" spans="6:21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</row>
    <row r="474" spans="6:21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</row>
    <row r="475" spans="6:21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</row>
    <row r="476" spans="6:21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</row>
    <row r="477" spans="6:21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</row>
    <row r="478" spans="6:21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</row>
    <row r="479" spans="6:21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</row>
    <row r="480" spans="6:21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</row>
    <row r="481" spans="6:21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</row>
    <row r="482" spans="6:21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</row>
    <row r="483" spans="6:21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</row>
    <row r="484" spans="6:21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</row>
    <row r="485" spans="6:21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</row>
    <row r="486" spans="6:21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</row>
    <row r="487" spans="6:21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</row>
    <row r="488" spans="6:21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</row>
    <row r="489" spans="6:21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</row>
    <row r="490" spans="6:21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</row>
    <row r="491" spans="6:21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</row>
    <row r="492" spans="6:21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</row>
    <row r="493" spans="6:21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</row>
    <row r="494" spans="6:21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</row>
    <row r="495" spans="6:21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</row>
    <row r="496" spans="6:21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</row>
    <row r="497" spans="6:21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</row>
    <row r="498" spans="6:21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</row>
    <row r="499" spans="6:21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</row>
    <row r="500" spans="6:21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</row>
    <row r="501" spans="6:21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</row>
    <row r="502" spans="6:21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</row>
    <row r="503" spans="6:21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</row>
  </sheetData>
  <sortState ref="A4:R100">
    <sortCondition ref="A3"/>
  </sortState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V503"/>
  <sheetViews>
    <sheetView showZeros="0" workbookViewId="0">
      <pane xSplit="2" ySplit="3" topLeftCell="C4" activePane="bottomRight" state="frozen"/>
      <selection pane="topRight" activeCell="B1" sqref="B1"/>
      <selection pane="bottomLeft" activeCell="A3" sqref="A3"/>
      <selection pane="bottomRight" activeCell="I10" sqref="I10"/>
    </sheetView>
  </sheetViews>
  <sheetFormatPr defaultRowHeight="14.4"/>
  <cols>
    <col min="1" max="1" width="3.88671875" customWidth="1"/>
    <col min="3" max="3" width="16.109375" customWidth="1"/>
    <col min="4" max="4" width="8.88671875" hidden="1" customWidth="1"/>
    <col min="5" max="5" width="26.88671875" customWidth="1"/>
    <col min="6" max="8" width="7.33203125" style="8" customWidth="1"/>
    <col min="9" max="19" width="7.33203125" style="3" customWidth="1"/>
    <col min="20" max="21" width="5.6640625" style="3" customWidth="1"/>
  </cols>
  <sheetData>
    <row r="1" spans="1:22" ht="15" thickBot="1"/>
    <row r="2" spans="1:22" ht="15" thickBot="1">
      <c r="A2" s="62">
        <f>MAX(A3:A505)</f>
        <v>100</v>
      </c>
      <c r="B2" s="12"/>
      <c r="C2" s="12"/>
      <c r="D2" s="13"/>
      <c r="E2" s="14" t="s">
        <v>0</v>
      </c>
      <c r="F2" s="41">
        <f t="shared" ref="F2:S2" si="0">AVERAGEIF(F4:F102,"&gt;0")</f>
        <v>210.09411764705882</v>
      </c>
      <c r="G2" s="42">
        <f t="shared" si="0"/>
        <v>172.05333333333334</v>
      </c>
      <c r="H2" s="43">
        <f t="shared" si="0"/>
        <v>107.96246421052626</v>
      </c>
      <c r="I2" s="44">
        <f t="shared" si="0"/>
        <v>89.865372258064511</v>
      </c>
      <c r="J2" s="15">
        <f t="shared" si="0"/>
        <v>80.023717977528108</v>
      </c>
      <c r="K2" s="15">
        <f t="shared" si="0"/>
        <v>79.931851058823554</v>
      </c>
      <c r="L2" s="15">
        <f t="shared" si="0"/>
        <v>72.804771466666637</v>
      </c>
      <c r="M2" s="15">
        <f t="shared" si="0"/>
        <v>70.367788214285696</v>
      </c>
      <c r="N2" s="15">
        <f t="shared" si="0"/>
        <v>73.690362307692311</v>
      </c>
      <c r="O2" s="15">
        <f t="shared" si="0"/>
        <v>73.159445833333351</v>
      </c>
      <c r="P2" s="15">
        <f t="shared" si="0"/>
        <v>57.677811764705879</v>
      </c>
      <c r="Q2" s="15">
        <f t="shared" si="0"/>
        <v>48.389375000000001</v>
      </c>
      <c r="R2" s="15">
        <f t="shared" si="0"/>
        <v>46.727999999999994</v>
      </c>
      <c r="S2" s="16">
        <f t="shared" si="0"/>
        <v>41.657769999999999</v>
      </c>
    </row>
    <row r="3" spans="1:22">
      <c r="A3" s="61"/>
      <c r="B3" s="27" t="str">
        <f>[1]Grp_4!A1</f>
        <v>Team</v>
      </c>
      <c r="C3" s="27" t="str">
        <f>[1]Grp_4!B1</f>
        <v>Name</v>
      </c>
      <c r="D3" s="28" t="str">
        <f>[1]Grp_4!C1</f>
        <v>Org</v>
      </c>
      <c r="E3" s="29" t="str">
        <f>[1]Grp_4!D1</f>
        <v>Location</v>
      </c>
      <c r="F3" s="27" t="str">
        <f>[1]Grp_4!E1</f>
        <v>Drv_skills</v>
      </c>
      <c r="G3" s="28" t="str">
        <f>[1]Grp_4!F1</f>
        <v>Prg_skills</v>
      </c>
      <c r="H3" s="29" t="str">
        <f>[1]Grp_4!G1</f>
        <v>Opr_max</v>
      </c>
      <c r="I3" s="28" t="str">
        <f>[1]Grp_4!H1</f>
        <v>Opr_last</v>
      </c>
      <c r="J3" s="28" t="str">
        <f>[1]Grp_4!I1</f>
        <v>Opr-1</v>
      </c>
      <c r="K3" s="28" t="str">
        <f>[1]Grp_4!J1</f>
        <v>Opr-2</v>
      </c>
      <c r="L3" s="28" t="str">
        <f>[1]Grp_4!K1</f>
        <v>Opr-3</v>
      </c>
      <c r="M3" s="28" t="str">
        <f>[1]Grp_4!L1</f>
        <v>Opr-4</v>
      </c>
      <c r="N3" s="28" t="str">
        <f>[1]Grp_4!M1</f>
        <v>Opr-5</v>
      </c>
      <c r="O3" s="28">
        <f>[1]Grp_4!N1</f>
        <v>0</v>
      </c>
      <c r="P3" s="28">
        <f>[1]Grp_4!O1</f>
        <v>0</v>
      </c>
      <c r="Q3" s="28">
        <f>[1]Grp_4!P1</f>
        <v>0</v>
      </c>
      <c r="R3" s="28">
        <f>[1]Grp_4!Q1</f>
        <v>0</v>
      </c>
      <c r="S3" s="29">
        <f>[1]Grp_4!R1</f>
        <v>0</v>
      </c>
    </row>
    <row r="4" spans="1:22">
      <c r="A4" s="2">
        <v>5</v>
      </c>
      <c r="B4" s="17" t="str">
        <f>[1]Grp_4!A6</f>
        <v>118</v>
      </c>
      <c r="C4" s="30" t="str">
        <f>[1]Grp_4!B6</f>
        <v>Robonauts</v>
      </c>
      <c r="D4" s="18" t="str">
        <f>[1]Grp_4!C6</f>
        <v>Clear Creek ISD</v>
      </c>
      <c r="E4" s="31" t="str">
        <f>[1]Grp_4!D6</f>
        <v>League City, Texas, United States</v>
      </c>
      <c r="F4" s="34">
        <f>[1]Grp_4!E6</f>
        <v>300</v>
      </c>
      <c r="G4" s="19">
        <f>[1]Grp_4!F6</f>
        <v>305</v>
      </c>
      <c r="H4" s="35">
        <f>[1]Grp_4!G6</f>
        <v>202.67599999999999</v>
      </c>
      <c r="I4" s="20">
        <f>[1]Grp_4!H6</f>
        <v>202.67599999999999</v>
      </c>
      <c r="J4" s="20">
        <f>[1]Grp_4!I6</f>
        <v>121.91500000000001</v>
      </c>
      <c r="K4" s="20">
        <f>[1]Grp_4!J6</f>
        <v>158.59700000000001</v>
      </c>
      <c r="L4" s="20">
        <f>[1]Grp_4!K6</f>
        <v>163.447</v>
      </c>
      <c r="M4" s="20">
        <f>[1]Grp_4!L6</f>
        <v>82.5471</v>
      </c>
      <c r="N4" s="20">
        <f>[1]Grp_4!M6</f>
        <v>0</v>
      </c>
      <c r="O4" s="20">
        <f>[1]Grp_4!N6</f>
        <v>0</v>
      </c>
      <c r="P4" s="20">
        <f>[1]Grp_4!O6</f>
        <v>0</v>
      </c>
      <c r="Q4" s="20">
        <f>[1]Grp_4!P6</f>
        <v>0</v>
      </c>
      <c r="R4" s="20">
        <f>[1]Grp_4!Q6</f>
        <v>0</v>
      </c>
      <c r="S4" s="21">
        <f>[1]Grp_4!R2</f>
        <v>0</v>
      </c>
      <c r="T4" s="9"/>
      <c r="U4" s="9"/>
      <c r="V4" s="10"/>
    </row>
    <row r="5" spans="1:22">
      <c r="A5" s="2">
        <v>10</v>
      </c>
      <c r="B5" s="17" t="str">
        <f>[1]Grp_4!A11</f>
        <v>323Y</v>
      </c>
      <c r="C5" s="30" t="str">
        <f>[1]Grp_4!B11</f>
        <v>Flux Capacitors</v>
      </c>
      <c r="D5" s="18" t="str">
        <f>[1]Grp_4!C11</f>
        <v>Cornerstone Robotics</v>
      </c>
      <c r="E5" s="31" t="str">
        <f>[1]Grp_4!D11</f>
        <v>Greenwood, Indiana, United States</v>
      </c>
      <c r="F5" s="34">
        <f>[1]Grp_4!E11</f>
        <v>320</v>
      </c>
      <c r="G5" s="19">
        <f>[1]Grp_4!F11</f>
        <v>202</v>
      </c>
      <c r="H5" s="37">
        <f>[1]Grp_4!G11</f>
        <v>201.00399999999999</v>
      </c>
      <c r="I5" s="38">
        <f>[1]Grp_4!H11</f>
        <v>103.869</v>
      </c>
      <c r="J5" s="20">
        <f>[1]Grp_4!I11</f>
        <v>152.72300000000001</v>
      </c>
      <c r="K5" s="20">
        <f>[1]Grp_4!J11</f>
        <v>201.00399999999999</v>
      </c>
      <c r="L5" s="20">
        <f>[1]Grp_4!K11</f>
        <v>179.69800000000001</v>
      </c>
      <c r="M5" s="20">
        <f>[1]Grp_4!L11</f>
        <v>161.75299999999999</v>
      </c>
      <c r="N5" s="20">
        <f>[1]Grp_4!M11</f>
        <v>124.83499999999999</v>
      </c>
      <c r="O5" s="20">
        <f>[1]Grp_4!N11</f>
        <v>97.009399999999999</v>
      </c>
      <c r="P5" s="20">
        <f>[1]Grp_4!O11</f>
        <v>104.965</v>
      </c>
      <c r="Q5" s="20">
        <f>[1]Grp_4!P11</f>
        <v>0</v>
      </c>
      <c r="R5" s="20">
        <f>[1]Grp_4!Q11</f>
        <v>0</v>
      </c>
      <c r="S5" s="21">
        <f>[1]Grp_4!R3</f>
        <v>0</v>
      </c>
      <c r="T5" s="9"/>
      <c r="U5" s="9"/>
      <c r="V5" s="10"/>
    </row>
    <row r="6" spans="1:22">
      <c r="A6" s="2">
        <v>90</v>
      </c>
      <c r="B6" s="17" t="str">
        <f>[1]Grp_4!A91</f>
        <v>9090A</v>
      </c>
      <c r="C6" s="30" t="str">
        <f>[1]Grp_4!B91</f>
        <v>T-VEX</v>
      </c>
      <c r="D6" s="18" t="str">
        <f>[1]Grp_4!C91</f>
        <v>The Mandarin Chinese School</v>
      </c>
      <c r="E6" s="31" t="str">
        <f>[1]Grp_4!D91</f>
        <v>Arlington, Texas, United States</v>
      </c>
      <c r="F6" s="34">
        <f>[1]Grp_4!E91</f>
        <v>335</v>
      </c>
      <c r="G6" s="19">
        <f>[1]Grp_4!F91</f>
        <v>330</v>
      </c>
      <c r="H6" s="37">
        <f>[1]Grp_4!G91</f>
        <v>180.12799999999999</v>
      </c>
      <c r="I6" s="38">
        <f>[1]Grp_4!H91</f>
        <v>86.697100000000006</v>
      </c>
      <c r="J6" s="20">
        <f>[1]Grp_4!I91</f>
        <v>180.12799999999999</v>
      </c>
      <c r="K6" s="20">
        <f>[1]Grp_4!J91</f>
        <v>169.27199999999999</v>
      </c>
      <c r="L6" s="20">
        <f>[1]Grp_4!K91</f>
        <v>168.69</v>
      </c>
      <c r="M6" s="20">
        <f>[1]Grp_4!L91</f>
        <v>91.366100000000003</v>
      </c>
      <c r="N6" s="20">
        <f>[1]Grp_4!M91</f>
        <v>76.163799999999995</v>
      </c>
      <c r="O6" s="20">
        <f>[1]Grp_4!N91</f>
        <v>0</v>
      </c>
      <c r="P6" s="20">
        <f>[1]Grp_4!O91</f>
        <v>0</v>
      </c>
      <c r="Q6" s="20">
        <f>[1]Grp_4!P91</f>
        <v>0</v>
      </c>
      <c r="R6" s="20">
        <f>[1]Grp_4!Q91</f>
        <v>0</v>
      </c>
      <c r="S6" s="21">
        <f>[1]Grp_4!R4</f>
        <v>0</v>
      </c>
      <c r="T6" s="9"/>
      <c r="U6" s="9"/>
      <c r="V6" s="10"/>
    </row>
    <row r="7" spans="1:22">
      <c r="A7" s="2">
        <v>2</v>
      </c>
      <c r="B7" s="17" t="str">
        <f>[1]Grp_4!A3</f>
        <v>33A</v>
      </c>
      <c r="C7" s="30" t="str">
        <f>[1]Grp_4!B3</f>
        <v>Killer Bees</v>
      </c>
      <c r="D7" s="18" t="str">
        <f>[1]Grp_4!C3</f>
        <v>Notre Dame Prep Killer Bees</v>
      </c>
      <c r="E7" s="31" t="str">
        <f>[1]Grp_4!D3</f>
        <v>Pontiac, Michigan, United States</v>
      </c>
      <c r="F7" s="34">
        <f>[1]Grp_4!E3</f>
        <v>168</v>
      </c>
      <c r="G7" s="19">
        <f>[1]Grp_4!F3</f>
        <v>176</v>
      </c>
      <c r="H7" s="35">
        <f>[1]Grp_4!G3</f>
        <v>173.37700000000001</v>
      </c>
      <c r="I7" s="20">
        <f>[1]Grp_4!H3</f>
        <v>144.91999999999999</v>
      </c>
      <c r="J7" s="20">
        <f>[1]Grp_4!I3</f>
        <v>166.113</v>
      </c>
      <c r="K7" s="20">
        <f>[1]Grp_4!J3</f>
        <v>173.37700000000001</v>
      </c>
      <c r="L7" s="20">
        <f>[1]Grp_4!K3</f>
        <v>130.48599999999999</v>
      </c>
      <c r="M7" s="20">
        <f>[1]Grp_4!L3</f>
        <v>0</v>
      </c>
      <c r="N7" s="20">
        <f>[1]Grp_4!M3</f>
        <v>0</v>
      </c>
      <c r="O7" s="20">
        <f>[1]Grp_4!N3</f>
        <v>0</v>
      </c>
      <c r="P7" s="20">
        <f>[1]Grp_4!O3</f>
        <v>0</v>
      </c>
      <c r="Q7" s="20">
        <f>[1]Grp_4!P3</f>
        <v>0</v>
      </c>
      <c r="R7" s="20">
        <f>[1]Grp_4!Q3</f>
        <v>0</v>
      </c>
      <c r="S7" s="21">
        <f>[1]Grp_4!R5</f>
        <v>0</v>
      </c>
      <c r="T7" s="9"/>
      <c r="U7" s="9"/>
      <c r="V7" s="10"/>
    </row>
    <row r="8" spans="1:22">
      <c r="A8" s="2">
        <v>22</v>
      </c>
      <c r="B8" s="17" t="str">
        <f>[1]Grp_4!A23</f>
        <v>1104X</v>
      </c>
      <c r="C8" s="30" t="str">
        <f>[1]Grp_4!B23</f>
        <v>Discobots Xeon - 🍁 #ImThomas</v>
      </c>
      <c r="D8" s="18" t="str">
        <f>[1]Grp_4!C23</f>
        <v>Brampton Robotics Education</v>
      </c>
      <c r="E8" s="31" t="str">
        <f>[1]Grp_4!D23</f>
        <v>Brampton, Ontario, Canada</v>
      </c>
      <c r="F8" s="34">
        <f>[1]Grp_4!E23</f>
        <v>394</v>
      </c>
      <c r="G8" s="19">
        <f>[1]Grp_4!F23</f>
        <v>58</v>
      </c>
      <c r="H8" s="37">
        <f>[1]Grp_4!G23</f>
        <v>166.09700000000001</v>
      </c>
      <c r="I8" s="38">
        <f>[1]Grp_4!H23</f>
        <v>128.649</v>
      </c>
      <c r="J8" s="20">
        <f>[1]Grp_4!I23</f>
        <v>64.183899999999994</v>
      </c>
      <c r="K8" s="20">
        <f>[1]Grp_4!J23</f>
        <v>166.09700000000001</v>
      </c>
      <c r="L8" s="20">
        <f>[1]Grp_4!K23</f>
        <v>42.141399999999997</v>
      </c>
      <c r="M8" s="20">
        <f>[1]Grp_4!L23</f>
        <v>56.100700000000003</v>
      </c>
      <c r="N8" s="20">
        <f>[1]Grp_4!M23</f>
        <v>113.13800000000001</v>
      </c>
      <c r="O8" s="20">
        <f>[1]Grp_4!N23</f>
        <v>108.831</v>
      </c>
      <c r="P8" s="20">
        <f>[1]Grp_4!O23</f>
        <v>0</v>
      </c>
      <c r="Q8" s="20">
        <f>[1]Grp_4!P23</f>
        <v>0</v>
      </c>
      <c r="R8" s="20">
        <f>[1]Grp_4!Q23</f>
        <v>0</v>
      </c>
      <c r="S8" s="21">
        <f>[1]Grp_4!R6</f>
        <v>0</v>
      </c>
      <c r="T8" s="9"/>
      <c r="U8" s="9"/>
      <c r="V8" s="10"/>
    </row>
    <row r="9" spans="1:22">
      <c r="A9" s="2">
        <v>11</v>
      </c>
      <c r="B9" s="17" t="str">
        <f>[1]Grp_4!A12</f>
        <v>355B</v>
      </c>
      <c r="C9" s="30" t="str">
        <f>[1]Grp_4!B12</f>
        <v>Steel Pythons</v>
      </c>
      <c r="D9" s="18" t="str">
        <f>[1]Grp_4!C12</f>
        <v>Fox Valley Robotics</v>
      </c>
      <c r="E9" s="31" t="str">
        <f>[1]Grp_4!D12</f>
        <v>Batavia, Illinois, United States</v>
      </c>
      <c r="F9" s="34">
        <f>[1]Grp_4!E12</f>
        <v>290</v>
      </c>
      <c r="G9" s="19">
        <f>[1]Grp_4!F12</f>
        <v>310</v>
      </c>
      <c r="H9" s="37">
        <f>[1]Grp_4!G12</f>
        <v>159.673</v>
      </c>
      <c r="I9" s="38">
        <f>[1]Grp_4!H12</f>
        <v>159.673</v>
      </c>
      <c r="J9" s="20">
        <f>[1]Grp_4!I12</f>
        <v>113.943</v>
      </c>
      <c r="K9" s="20">
        <f>[1]Grp_4!J12</f>
        <v>135.017</v>
      </c>
      <c r="L9" s="20">
        <f>[1]Grp_4!K12</f>
        <v>118.334</v>
      </c>
      <c r="M9" s="20">
        <f>[1]Grp_4!L12</f>
        <v>69.414400000000001</v>
      </c>
      <c r="N9" s="20">
        <f>[1]Grp_4!M12</f>
        <v>83.448300000000003</v>
      </c>
      <c r="O9" s="20">
        <f>[1]Grp_4!N12</f>
        <v>0</v>
      </c>
      <c r="P9" s="20">
        <f>[1]Grp_4!O12</f>
        <v>0</v>
      </c>
      <c r="Q9" s="20">
        <f>[1]Grp_4!P12</f>
        <v>0</v>
      </c>
      <c r="R9" s="20">
        <f>[1]Grp_4!Q12</f>
        <v>0</v>
      </c>
      <c r="S9" s="21">
        <f>[1]Grp_4!R7</f>
        <v>0</v>
      </c>
      <c r="T9" s="9"/>
      <c r="U9" s="9"/>
      <c r="V9" s="10"/>
    </row>
    <row r="10" spans="1:22">
      <c r="A10" s="2">
        <v>34</v>
      </c>
      <c r="B10" s="17" t="str">
        <f>[1]Grp_4!A35</f>
        <v>2131X</v>
      </c>
      <c r="C10" s="30" t="str">
        <f>[1]Grp_4!B35</f>
        <v>Schmetterlinge &amp; Einhörn</v>
      </c>
      <c r="D10" s="18" t="str">
        <f>[1]Grp_4!C35</f>
        <v>Davis High School</v>
      </c>
      <c r="E10" s="31" t="str">
        <f>[1]Grp_4!D35</f>
        <v>Kaysville, Utah, United States</v>
      </c>
      <c r="F10" s="34">
        <f>[1]Grp_4!E35</f>
        <v>350</v>
      </c>
      <c r="G10" s="19">
        <f>[1]Grp_4!F35</f>
        <v>151</v>
      </c>
      <c r="H10" s="37">
        <f>[1]Grp_4!G35</f>
        <v>159.392</v>
      </c>
      <c r="I10" s="38">
        <f>[1]Grp_4!H35</f>
        <v>137.81</v>
      </c>
      <c r="J10" s="20">
        <f>[1]Grp_4!I35</f>
        <v>159.392</v>
      </c>
      <c r="K10" s="20">
        <f>[1]Grp_4!J35</f>
        <v>140.53</v>
      </c>
      <c r="L10" s="20">
        <f>[1]Grp_4!K35</f>
        <v>87.898899999999998</v>
      </c>
      <c r="M10" s="20">
        <f>[1]Grp_4!L35</f>
        <v>105.25700000000001</v>
      </c>
      <c r="N10" s="20">
        <f>[1]Grp_4!M35</f>
        <v>78.094099999999997</v>
      </c>
      <c r="O10" s="20">
        <f>[1]Grp_4!N35</f>
        <v>92.257300000000001</v>
      </c>
      <c r="P10" s="20">
        <f>[1]Grp_4!O35</f>
        <v>96.862799999999993</v>
      </c>
      <c r="Q10" s="20">
        <f>[1]Grp_4!P35</f>
        <v>84.509699999999995</v>
      </c>
      <c r="R10" s="20">
        <f>[1]Grp_4!Q35</f>
        <v>0</v>
      </c>
      <c r="S10" s="21">
        <f>[1]Grp_4!R8</f>
        <v>0</v>
      </c>
      <c r="T10" s="9"/>
      <c r="U10" s="9"/>
      <c r="V10" s="10"/>
    </row>
    <row r="11" spans="1:22">
      <c r="A11" s="2">
        <v>61</v>
      </c>
      <c r="B11" s="17" t="str">
        <f>[1]Grp_4!A62</f>
        <v>5776T</v>
      </c>
      <c r="C11" s="30" t="str">
        <f>[1]Grp_4!B62</f>
        <v>DVHS Robotics</v>
      </c>
      <c r="D11" s="18" t="str">
        <f>[1]Grp_4!C62</f>
        <v>Dougherty Valley High School</v>
      </c>
      <c r="E11" s="31" t="str">
        <f>[1]Grp_4!D62</f>
        <v>San Ramon, California, United States</v>
      </c>
      <c r="F11" s="34">
        <f>[1]Grp_4!E62</f>
        <v>345</v>
      </c>
      <c r="G11" s="19">
        <f>[1]Grp_4!F62</f>
        <v>92</v>
      </c>
      <c r="H11" s="37">
        <f>[1]Grp_4!G62</f>
        <v>153.666</v>
      </c>
      <c r="I11" s="38">
        <f>[1]Grp_4!H62</f>
        <v>122.464</v>
      </c>
      <c r="J11" s="20">
        <f>[1]Grp_4!I62</f>
        <v>95.422499999999999</v>
      </c>
      <c r="K11" s="20">
        <f>[1]Grp_4!J62</f>
        <v>135.05600000000001</v>
      </c>
      <c r="L11" s="20">
        <f>[1]Grp_4!K62</f>
        <v>90.540499999999994</v>
      </c>
      <c r="M11" s="20">
        <f>[1]Grp_4!L62</f>
        <v>153.666</v>
      </c>
      <c r="N11" s="20">
        <f>[1]Grp_4!M62</f>
        <v>107.789</v>
      </c>
      <c r="O11" s="20">
        <f>[1]Grp_4!N62</f>
        <v>0</v>
      </c>
      <c r="P11" s="20">
        <f>[1]Grp_4!O62</f>
        <v>0</v>
      </c>
      <c r="Q11" s="20">
        <f>[1]Grp_4!P62</f>
        <v>0</v>
      </c>
      <c r="R11" s="20">
        <f>[1]Grp_4!Q62</f>
        <v>0</v>
      </c>
      <c r="S11" s="21">
        <f>[1]Grp_4!R9</f>
        <v>0</v>
      </c>
      <c r="T11" s="9"/>
      <c r="U11" s="9"/>
      <c r="V11" s="10"/>
    </row>
    <row r="12" spans="1:22">
      <c r="A12" s="2">
        <v>54</v>
      </c>
      <c r="B12" s="17" t="str">
        <f>[1]Grp_4!A55</f>
        <v>5090A</v>
      </c>
      <c r="C12" s="30" t="str">
        <f>[1]Grp_4!B55</f>
        <v>Radio Active</v>
      </c>
      <c r="D12" s="18" t="str">
        <f>[1]Grp_4!C55</f>
        <v>Microchip Technology, Inc</v>
      </c>
      <c r="E12" s="31" t="str">
        <f>[1]Grp_4!D55</f>
        <v>Chandler, Arizona, United States</v>
      </c>
      <c r="F12" s="34">
        <f>[1]Grp_4!E55</f>
        <v>316</v>
      </c>
      <c r="G12" s="19">
        <f>[1]Grp_4!F55</f>
        <v>267</v>
      </c>
      <c r="H12" s="37">
        <f>[1]Grp_4!G55</f>
        <v>152.184</v>
      </c>
      <c r="I12" s="38">
        <f>[1]Grp_4!H55</f>
        <v>91.058099999999996</v>
      </c>
      <c r="J12" s="20">
        <f>[1]Grp_4!I55</f>
        <v>152.184</v>
      </c>
      <c r="K12" s="20">
        <f>[1]Grp_4!J55</f>
        <v>140.84899999999999</v>
      </c>
      <c r="L12" s="20">
        <f>[1]Grp_4!K55</f>
        <v>113.075</v>
      </c>
      <c r="M12" s="20">
        <f>[1]Grp_4!L55</f>
        <v>141.17599999999999</v>
      </c>
      <c r="N12" s="20">
        <f>[1]Grp_4!M55</f>
        <v>90.104600000000005</v>
      </c>
      <c r="O12" s="20">
        <f>[1]Grp_4!N55</f>
        <v>24.1052</v>
      </c>
      <c r="P12" s="20">
        <f>[1]Grp_4!O55</f>
        <v>0</v>
      </c>
      <c r="Q12" s="20">
        <f>[1]Grp_4!P55</f>
        <v>0</v>
      </c>
      <c r="R12" s="20">
        <f>[1]Grp_4!Q55</f>
        <v>0</v>
      </c>
      <c r="S12" s="21">
        <f>[1]Grp_4!R10</f>
        <v>0</v>
      </c>
      <c r="T12" s="9"/>
      <c r="U12" s="9"/>
      <c r="V12" s="10"/>
    </row>
    <row r="13" spans="1:22">
      <c r="A13" s="2">
        <v>72</v>
      </c>
      <c r="B13" s="17" t="str">
        <f>[1]Grp_4!A73</f>
        <v>7110A</v>
      </c>
      <c r="C13" s="30" t="str">
        <f>[1]Grp_4!B73</f>
        <v>Fired Up!</v>
      </c>
      <c r="D13" s="18" t="str">
        <f>[1]Grp_4!C73</f>
        <v>Carroll Senior High School</v>
      </c>
      <c r="E13" s="31" t="str">
        <f>[1]Grp_4!D73</f>
        <v>Southlake, Texas, United States</v>
      </c>
      <c r="F13" s="34">
        <f>[1]Grp_4!E73</f>
        <v>239</v>
      </c>
      <c r="G13" s="19">
        <f>[1]Grp_4!F73</f>
        <v>266</v>
      </c>
      <c r="H13" s="37">
        <f>[1]Grp_4!G73</f>
        <v>150.85900000000001</v>
      </c>
      <c r="I13" s="38">
        <f>[1]Grp_4!H73</f>
        <v>139.15</v>
      </c>
      <c r="J13" s="20">
        <f>[1]Grp_4!I73</f>
        <v>121.128</v>
      </c>
      <c r="K13" s="20">
        <f>[1]Grp_4!J73</f>
        <v>150.85900000000001</v>
      </c>
      <c r="L13" s="20">
        <f>[1]Grp_4!K73</f>
        <v>77.162400000000005</v>
      </c>
      <c r="M13" s="20">
        <f>[1]Grp_4!L73</f>
        <v>0</v>
      </c>
      <c r="N13" s="20">
        <f>[1]Grp_4!M73</f>
        <v>0</v>
      </c>
      <c r="O13" s="20">
        <f>[1]Grp_4!N73</f>
        <v>0</v>
      </c>
      <c r="P13" s="20">
        <f>[1]Grp_4!O73</f>
        <v>0</v>
      </c>
      <c r="Q13" s="20">
        <f>[1]Grp_4!P73</f>
        <v>0</v>
      </c>
      <c r="R13" s="20">
        <f>[1]Grp_4!Q73</f>
        <v>0</v>
      </c>
      <c r="S13" s="21">
        <f>[1]Grp_4!R11</f>
        <v>0</v>
      </c>
      <c r="T13" s="9"/>
      <c r="U13" s="9"/>
      <c r="V13" s="10"/>
    </row>
    <row r="14" spans="1:22">
      <c r="A14" s="2">
        <v>65</v>
      </c>
      <c r="B14" s="17" t="str">
        <f>[1]Grp_4!A66</f>
        <v>6135C</v>
      </c>
      <c r="C14" s="30" t="str">
        <f>[1]Grp_4!B66</f>
        <v>CHHS Bruins C</v>
      </c>
      <c r="D14" s="18" t="str">
        <f>[1]Grp_4!C66</f>
        <v>Central Hardin High School PLTW</v>
      </c>
      <c r="E14" s="31" t="str">
        <f>[1]Grp_4!D66</f>
        <v>Cecilia, Kentucky, United States</v>
      </c>
      <c r="F14" s="34">
        <f>[1]Grp_4!E66</f>
        <v>246</v>
      </c>
      <c r="G14" s="19">
        <f>[1]Grp_4!F66</f>
        <v>138</v>
      </c>
      <c r="H14" s="37">
        <f>[1]Grp_4!G66</f>
        <v>150.21899999999999</v>
      </c>
      <c r="I14" s="38">
        <f>[1]Grp_4!H66</f>
        <v>150.21899999999999</v>
      </c>
      <c r="J14" s="20">
        <f>[1]Grp_4!I66</f>
        <v>64.808800000000005</v>
      </c>
      <c r="K14" s="20">
        <f>[1]Grp_4!J66</f>
        <v>87.766999999999996</v>
      </c>
      <c r="L14" s="20">
        <f>[1]Grp_4!K66</f>
        <v>98.679100000000005</v>
      </c>
      <c r="M14" s="20">
        <f>[1]Grp_4!L66</f>
        <v>115.919</v>
      </c>
      <c r="N14" s="20">
        <f>[1]Grp_4!M66</f>
        <v>31.170300000000001</v>
      </c>
      <c r="O14" s="20">
        <f>[1]Grp_4!N66</f>
        <v>67.358800000000002</v>
      </c>
      <c r="P14" s="20">
        <f>[1]Grp_4!O66</f>
        <v>0</v>
      </c>
      <c r="Q14" s="20">
        <f>[1]Grp_4!P66</f>
        <v>0</v>
      </c>
      <c r="R14" s="20">
        <f>[1]Grp_4!Q66</f>
        <v>0</v>
      </c>
      <c r="S14" s="21">
        <f>[1]Grp_4!R12</f>
        <v>0</v>
      </c>
      <c r="T14" s="9"/>
      <c r="U14" s="9"/>
      <c r="V14" s="10"/>
    </row>
    <row r="15" spans="1:22">
      <c r="A15" s="2">
        <v>19</v>
      </c>
      <c r="B15" s="17" t="str">
        <f>[1]Grp_4!A20</f>
        <v>974X</v>
      </c>
      <c r="C15" s="30" t="str">
        <f>[1]Grp_4!B20</f>
        <v>Cyberbrains</v>
      </c>
      <c r="D15" s="18" t="str">
        <f>[1]Grp_4!C20</f>
        <v>Loveland, CO Community Team</v>
      </c>
      <c r="E15" s="31" t="str">
        <f>[1]Grp_4!D20</f>
        <v>Loveland, Colorado, United States</v>
      </c>
      <c r="F15" s="34">
        <f>[1]Grp_4!E20</f>
        <v>308</v>
      </c>
      <c r="G15" s="19">
        <f>[1]Grp_4!F20</f>
        <v>316</v>
      </c>
      <c r="H15" s="37">
        <f>[1]Grp_4!G20</f>
        <v>149.577</v>
      </c>
      <c r="I15" s="38">
        <f>[1]Grp_4!H20</f>
        <v>100.19199999999999</v>
      </c>
      <c r="J15" s="20">
        <f>[1]Grp_4!I20</f>
        <v>86.113</v>
      </c>
      <c r="K15" s="20">
        <f>[1]Grp_4!J20</f>
        <v>149.577</v>
      </c>
      <c r="L15" s="20">
        <f>[1]Grp_4!K20</f>
        <v>96.572699999999998</v>
      </c>
      <c r="M15" s="20">
        <f>[1]Grp_4!L20</f>
        <v>145.715</v>
      </c>
      <c r="N15" s="20">
        <f>[1]Grp_4!M20</f>
        <v>97.711200000000005</v>
      </c>
      <c r="O15" s="20">
        <f>[1]Grp_4!N20</f>
        <v>122.446</v>
      </c>
      <c r="P15" s="20">
        <f>[1]Grp_4!O20</f>
        <v>66.379800000000003</v>
      </c>
      <c r="Q15" s="20">
        <f>[1]Grp_4!P20</f>
        <v>0</v>
      </c>
      <c r="R15" s="20">
        <f>[1]Grp_4!Q20</f>
        <v>0</v>
      </c>
      <c r="S15" s="21">
        <f>[1]Grp_4!R13</f>
        <v>0</v>
      </c>
      <c r="T15" s="9"/>
      <c r="U15" s="9"/>
      <c r="V15" s="10"/>
    </row>
    <row r="16" spans="1:22">
      <c r="A16" s="2">
        <v>33</v>
      </c>
      <c r="B16" s="17" t="str">
        <f>[1]Grp_4!A34</f>
        <v>2114Z</v>
      </c>
      <c r="C16" s="30" t="str">
        <f>[1]Grp_4!B34</f>
        <v>Team da Vinci</v>
      </c>
      <c r="D16" s="18" t="str">
        <f>[1]Grp_4!C34</f>
        <v>Team Automata</v>
      </c>
      <c r="E16" s="31" t="str">
        <f>[1]Grp_4!D34</f>
        <v>Cave Creek, Arizona, United States</v>
      </c>
      <c r="F16" s="34">
        <f>[1]Grp_4!E34</f>
        <v>250</v>
      </c>
      <c r="G16" s="19">
        <f>[1]Grp_4!F34</f>
        <v>110</v>
      </c>
      <c r="H16" s="37">
        <f>[1]Grp_4!G34</f>
        <v>148.51599999999999</v>
      </c>
      <c r="I16" s="38">
        <f>[1]Grp_4!H34</f>
        <v>125.492</v>
      </c>
      <c r="J16" s="20">
        <f>[1]Grp_4!I34</f>
        <v>148.51599999999999</v>
      </c>
      <c r="K16" s="20">
        <f>[1]Grp_4!J34</f>
        <v>115.193</v>
      </c>
      <c r="L16" s="20">
        <f>[1]Grp_4!K34</f>
        <v>106.919</v>
      </c>
      <c r="M16" s="20">
        <f>[1]Grp_4!L34</f>
        <v>90.864900000000006</v>
      </c>
      <c r="N16" s="20">
        <f>[1]Grp_4!M34</f>
        <v>104.247</v>
      </c>
      <c r="O16" s="20">
        <f>[1]Grp_4!N34</f>
        <v>70.833200000000005</v>
      </c>
      <c r="P16" s="20">
        <f>[1]Grp_4!O34</f>
        <v>0</v>
      </c>
      <c r="Q16" s="20">
        <f>[1]Grp_4!P34</f>
        <v>0</v>
      </c>
      <c r="R16" s="20">
        <f>[1]Grp_4!Q34</f>
        <v>0</v>
      </c>
      <c r="S16" s="21">
        <f>[1]Grp_4!R14</f>
        <v>0</v>
      </c>
      <c r="T16" s="9"/>
      <c r="U16" s="9"/>
      <c r="V16" s="10"/>
    </row>
    <row r="17" spans="1:22">
      <c r="A17" s="2">
        <v>80</v>
      </c>
      <c r="B17" s="17" t="str">
        <f>[1]Grp_4!A81</f>
        <v>8000B</v>
      </c>
      <c r="C17" s="30" t="str">
        <f>[1]Grp_4!B81</f>
        <v>HRS Robohawks</v>
      </c>
      <c r="D17" s="18" t="str">
        <f>[1]Grp_4!C81</f>
        <v>Head-Royce School</v>
      </c>
      <c r="E17" s="31" t="str">
        <f>[1]Grp_4!D81</f>
        <v>Oakland, California, United States</v>
      </c>
      <c r="F17" s="34">
        <f>[1]Grp_4!E81</f>
        <v>0</v>
      </c>
      <c r="G17" s="19">
        <f>[1]Grp_4!F81</f>
        <v>0</v>
      </c>
      <c r="H17" s="37">
        <f>[1]Grp_4!G81</f>
        <v>147.84700000000001</v>
      </c>
      <c r="I17" s="38">
        <f>[1]Grp_4!H81</f>
        <v>147.84700000000001</v>
      </c>
      <c r="J17" s="20">
        <f>[1]Grp_4!I81</f>
        <v>90.450400000000002</v>
      </c>
      <c r="K17" s="20">
        <f>[1]Grp_4!J81</f>
        <v>81.610100000000003</v>
      </c>
      <c r="L17" s="20">
        <f>[1]Grp_4!K81</f>
        <v>59.305900000000001</v>
      </c>
      <c r="M17" s="20">
        <f>[1]Grp_4!L81</f>
        <v>89.639300000000006</v>
      </c>
      <c r="N17" s="20">
        <f>[1]Grp_4!M81</f>
        <v>109.363</v>
      </c>
      <c r="O17" s="20">
        <f>[1]Grp_4!N81</f>
        <v>73.1541</v>
      </c>
      <c r="P17" s="20">
        <f>[1]Grp_4!O81</f>
        <v>70.906700000000001</v>
      </c>
      <c r="Q17" s="20">
        <f>[1]Grp_4!P81</f>
        <v>0</v>
      </c>
      <c r="R17" s="20">
        <f>[1]Grp_4!Q81</f>
        <v>0</v>
      </c>
      <c r="S17" s="21">
        <f>[1]Grp_4!R15</f>
        <v>0</v>
      </c>
      <c r="T17" s="9"/>
      <c r="U17" s="9"/>
      <c r="V17" s="10"/>
    </row>
    <row r="18" spans="1:22">
      <c r="A18" s="2">
        <v>39</v>
      </c>
      <c r="B18" s="17" t="str">
        <f>[1]Grp_4!A40</f>
        <v>2915A</v>
      </c>
      <c r="C18" s="30" t="str">
        <f>[1]Grp_4!B40</f>
        <v>Lynfield College Robotics</v>
      </c>
      <c r="D18" s="18" t="str">
        <f>[1]Grp_4!C40</f>
        <v>Lynfield College</v>
      </c>
      <c r="E18" s="31" t="str">
        <f>[1]Grp_4!D40</f>
        <v>Auckland, Not Applicable or Not Listed, New Zealand</v>
      </c>
      <c r="F18" s="34">
        <f>[1]Grp_4!E40</f>
        <v>352</v>
      </c>
      <c r="G18" s="19">
        <f>[1]Grp_4!F40</f>
        <v>160</v>
      </c>
      <c r="H18" s="37">
        <f>[1]Grp_4!G40</f>
        <v>146.11500000000001</v>
      </c>
      <c r="I18" s="38">
        <f>[1]Grp_4!H40</f>
        <v>146.11500000000001</v>
      </c>
      <c r="J18" s="20">
        <f>[1]Grp_4!I40</f>
        <v>129.00299999999999</v>
      </c>
      <c r="K18" s="20">
        <f>[1]Grp_4!J40</f>
        <v>88.495599999999996</v>
      </c>
      <c r="L18" s="20">
        <f>[1]Grp_4!K40</f>
        <v>0</v>
      </c>
      <c r="M18" s="20">
        <f>[1]Grp_4!L40</f>
        <v>0</v>
      </c>
      <c r="N18" s="20">
        <f>[1]Grp_4!M40</f>
        <v>0</v>
      </c>
      <c r="O18" s="20">
        <f>[1]Grp_4!N40</f>
        <v>0</v>
      </c>
      <c r="P18" s="20">
        <f>[1]Grp_4!O40</f>
        <v>0</v>
      </c>
      <c r="Q18" s="20">
        <f>[1]Grp_4!P40</f>
        <v>0</v>
      </c>
      <c r="R18" s="20">
        <f>[1]Grp_4!Q40</f>
        <v>0</v>
      </c>
      <c r="S18" s="21">
        <f>[1]Grp_4!R16</f>
        <v>0</v>
      </c>
      <c r="T18" s="9"/>
      <c r="U18" s="9"/>
      <c r="V18" s="10"/>
    </row>
    <row r="19" spans="1:22">
      <c r="A19" s="2">
        <v>64</v>
      </c>
      <c r="B19" s="17" t="str">
        <f>[1]Grp_4!A65</f>
        <v>6053B</v>
      </c>
      <c r="C19" s="30" t="str">
        <f>[1]Grp_4!B65</f>
        <v>Error 404</v>
      </c>
      <c r="D19" s="18" t="str">
        <f>[1]Grp_4!C65</f>
        <v>Highgate School</v>
      </c>
      <c r="E19" s="31" t="str">
        <f>[1]Grp_4!D65</f>
        <v>London, N/A, United Kingdom</v>
      </c>
      <c r="F19" s="34">
        <f>[1]Grp_4!E65</f>
        <v>221</v>
      </c>
      <c r="G19" s="19">
        <f>[1]Grp_4!F65</f>
        <v>191</v>
      </c>
      <c r="H19" s="37">
        <f>[1]Grp_4!G65</f>
        <v>145.48400000000001</v>
      </c>
      <c r="I19" s="38">
        <f>[1]Grp_4!H65</f>
        <v>82.423900000000003</v>
      </c>
      <c r="J19" s="20">
        <f>[1]Grp_4!I65</f>
        <v>98.141499999999994</v>
      </c>
      <c r="K19" s="20">
        <f>[1]Grp_4!J65</f>
        <v>90.008300000000006</v>
      </c>
      <c r="L19" s="20">
        <f>[1]Grp_4!K65</f>
        <v>84.572199999999995</v>
      </c>
      <c r="M19" s="20">
        <f>[1]Grp_4!L65</f>
        <v>74.054299999999998</v>
      </c>
      <c r="N19" s="20">
        <f>[1]Grp_4!M65</f>
        <v>86.465199999999996</v>
      </c>
      <c r="O19" s="20">
        <f>[1]Grp_4!N65</f>
        <v>145.48400000000001</v>
      </c>
      <c r="P19" s="20">
        <f>[1]Grp_4!O65</f>
        <v>49.232399999999998</v>
      </c>
      <c r="Q19" s="20">
        <f>[1]Grp_4!P65</f>
        <v>45.636899999999997</v>
      </c>
      <c r="R19" s="20">
        <f>[1]Grp_4!Q65</f>
        <v>19.584</v>
      </c>
      <c r="S19" s="21">
        <f>[1]Grp_4!R17</f>
        <v>0</v>
      </c>
      <c r="T19" s="9"/>
      <c r="U19" s="9"/>
      <c r="V19" s="10"/>
    </row>
    <row r="20" spans="1:22">
      <c r="A20" s="2">
        <v>31</v>
      </c>
      <c r="B20" s="17" t="str">
        <f>[1]Grp_4!A32</f>
        <v>1900W</v>
      </c>
      <c r="C20" s="30" t="str">
        <f>[1]Grp_4!B32</f>
        <v>Team GMA</v>
      </c>
      <c r="D20" s="18" t="str">
        <f>[1]Grp_4!C32</f>
        <v>Woodward Academy</v>
      </c>
      <c r="E20" s="31" t="str">
        <f>[1]Grp_4!D32</f>
        <v>College Park, Georgia, United States</v>
      </c>
      <c r="F20" s="34">
        <f>[1]Grp_4!E32</f>
        <v>156</v>
      </c>
      <c r="G20" s="19">
        <f>[1]Grp_4!F32</f>
        <v>118</v>
      </c>
      <c r="H20" s="37">
        <f>[1]Grp_4!G32</f>
        <v>144.792</v>
      </c>
      <c r="I20" s="38">
        <f>[1]Grp_4!H32</f>
        <v>144.792</v>
      </c>
      <c r="J20" s="20">
        <f>[1]Grp_4!I32</f>
        <v>10.5136</v>
      </c>
      <c r="K20" s="20">
        <f>[1]Grp_4!J32</f>
        <v>104.664</v>
      </c>
      <c r="L20" s="20">
        <f>[1]Grp_4!K32</f>
        <v>0</v>
      </c>
      <c r="M20" s="20">
        <f>[1]Grp_4!L32</f>
        <v>0</v>
      </c>
      <c r="N20" s="20">
        <f>[1]Grp_4!M32</f>
        <v>0</v>
      </c>
      <c r="O20" s="20">
        <f>[1]Grp_4!N32</f>
        <v>0</v>
      </c>
      <c r="P20" s="20">
        <f>[1]Grp_4!O32</f>
        <v>0</v>
      </c>
      <c r="Q20" s="20">
        <f>[1]Grp_4!P32</f>
        <v>0</v>
      </c>
      <c r="R20" s="20">
        <f>[1]Grp_4!Q32</f>
        <v>0</v>
      </c>
      <c r="S20" s="21">
        <f>[1]Grp_4!R18</f>
        <v>0</v>
      </c>
      <c r="T20" s="9"/>
      <c r="U20" s="9"/>
      <c r="V20" s="10"/>
    </row>
    <row r="21" spans="1:22">
      <c r="A21" s="2">
        <v>13</v>
      </c>
      <c r="B21" s="17" t="str">
        <f>[1]Grp_4!A14</f>
        <v>464H</v>
      </c>
      <c r="C21" s="30" t="str">
        <f>[1]Grp_4!B14</f>
        <v>Phobos</v>
      </c>
      <c r="D21" s="18" t="str">
        <f>[1]Grp_4!C14</f>
        <v>Forest Hills High School</v>
      </c>
      <c r="E21" s="31" t="str">
        <f>[1]Grp_4!D14</f>
        <v>Sidman, Pennsylvania, United States</v>
      </c>
      <c r="F21" s="34">
        <f>[1]Grp_4!E14</f>
        <v>103</v>
      </c>
      <c r="G21" s="19">
        <f>[1]Grp_4!F14</f>
        <v>146</v>
      </c>
      <c r="H21" s="37">
        <f>[1]Grp_4!G14</f>
        <v>144.14599999999999</v>
      </c>
      <c r="I21" s="38">
        <f>[1]Grp_4!H14</f>
        <v>144.14599999999999</v>
      </c>
      <c r="J21" s="20">
        <f>[1]Grp_4!I14</f>
        <v>93.637299999999996</v>
      </c>
      <c r="K21" s="20">
        <f>[1]Grp_4!J14</f>
        <v>0</v>
      </c>
      <c r="L21" s="20">
        <f>[1]Grp_4!K14</f>
        <v>0</v>
      </c>
      <c r="M21" s="20">
        <f>[1]Grp_4!L14</f>
        <v>0</v>
      </c>
      <c r="N21" s="20">
        <f>[1]Grp_4!M14</f>
        <v>0</v>
      </c>
      <c r="O21" s="20">
        <f>[1]Grp_4!N14</f>
        <v>0</v>
      </c>
      <c r="P21" s="20">
        <f>[1]Grp_4!O14</f>
        <v>0</v>
      </c>
      <c r="Q21" s="20">
        <f>[1]Grp_4!P14</f>
        <v>0</v>
      </c>
      <c r="R21" s="20">
        <f>[1]Grp_4!Q14</f>
        <v>0</v>
      </c>
      <c r="S21" s="21">
        <f>[1]Grp_4!R19</f>
        <v>0</v>
      </c>
      <c r="T21" s="9"/>
      <c r="U21" s="9"/>
      <c r="V21" s="10"/>
    </row>
    <row r="22" spans="1:22">
      <c r="A22" s="2">
        <v>20</v>
      </c>
      <c r="B22" s="17" t="str">
        <f>[1]Grp_4!A21</f>
        <v>1034A</v>
      </c>
      <c r="C22" s="30" t="str">
        <f>[1]Grp_4!B21</f>
        <v>Roboregents</v>
      </c>
      <c r="D22" s="18" t="str">
        <f>[1]Grp_4!C21</f>
        <v>La Reina High School</v>
      </c>
      <c r="E22" s="31" t="str">
        <f>[1]Grp_4!D21</f>
        <v>Thousand Oaks, California, United States</v>
      </c>
      <c r="F22" s="34">
        <f>[1]Grp_4!E21</f>
        <v>280</v>
      </c>
      <c r="G22" s="19">
        <f>[1]Grp_4!F21</f>
        <v>151</v>
      </c>
      <c r="H22" s="37">
        <f>[1]Grp_4!G21</f>
        <v>141.01900000000001</v>
      </c>
      <c r="I22" s="38">
        <f>[1]Grp_4!H21</f>
        <v>141.01900000000001</v>
      </c>
      <c r="J22" s="20">
        <f>[1]Grp_4!I21</f>
        <v>74.136200000000002</v>
      </c>
      <c r="K22" s="20">
        <f>[1]Grp_4!J21</f>
        <v>110.08199999999999</v>
      </c>
      <c r="L22" s="20">
        <f>[1]Grp_4!K21</f>
        <v>128.727</v>
      </c>
      <c r="M22" s="20">
        <f>[1]Grp_4!L21</f>
        <v>62.23</v>
      </c>
      <c r="N22" s="20">
        <f>[1]Grp_4!M21</f>
        <v>106.355</v>
      </c>
      <c r="O22" s="20">
        <f>[1]Grp_4!N21</f>
        <v>113.197</v>
      </c>
      <c r="P22" s="20">
        <f>[1]Grp_4!O21</f>
        <v>90.599299999999999</v>
      </c>
      <c r="Q22" s="20">
        <f>[1]Grp_4!P21</f>
        <v>32.915500000000002</v>
      </c>
      <c r="R22" s="20">
        <f>[1]Grp_4!Q21</f>
        <v>53.7911</v>
      </c>
      <c r="S22" s="21">
        <f>[1]Grp_4!R20</f>
        <v>0</v>
      </c>
      <c r="T22" s="9"/>
      <c r="U22" s="9"/>
      <c r="V22" s="10"/>
    </row>
    <row r="23" spans="1:22">
      <c r="A23" s="2">
        <v>98</v>
      </c>
      <c r="B23" s="17" t="str">
        <f>[1]Grp_4!A99</f>
        <v>98725B</v>
      </c>
      <c r="C23" s="30" t="str">
        <f>[1]Grp_4!B99</f>
        <v>Falcon</v>
      </c>
      <c r="D23" s="18" t="str">
        <f>[1]Grp_4!C99</f>
        <v>Rochester Hills Christian School</v>
      </c>
      <c r="E23" s="31" t="str">
        <f>[1]Grp_4!D99</f>
        <v>Rochester Hills, Michigan, United States</v>
      </c>
      <c r="F23" s="34">
        <f>[1]Grp_4!E99</f>
        <v>273</v>
      </c>
      <c r="G23" s="19">
        <f>[1]Grp_4!F99</f>
        <v>276</v>
      </c>
      <c r="H23" s="37">
        <f>[1]Grp_4!G99</f>
        <v>140.899</v>
      </c>
      <c r="I23" s="38">
        <f>[1]Grp_4!H99</f>
        <v>140.899</v>
      </c>
      <c r="J23" s="20">
        <f>[1]Grp_4!I99</f>
        <v>106.349</v>
      </c>
      <c r="K23" s="20">
        <f>[1]Grp_4!J99</f>
        <v>84.209800000000001</v>
      </c>
      <c r="L23" s="20">
        <f>[1]Grp_4!K99</f>
        <v>135.518</v>
      </c>
      <c r="M23" s="20">
        <f>[1]Grp_4!L99</f>
        <v>0</v>
      </c>
      <c r="N23" s="20">
        <f>[1]Grp_4!M99</f>
        <v>0</v>
      </c>
      <c r="O23" s="20">
        <f>[1]Grp_4!N99</f>
        <v>0</v>
      </c>
      <c r="P23" s="20">
        <f>[1]Grp_4!O99</f>
        <v>0</v>
      </c>
      <c r="Q23" s="20">
        <f>[1]Grp_4!P99</f>
        <v>0</v>
      </c>
      <c r="R23" s="20">
        <f>[1]Grp_4!Q99</f>
        <v>0</v>
      </c>
      <c r="S23" s="21">
        <f>[1]Grp_4!R21</f>
        <v>7.3877100000000002</v>
      </c>
      <c r="T23" s="9"/>
      <c r="U23" s="9"/>
      <c r="V23" s="10"/>
    </row>
    <row r="24" spans="1:22">
      <c r="A24" s="2">
        <v>25</v>
      </c>
      <c r="B24" s="17" t="str">
        <f>[1]Grp_4!A26</f>
        <v>1344B</v>
      </c>
      <c r="C24" s="30" t="str">
        <f>[1]Grp_4!B26</f>
        <v>James Ford Rhodes</v>
      </c>
      <c r="D24" s="18" t="str">
        <f>[1]Grp_4!C26</f>
        <v>James Ford Rhodes</v>
      </c>
      <c r="E24" s="31" t="str">
        <f>[1]Grp_4!D26</f>
        <v>Cleveland, Ohio, United States</v>
      </c>
      <c r="F24" s="34">
        <f>[1]Grp_4!E26</f>
        <v>285</v>
      </c>
      <c r="G24" s="19">
        <f>[1]Grp_4!F26</f>
        <v>161</v>
      </c>
      <c r="H24" s="37">
        <f>[1]Grp_4!G26</f>
        <v>138.44200000000001</v>
      </c>
      <c r="I24" s="38">
        <f>[1]Grp_4!H26</f>
        <v>138.44200000000001</v>
      </c>
      <c r="J24" s="20">
        <f>[1]Grp_4!I26</f>
        <v>50.540300000000002</v>
      </c>
      <c r="K24" s="20">
        <f>[1]Grp_4!J26</f>
        <v>23.257999999999999</v>
      </c>
      <c r="L24" s="20">
        <f>[1]Grp_4!K26</f>
        <v>0</v>
      </c>
      <c r="M24" s="20">
        <f>[1]Grp_4!L26</f>
        <v>0</v>
      </c>
      <c r="N24" s="20">
        <f>[1]Grp_4!M26</f>
        <v>0</v>
      </c>
      <c r="O24" s="20">
        <f>[1]Grp_4!N26</f>
        <v>0</v>
      </c>
      <c r="P24" s="20">
        <f>[1]Grp_4!O26</f>
        <v>0</v>
      </c>
      <c r="Q24" s="20">
        <f>[1]Grp_4!P26</f>
        <v>0</v>
      </c>
      <c r="R24" s="20">
        <f>[1]Grp_4!Q26</f>
        <v>0</v>
      </c>
      <c r="S24" s="21">
        <f>[1]Grp_4!R22</f>
        <v>0</v>
      </c>
      <c r="T24" s="9"/>
      <c r="U24" s="9"/>
      <c r="V24" s="10"/>
    </row>
    <row r="25" spans="1:22">
      <c r="A25" s="2">
        <v>23</v>
      </c>
      <c r="B25" s="17" t="str">
        <f>[1]Grp_4!A24</f>
        <v>1138B</v>
      </c>
      <c r="C25" s="30" t="str">
        <f>[1]Grp_4!B24</f>
        <v>Eagle Engineering</v>
      </c>
      <c r="D25" s="18" t="str">
        <f>[1]Grp_4!C24</f>
        <v>Chaminade College Preparatory</v>
      </c>
      <c r="E25" s="31" t="str">
        <f>[1]Grp_4!D24</f>
        <v>West Hills, California, United States</v>
      </c>
      <c r="F25" s="34">
        <f>[1]Grp_4!E24</f>
        <v>311</v>
      </c>
      <c r="G25" s="19">
        <f>[1]Grp_4!F24</f>
        <v>151</v>
      </c>
      <c r="H25" s="37">
        <f>[1]Grp_4!G24</f>
        <v>138.36699999999999</v>
      </c>
      <c r="I25" s="38">
        <f>[1]Grp_4!H24</f>
        <v>138.36699999999999</v>
      </c>
      <c r="J25" s="20">
        <f>[1]Grp_4!I24</f>
        <v>55.503399999999999</v>
      </c>
      <c r="K25" s="20">
        <f>[1]Grp_4!J24</f>
        <v>114.462</v>
      </c>
      <c r="L25" s="20">
        <f>[1]Grp_4!K24</f>
        <v>76.767399999999995</v>
      </c>
      <c r="M25" s="20">
        <f>[1]Grp_4!L24</f>
        <v>85.537400000000005</v>
      </c>
      <c r="N25" s="20">
        <f>[1]Grp_4!M24</f>
        <v>0</v>
      </c>
      <c r="O25" s="20">
        <f>[1]Grp_4!N24</f>
        <v>0</v>
      </c>
      <c r="P25" s="20">
        <f>[1]Grp_4!O24</f>
        <v>0</v>
      </c>
      <c r="Q25" s="20">
        <f>[1]Grp_4!P24</f>
        <v>0</v>
      </c>
      <c r="R25" s="20">
        <f>[1]Grp_4!Q24</f>
        <v>0</v>
      </c>
      <c r="S25" s="21">
        <f>[1]Grp_4!R23</f>
        <v>0</v>
      </c>
      <c r="T25" s="9"/>
      <c r="U25" s="9"/>
      <c r="V25" s="10"/>
    </row>
    <row r="26" spans="1:22">
      <c r="A26" s="2">
        <v>95</v>
      </c>
      <c r="B26" s="17" t="str">
        <f>[1]Grp_4!A96</f>
        <v>9898A</v>
      </c>
      <c r="C26" s="30" t="str">
        <f>[1]Grp_4!B96</f>
        <v>Scorpion Robotics</v>
      </c>
      <c r="D26" s="18" t="str">
        <f>[1]Grp_4!C96</f>
        <v>Scorpion Engineering Hesperia High School</v>
      </c>
      <c r="E26" s="31" t="str">
        <f>[1]Grp_4!D96</f>
        <v>Hesperia, California, United States</v>
      </c>
      <c r="F26" s="34">
        <f>[1]Grp_4!E96</f>
        <v>319</v>
      </c>
      <c r="G26" s="19">
        <f>[1]Grp_4!F96</f>
        <v>215</v>
      </c>
      <c r="H26" s="37">
        <f>[1]Grp_4!G96</f>
        <v>136.392</v>
      </c>
      <c r="I26" s="38">
        <f>[1]Grp_4!H96</f>
        <v>125.434</v>
      </c>
      <c r="J26" s="20">
        <f>[1]Grp_4!I96</f>
        <v>136.392</v>
      </c>
      <c r="K26" s="20">
        <f>[1]Grp_4!J96</f>
        <v>97.033100000000005</v>
      </c>
      <c r="L26" s="20">
        <f>[1]Grp_4!K96</f>
        <v>90.555499999999995</v>
      </c>
      <c r="M26" s="20">
        <f>[1]Grp_4!L96</f>
        <v>70.032700000000006</v>
      </c>
      <c r="N26" s="20">
        <f>[1]Grp_4!M96</f>
        <v>0</v>
      </c>
      <c r="O26" s="20">
        <f>[1]Grp_4!N96</f>
        <v>0</v>
      </c>
      <c r="P26" s="20">
        <f>[1]Grp_4!O96</f>
        <v>0</v>
      </c>
      <c r="Q26" s="20">
        <f>[1]Grp_4!P96</f>
        <v>0</v>
      </c>
      <c r="R26" s="20">
        <f>[1]Grp_4!Q96</f>
        <v>0</v>
      </c>
      <c r="S26" s="21">
        <f>[1]Grp_4!R24</f>
        <v>0</v>
      </c>
      <c r="T26" s="9"/>
      <c r="U26" s="9"/>
      <c r="V26" s="10"/>
    </row>
    <row r="27" spans="1:22">
      <c r="A27" s="2">
        <v>16</v>
      </c>
      <c r="B27" s="17" t="str">
        <f>[1]Grp_4!A17</f>
        <v>675E</v>
      </c>
      <c r="C27" s="30" t="str">
        <f>[1]Grp_4!B17</f>
        <v>RoboDragons E</v>
      </c>
      <c r="D27" s="18" t="str">
        <f>[1]Grp_4!C17</f>
        <v>Gwinnett School of Mathem, Science, and Technology</v>
      </c>
      <c r="E27" s="31" t="str">
        <f>[1]Grp_4!D17</f>
        <v>Lawrenceville, Georgia, United States</v>
      </c>
      <c r="F27" s="34">
        <f>[1]Grp_4!E17</f>
        <v>286</v>
      </c>
      <c r="G27" s="19">
        <f>[1]Grp_4!F17</f>
        <v>186</v>
      </c>
      <c r="H27" s="37">
        <f>[1]Grp_4!G17</f>
        <v>135.05600000000001</v>
      </c>
      <c r="I27" s="38">
        <f>[1]Grp_4!H17</f>
        <v>132.839</v>
      </c>
      <c r="J27" s="20">
        <f>[1]Grp_4!I17</f>
        <v>58.1783</v>
      </c>
      <c r="K27" s="20">
        <f>[1]Grp_4!J17</f>
        <v>135.05600000000001</v>
      </c>
      <c r="L27" s="20">
        <f>[1]Grp_4!K17</f>
        <v>123.102</v>
      </c>
      <c r="M27" s="20">
        <f>[1]Grp_4!L17</f>
        <v>121.997</v>
      </c>
      <c r="N27" s="20">
        <f>[1]Grp_4!M17</f>
        <v>95.193299999999994</v>
      </c>
      <c r="O27" s="20">
        <f>[1]Grp_4!N17</f>
        <v>0</v>
      </c>
      <c r="P27" s="20">
        <f>[1]Grp_4!O17</f>
        <v>0</v>
      </c>
      <c r="Q27" s="20">
        <f>[1]Grp_4!P17</f>
        <v>0</v>
      </c>
      <c r="R27" s="20">
        <f>[1]Grp_4!Q17</f>
        <v>0</v>
      </c>
      <c r="S27" s="21">
        <f>[1]Grp_4!R25</f>
        <v>0</v>
      </c>
      <c r="T27" s="9"/>
      <c r="U27" s="9"/>
      <c r="V27" s="10"/>
    </row>
    <row r="28" spans="1:22">
      <c r="A28" s="2">
        <v>89</v>
      </c>
      <c r="B28" s="17" t="str">
        <f>[1]Grp_4!A90</f>
        <v>9019A</v>
      </c>
      <c r="C28" s="30" t="str">
        <f>[1]Grp_4!B90</f>
        <v>Atomic Wolf Pack</v>
      </c>
      <c r="D28" s="18" t="str">
        <f>[1]Grp_4!C90</f>
        <v>Roosevelt High School</v>
      </c>
      <c r="E28" s="31" t="str">
        <f>[1]Grp_4!D90</f>
        <v>Johnstown, Colorado, United States</v>
      </c>
      <c r="F28" s="34">
        <f>[1]Grp_4!E90</f>
        <v>221</v>
      </c>
      <c r="G28" s="19">
        <f>[1]Grp_4!F90</f>
        <v>145</v>
      </c>
      <c r="H28" s="37">
        <f>[1]Grp_4!G90</f>
        <v>130.953</v>
      </c>
      <c r="I28" s="38">
        <f>[1]Grp_4!H90</f>
        <v>79.619900000000001</v>
      </c>
      <c r="J28" s="20">
        <f>[1]Grp_4!I90</f>
        <v>83.852400000000003</v>
      </c>
      <c r="K28" s="20">
        <f>[1]Grp_4!J90</f>
        <v>48.768300000000004</v>
      </c>
      <c r="L28" s="20">
        <f>[1]Grp_4!K90</f>
        <v>113.13200000000001</v>
      </c>
      <c r="M28" s="20">
        <f>[1]Grp_4!L90</f>
        <v>130.953</v>
      </c>
      <c r="N28" s="20">
        <f>[1]Grp_4!M90</f>
        <v>101.416</v>
      </c>
      <c r="O28" s="20">
        <f>[1]Grp_4!N90</f>
        <v>57.374899999999997</v>
      </c>
      <c r="P28" s="20">
        <f>[1]Grp_4!O90</f>
        <v>0</v>
      </c>
      <c r="Q28" s="20">
        <f>[1]Grp_4!P90</f>
        <v>0</v>
      </c>
      <c r="R28" s="20">
        <f>[1]Grp_4!Q90</f>
        <v>0</v>
      </c>
      <c r="S28" s="21">
        <f>[1]Grp_4!R26</f>
        <v>0</v>
      </c>
      <c r="T28" s="9"/>
      <c r="U28" s="9"/>
      <c r="V28" s="10"/>
    </row>
    <row r="29" spans="1:22">
      <c r="A29" s="2">
        <v>42</v>
      </c>
      <c r="B29" s="17" t="str">
        <f>[1]Grp_4!A43</f>
        <v>3309B</v>
      </c>
      <c r="C29" s="30" t="str">
        <f>[1]Grp_4!B43</f>
        <v>Friarbots B</v>
      </c>
      <c r="D29" s="18" t="str">
        <f>[1]Grp_4!C43</f>
        <v>Servite High School</v>
      </c>
      <c r="E29" s="31" t="str">
        <f>[1]Grp_4!D43</f>
        <v>Anaheim, California, United States</v>
      </c>
      <c r="F29" s="34">
        <f>[1]Grp_4!E43</f>
        <v>198</v>
      </c>
      <c r="G29" s="19">
        <f>[1]Grp_4!F43</f>
        <v>147</v>
      </c>
      <c r="H29" s="37">
        <f>[1]Grp_4!G43</f>
        <v>130.304</v>
      </c>
      <c r="I29" s="38">
        <f>[1]Grp_4!H43</f>
        <v>91.408100000000005</v>
      </c>
      <c r="J29" s="20">
        <f>[1]Grp_4!I43</f>
        <v>130.304</v>
      </c>
      <c r="K29" s="20">
        <f>[1]Grp_4!J43</f>
        <v>87.3232</v>
      </c>
      <c r="L29" s="20">
        <f>[1]Grp_4!K43</f>
        <v>103.559</v>
      </c>
      <c r="M29" s="20">
        <f>[1]Grp_4!L43</f>
        <v>119.42400000000001</v>
      </c>
      <c r="N29" s="20">
        <f>[1]Grp_4!M43</f>
        <v>40.173299999999998</v>
      </c>
      <c r="O29" s="20">
        <f>[1]Grp_4!N43</f>
        <v>52.271799999999999</v>
      </c>
      <c r="P29" s="20">
        <f>[1]Grp_4!O43</f>
        <v>34.406999999999996</v>
      </c>
      <c r="Q29" s="20">
        <f>[1]Grp_4!P43</f>
        <v>0</v>
      </c>
      <c r="R29" s="20">
        <f>[1]Grp_4!Q43</f>
        <v>0</v>
      </c>
      <c r="S29" s="21">
        <f>[1]Grp_4!R27</f>
        <v>115.622</v>
      </c>
      <c r="T29" s="9"/>
      <c r="U29" s="9"/>
      <c r="V29" s="10"/>
    </row>
    <row r="30" spans="1:22">
      <c r="A30" s="2">
        <v>56</v>
      </c>
      <c r="B30" s="17" t="str">
        <f>[1]Grp_4!A57</f>
        <v>5267B</v>
      </c>
      <c r="C30" s="30" t="str">
        <f>[1]Grp_4!B57</f>
        <v>Skull &amp; Bones</v>
      </c>
      <c r="D30" s="18" t="str">
        <f>[1]Grp_4!C57</f>
        <v>Braden River High School</v>
      </c>
      <c r="E30" s="31" t="str">
        <f>[1]Grp_4!D57</f>
        <v>Bradenton, Florida, United States</v>
      </c>
      <c r="F30" s="34">
        <f>[1]Grp_4!E57</f>
        <v>272</v>
      </c>
      <c r="G30" s="19">
        <f>[1]Grp_4!F57</f>
        <v>287</v>
      </c>
      <c r="H30" s="37">
        <f>[1]Grp_4!G57</f>
        <v>130.21</v>
      </c>
      <c r="I30" s="38">
        <f>[1]Grp_4!H57</f>
        <v>0</v>
      </c>
      <c r="J30" s="20">
        <f>[1]Grp_4!I57</f>
        <v>94.375200000000007</v>
      </c>
      <c r="K30" s="20">
        <f>[1]Grp_4!J57</f>
        <v>106.788</v>
      </c>
      <c r="L30" s="20">
        <f>[1]Grp_4!K57</f>
        <v>113.779</v>
      </c>
      <c r="M30" s="20">
        <f>[1]Grp_4!L57</f>
        <v>130.21</v>
      </c>
      <c r="N30" s="20">
        <f>[1]Grp_4!M57</f>
        <v>124.337</v>
      </c>
      <c r="O30" s="20">
        <f>[1]Grp_4!N57</f>
        <v>112.42400000000001</v>
      </c>
      <c r="P30" s="20">
        <f>[1]Grp_4!O57</f>
        <v>0</v>
      </c>
      <c r="Q30" s="20">
        <f>[1]Grp_4!P57</f>
        <v>0</v>
      </c>
      <c r="R30" s="20">
        <f>[1]Grp_4!Q57</f>
        <v>0</v>
      </c>
      <c r="S30" s="21">
        <f>[1]Grp_4!R28</f>
        <v>0</v>
      </c>
      <c r="T30" s="9"/>
      <c r="U30" s="9"/>
      <c r="V30" s="10"/>
    </row>
    <row r="31" spans="1:22">
      <c r="A31" s="2">
        <v>62</v>
      </c>
      <c r="B31" s="17" t="str">
        <f>[1]Grp_4!A63</f>
        <v>5839A</v>
      </c>
      <c r="C31" s="30" t="str">
        <f>[1]Grp_4!B63</f>
        <v>Tech 1</v>
      </c>
      <c r="D31" s="18" t="str">
        <f>[1]Grp_4!C63</f>
        <v>Eastern Technical High School</v>
      </c>
      <c r="E31" s="31" t="str">
        <f>[1]Grp_4!D63</f>
        <v>Baltimore, Maryland, United States</v>
      </c>
      <c r="F31" s="34">
        <f>[1]Grp_4!E63</f>
        <v>337</v>
      </c>
      <c r="G31" s="19">
        <f>[1]Grp_4!F63</f>
        <v>315</v>
      </c>
      <c r="H31" s="37">
        <f>[1]Grp_4!G63</f>
        <v>128.351</v>
      </c>
      <c r="I31" s="38">
        <f>[1]Grp_4!H63</f>
        <v>128.351</v>
      </c>
      <c r="J31" s="20">
        <f>[1]Grp_4!I63</f>
        <v>101.30500000000001</v>
      </c>
      <c r="K31" s="20">
        <f>[1]Grp_4!J63</f>
        <v>89.174000000000007</v>
      </c>
      <c r="L31" s="20">
        <f>[1]Grp_4!K63</f>
        <v>77.369200000000006</v>
      </c>
      <c r="M31" s="20">
        <f>[1]Grp_4!L63</f>
        <v>84.855099999999993</v>
      </c>
      <c r="N31" s="20">
        <f>[1]Grp_4!M63</f>
        <v>90.146600000000007</v>
      </c>
      <c r="O31" s="20">
        <f>[1]Grp_4!N63</f>
        <v>77.812399999999997</v>
      </c>
      <c r="P31" s="20">
        <f>[1]Grp_4!O63</f>
        <v>27.382999999999999</v>
      </c>
      <c r="Q31" s="20">
        <f>[1]Grp_4!P63</f>
        <v>0</v>
      </c>
      <c r="R31" s="20">
        <f>[1]Grp_4!Q63</f>
        <v>0</v>
      </c>
      <c r="S31" s="21">
        <f>[1]Grp_4!R29</f>
        <v>0</v>
      </c>
      <c r="T31" s="9"/>
      <c r="U31" s="9"/>
      <c r="V31" s="10"/>
    </row>
    <row r="32" spans="1:22">
      <c r="A32" s="2">
        <v>8</v>
      </c>
      <c r="B32" s="17" t="str">
        <f>[1]Grp_4!A9</f>
        <v>224</v>
      </c>
      <c r="C32" s="30" t="str">
        <f>[1]Grp_4!B9</f>
        <v>Crew 224 Sharks</v>
      </c>
      <c r="D32" s="18" t="str">
        <f>[1]Grp_4!C9</f>
        <v>Crew 224</v>
      </c>
      <c r="E32" s="31" t="str">
        <f>[1]Grp_4!D9</f>
        <v>Malibu, California, United States</v>
      </c>
      <c r="F32" s="34">
        <f>[1]Grp_4!E9</f>
        <v>270</v>
      </c>
      <c r="G32" s="19">
        <f>[1]Grp_4!F9</f>
        <v>91</v>
      </c>
      <c r="H32" s="35">
        <f>[1]Grp_4!G9</f>
        <v>127.974</v>
      </c>
      <c r="I32" s="20">
        <f>[1]Grp_4!H9</f>
        <v>127.974</v>
      </c>
      <c r="J32" s="20">
        <f>[1]Grp_4!I9</f>
        <v>64.587199999999996</v>
      </c>
      <c r="K32" s="20">
        <f>[1]Grp_4!J9</f>
        <v>82.492999999999995</v>
      </c>
      <c r="L32" s="20">
        <f>[1]Grp_4!K9</f>
        <v>20.435199999999998</v>
      </c>
      <c r="M32" s="20">
        <f>[1]Grp_4!L9</f>
        <v>0</v>
      </c>
      <c r="N32" s="20">
        <f>[1]Grp_4!M9</f>
        <v>0</v>
      </c>
      <c r="O32" s="20">
        <f>[1]Grp_4!N9</f>
        <v>0</v>
      </c>
      <c r="P32" s="20">
        <f>[1]Grp_4!O9</f>
        <v>0</v>
      </c>
      <c r="Q32" s="20">
        <f>[1]Grp_4!P9</f>
        <v>0</v>
      </c>
      <c r="R32" s="20">
        <f>[1]Grp_4!Q9</f>
        <v>0</v>
      </c>
      <c r="S32" s="21">
        <f>[1]Grp_4!R30</f>
        <v>0</v>
      </c>
      <c r="T32" s="9"/>
      <c r="U32" s="9"/>
      <c r="V32" s="10"/>
    </row>
    <row r="33" spans="1:22">
      <c r="A33" s="2">
        <v>26</v>
      </c>
      <c r="B33" s="17" t="str">
        <f>[1]Grp_4!A27</f>
        <v>1390</v>
      </c>
      <c r="C33" s="30" t="str">
        <f>[1]Grp_4!B27</f>
        <v>Omicron Theta</v>
      </c>
      <c r="D33" s="18" t="str">
        <f>[1]Grp_4!C27</f>
        <v>Galactic LTD Robotics</v>
      </c>
      <c r="E33" s="31" t="str">
        <f>[1]Grp_4!D27</f>
        <v>El Segundo, California, United States</v>
      </c>
      <c r="F33" s="34">
        <f>[1]Grp_4!E27</f>
        <v>305</v>
      </c>
      <c r="G33" s="19">
        <f>[1]Grp_4!F27</f>
        <v>115</v>
      </c>
      <c r="H33" s="37">
        <f>[1]Grp_4!G27</f>
        <v>127.878</v>
      </c>
      <c r="I33" s="38">
        <f>[1]Grp_4!H27</f>
        <v>127.878</v>
      </c>
      <c r="J33" s="20">
        <f>[1]Grp_4!I27</f>
        <v>101.205</v>
      </c>
      <c r="K33" s="20">
        <f>[1]Grp_4!J27</f>
        <v>63.671399999999998</v>
      </c>
      <c r="L33" s="20">
        <f>[1]Grp_4!K27</f>
        <v>77.600700000000003</v>
      </c>
      <c r="M33" s="20">
        <f>[1]Grp_4!L27</f>
        <v>69.152199999999993</v>
      </c>
      <c r="N33" s="20">
        <f>[1]Grp_4!M27</f>
        <v>106.81100000000001</v>
      </c>
      <c r="O33" s="20">
        <f>[1]Grp_4!N27</f>
        <v>121.56399999999999</v>
      </c>
      <c r="P33" s="20">
        <f>[1]Grp_4!O27</f>
        <v>67.6995</v>
      </c>
      <c r="Q33" s="20">
        <f>[1]Grp_4!P27</f>
        <v>59.13</v>
      </c>
      <c r="R33" s="20">
        <f>[1]Grp_4!Q27</f>
        <v>88.253799999999998</v>
      </c>
      <c r="S33" s="21">
        <f>[1]Grp_4!R31</f>
        <v>0</v>
      </c>
      <c r="T33" s="9"/>
      <c r="U33" s="9"/>
      <c r="V33" s="10"/>
    </row>
    <row r="34" spans="1:22">
      <c r="A34" s="2">
        <v>83</v>
      </c>
      <c r="B34" s="17" t="str">
        <f>[1]Grp_4!A84</f>
        <v>8370B</v>
      </c>
      <c r="C34" s="30" t="str">
        <f>[1]Grp_4!B84</f>
        <v>Green Machine</v>
      </c>
      <c r="D34" s="18" t="str">
        <f>[1]Grp_4!C84</f>
        <v>Notre Dame High School</v>
      </c>
      <c r="E34" s="31" t="str">
        <f>[1]Grp_4!D84</f>
        <v>West Haven, Connecticut, United States</v>
      </c>
      <c r="F34" s="34">
        <f>[1]Grp_4!E84</f>
        <v>225</v>
      </c>
      <c r="G34" s="19">
        <f>[1]Grp_4!F84</f>
        <v>16</v>
      </c>
      <c r="H34" s="37">
        <f>[1]Grp_4!G84</f>
        <v>125.983</v>
      </c>
      <c r="I34" s="38">
        <f>[1]Grp_4!H84</f>
        <v>125.983</v>
      </c>
      <c r="J34" s="20">
        <f>[1]Grp_4!I84</f>
        <v>110.928</v>
      </c>
      <c r="K34" s="20">
        <f>[1]Grp_4!J84</f>
        <v>87.5471</v>
      </c>
      <c r="L34" s="20">
        <f>[1]Grp_4!K84</f>
        <v>113.033</v>
      </c>
      <c r="M34" s="20">
        <f>[1]Grp_4!L84</f>
        <v>84.570899999999995</v>
      </c>
      <c r="N34" s="20">
        <f>[1]Grp_4!M84</f>
        <v>0</v>
      </c>
      <c r="O34" s="20">
        <f>[1]Grp_4!N84</f>
        <v>0</v>
      </c>
      <c r="P34" s="20">
        <f>[1]Grp_4!O84</f>
        <v>0</v>
      </c>
      <c r="Q34" s="20">
        <f>[1]Grp_4!P84</f>
        <v>0</v>
      </c>
      <c r="R34" s="20">
        <f>[1]Grp_4!Q84</f>
        <v>0</v>
      </c>
      <c r="S34" s="21">
        <f>[1]Grp_4!R32</f>
        <v>0</v>
      </c>
      <c r="T34" s="9"/>
      <c r="U34" s="9"/>
      <c r="V34" s="10"/>
    </row>
    <row r="35" spans="1:22">
      <c r="A35" s="2">
        <v>57</v>
      </c>
      <c r="B35" s="17" t="str">
        <f>[1]Grp_4!A58</f>
        <v>5408D</v>
      </c>
      <c r="C35" s="30" t="str">
        <f>[1]Grp_4!B58</f>
        <v>Sachse Colossus</v>
      </c>
      <c r="D35" s="18" t="str">
        <f>[1]Grp_4!C58</f>
        <v>Sachse High School</v>
      </c>
      <c r="E35" s="31" t="str">
        <f>[1]Grp_4!D58</f>
        <v>Sachse, Texas, United States</v>
      </c>
      <c r="F35" s="34">
        <f>[1]Grp_4!E58</f>
        <v>124</v>
      </c>
      <c r="G35" s="19">
        <f>[1]Grp_4!F58</f>
        <v>0</v>
      </c>
      <c r="H35" s="37">
        <f>[1]Grp_4!G58</f>
        <v>124.947</v>
      </c>
      <c r="I35" s="38">
        <f>[1]Grp_4!H58</f>
        <v>65.326700000000002</v>
      </c>
      <c r="J35" s="20">
        <f>[1]Grp_4!I58</f>
        <v>65.696899999999999</v>
      </c>
      <c r="K35" s="20">
        <f>[1]Grp_4!J58</f>
        <v>124.947</v>
      </c>
      <c r="L35" s="20">
        <f>[1]Grp_4!K58</f>
        <v>88.014099999999999</v>
      </c>
      <c r="M35" s="20">
        <f>[1]Grp_4!L58</f>
        <v>52.4026</v>
      </c>
      <c r="N35" s="20">
        <f>[1]Grp_4!M58</f>
        <v>105.53</v>
      </c>
      <c r="O35" s="20">
        <f>[1]Grp_4!N58</f>
        <v>0</v>
      </c>
      <c r="P35" s="20">
        <f>[1]Grp_4!O58</f>
        <v>0</v>
      </c>
      <c r="Q35" s="20">
        <f>[1]Grp_4!P58</f>
        <v>0</v>
      </c>
      <c r="R35" s="20">
        <f>[1]Grp_4!Q58</f>
        <v>0</v>
      </c>
      <c r="S35" s="21">
        <f>[1]Grp_4!R33</f>
        <v>0</v>
      </c>
      <c r="T35" s="9"/>
      <c r="U35" s="9"/>
      <c r="V35" s="10"/>
    </row>
    <row r="36" spans="1:22">
      <c r="A36" s="2">
        <v>35</v>
      </c>
      <c r="B36" s="17" t="str">
        <f>[1]Grp_4!A36</f>
        <v>2353A</v>
      </c>
      <c r="C36" s="30" t="str">
        <f>[1]Grp_4!B36</f>
        <v>Esc. Bellas Artes HS ADV</v>
      </c>
      <c r="D36" s="18" t="str">
        <f>[1]Grp_4!C36</f>
        <v>Bellas Artes</v>
      </c>
      <c r="E36" s="31" t="str">
        <f>[1]Grp_4!D36</f>
        <v>Humacao, Not Applicable or Not Listed, Puerto Rico</v>
      </c>
      <c r="F36" s="34">
        <f>[1]Grp_4!E36</f>
        <v>106</v>
      </c>
      <c r="G36" s="19">
        <f>[1]Grp_4!F36</f>
        <v>145</v>
      </c>
      <c r="H36" s="37">
        <f>[1]Grp_4!G36</f>
        <v>124.336</v>
      </c>
      <c r="I36" s="38">
        <f>[1]Grp_4!H36</f>
        <v>112.276</v>
      </c>
      <c r="J36" s="20">
        <f>[1]Grp_4!I36</f>
        <v>124.336</v>
      </c>
      <c r="K36" s="20">
        <f>[1]Grp_4!J36</f>
        <v>67.242199999999997</v>
      </c>
      <c r="L36" s="20">
        <f>[1]Grp_4!K36</f>
        <v>59.172199999999997</v>
      </c>
      <c r="M36" s="20">
        <f>[1]Grp_4!L36</f>
        <v>0</v>
      </c>
      <c r="N36" s="20">
        <f>[1]Grp_4!M36</f>
        <v>0</v>
      </c>
      <c r="O36" s="20">
        <f>[1]Grp_4!N36</f>
        <v>0</v>
      </c>
      <c r="P36" s="20">
        <f>[1]Grp_4!O36</f>
        <v>0</v>
      </c>
      <c r="Q36" s="20">
        <f>[1]Grp_4!P36</f>
        <v>0</v>
      </c>
      <c r="R36" s="20">
        <f>[1]Grp_4!Q36</f>
        <v>0</v>
      </c>
      <c r="S36" s="21">
        <f>[1]Grp_4!R34</f>
        <v>0</v>
      </c>
      <c r="T36" s="9"/>
      <c r="U36" s="9"/>
      <c r="V36" s="10"/>
    </row>
    <row r="37" spans="1:22">
      <c r="A37" s="2">
        <v>47</v>
      </c>
      <c r="B37" s="17" t="str">
        <f>[1]Grp_4!A48</f>
        <v>4149C</v>
      </c>
      <c r="C37" s="30" t="str">
        <f>[1]Grp_4!B48</f>
        <v>Iron Chargers (C Team)</v>
      </c>
      <c r="D37" s="18" t="str">
        <f>[1]Grp_4!C48</f>
        <v>Grygla Public School Robotics</v>
      </c>
      <c r="E37" s="31" t="str">
        <f>[1]Grp_4!D48</f>
        <v>Grygla, Minnesota, United States</v>
      </c>
      <c r="F37" s="34">
        <f>[1]Grp_4!E48</f>
        <v>248</v>
      </c>
      <c r="G37" s="19">
        <f>[1]Grp_4!F48</f>
        <v>223</v>
      </c>
      <c r="H37" s="37">
        <f>[1]Grp_4!G48</f>
        <v>123.238</v>
      </c>
      <c r="I37" s="38">
        <f>[1]Grp_4!H48</f>
        <v>115.146</v>
      </c>
      <c r="J37" s="20">
        <f>[1]Grp_4!I48</f>
        <v>105.25700000000001</v>
      </c>
      <c r="K37" s="20">
        <f>[1]Grp_4!J48</f>
        <v>123.238</v>
      </c>
      <c r="L37" s="20">
        <f>[1]Grp_4!K48</f>
        <v>85.581000000000003</v>
      </c>
      <c r="M37" s="20">
        <f>[1]Grp_4!L48</f>
        <v>0</v>
      </c>
      <c r="N37" s="20">
        <f>[1]Grp_4!M48</f>
        <v>0</v>
      </c>
      <c r="O37" s="20">
        <f>[1]Grp_4!N48</f>
        <v>0</v>
      </c>
      <c r="P37" s="20">
        <f>[1]Grp_4!O48</f>
        <v>0</v>
      </c>
      <c r="Q37" s="20">
        <f>[1]Grp_4!P48</f>
        <v>0</v>
      </c>
      <c r="R37" s="20">
        <f>[1]Grp_4!Q48</f>
        <v>0</v>
      </c>
      <c r="S37" s="21">
        <f>[1]Grp_4!R35</f>
        <v>0</v>
      </c>
      <c r="T37" s="9"/>
      <c r="U37" s="9"/>
      <c r="V37" s="10"/>
    </row>
    <row r="38" spans="1:22">
      <c r="A38" s="2">
        <v>78</v>
      </c>
      <c r="B38" s="17" t="str">
        <f>[1]Grp_4!A79</f>
        <v>7862F</v>
      </c>
      <c r="C38" s="30" t="str">
        <f>[1]Grp_4!B79</f>
        <v>Backwards Shirts</v>
      </c>
      <c r="D38" s="18" t="str">
        <f>[1]Grp_4!C79</f>
        <v>Hesston High School</v>
      </c>
      <c r="E38" s="31" t="str">
        <f>[1]Grp_4!D79</f>
        <v>Hesston, Kansas, United States</v>
      </c>
      <c r="F38" s="34">
        <f>[1]Grp_4!E79</f>
        <v>57</v>
      </c>
      <c r="G38" s="19">
        <f>[1]Grp_4!F79</f>
        <v>0</v>
      </c>
      <c r="H38" s="37">
        <f>[1]Grp_4!G79</f>
        <v>121.015</v>
      </c>
      <c r="I38" s="38">
        <f>[1]Grp_4!H79</f>
        <v>121.015</v>
      </c>
      <c r="J38" s="20">
        <f>[1]Grp_4!I79</f>
        <v>76.354900000000001</v>
      </c>
      <c r="K38" s="20">
        <f>[1]Grp_4!J79</f>
        <v>0</v>
      </c>
      <c r="L38" s="20">
        <f>[1]Grp_4!K79</f>
        <v>46.033900000000003</v>
      </c>
      <c r="M38" s="20">
        <f>[1]Grp_4!L79</f>
        <v>83.232200000000006</v>
      </c>
      <c r="N38" s="20">
        <f>[1]Grp_4!M79</f>
        <v>0</v>
      </c>
      <c r="O38" s="20">
        <f>[1]Grp_4!N79</f>
        <v>0</v>
      </c>
      <c r="P38" s="20">
        <f>[1]Grp_4!O79</f>
        <v>0</v>
      </c>
      <c r="Q38" s="20">
        <f>[1]Grp_4!P79</f>
        <v>0</v>
      </c>
      <c r="R38" s="20">
        <f>[1]Grp_4!Q79</f>
        <v>0</v>
      </c>
      <c r="S38" s="21">
        <f>[1]Grp_4!R36</f>
        <v>0</v>
      </c>
      <c r="T38" s="9"/>
      <c r="U38" s="9"/>
      <c r="V38" s="10"/>
    </row>
    <row r="39" spans="1:22">
      <c r="A39" s="2">
        <v>37</v>
      </c>
      <c r="B39" s="17" t="str">
        <f>[1]Grp_4!A38</f>
        <v>2581B</v>
      </c>
      <c r="C39" s="30" t="str">
        <f>[1]Grp_4!B38</f>
        <v>BCAMSC Phoenix Robotics</v>
      </c>
      <c r="D39" s="18" t="str">
        <f>[1]Grp_4!C38</f>
        <v>Michigan State University College of Engineering</v>
      </c>
      <c r="E39" s="31" t="str">
        <f>[1]Grp_4!D38</f>
        <v>East Lansing, Michigan, United States</v>
      </c>
      <c r="F39" s="34">
        <f>[1]Grp_4!E38</f>
        <v>189</v>
      </c>
      <c r="G39" s="19">
        <f>[1]Grp_4!F38</f>
        <v>191</v>
      </c>
      <c r="H39" s="37">
        <f>[1]Grp_4!G38</f>
        <v>119.92100000000001</v>
      </c>
      <c r="I39" s="38">
        <f>[1]Grp_4!H38</f>
        <v>57.108899999999998</v>
      </c>
      <c r="J39" s="20">
        <f>[1]Grp_4!I38</f>
        <v>119.92100000000001</v>
      </c>
      <c r="K39" s="20">
        <f>[1]Grp_4!J38</f>
        <v>72.741699999999994</v>
      </c>
      <c r="L39" s="20">
        <f>[1]Grp_4!K38</f>
        <v>0</v>
      </c>
      <c r="M39" s="20">
        <f>[1]Grp_4!L38</f>
        <v>0</v>
      </c>
      <c r="N39" s="20">
        <f>[1]Grp_4!M38</f>
        <v>0</v>
      </c>
      <c r="O39" s="20">
        <f>[1]Grp_4!N38</f>
        <v>0</v>
      </c>
      <c r="P39" s="20">
        <f>[1]Grp_4!O38</f>
        <v>0</v>
      </c>
      <c r="Q39" s="20">
        <f>[1]Grp_4!P38</f>
        <v>0</v>
      </c>
      <c r="R39" s="20">
        <f>[1]Grp_4!Q38</f>
        <v>0</v>
      </c>
      <c r="S39" s="21">
        <f>[1]Grp_4!R37</f>
        <v>0</v>
      </c>
      <c r="T39" s="9"/>
      <c r="U39" s="9"/>
      <c r="V39" s="10"/>
    </row>
    <row r="40" spans="1:22">
      <c r="A40" s="2">
        <v>46</v>
      </c>
      <c r="B40" s="17" t="str">
        <f>[1]Grp_4!A47</f>
        <v>4112A</v>
      </c>
      <c r="C40" s="30" t="str">
        <f>[1]Grp_4!B47</f>
        <v>Blue Devils</v>
      </c>
      <c r="D40" s="18" t="str">
        <f>[1]Grp_4!C47</f>
        <v>Zanesville High School</v>
      </c>
      <c r="E40" s="31" t="str">
        <f>[1]Grp_4!D47</f>
        <v>Zanesville, Ohio, United States</v>
      </c>
      <c r="F40" s="34">
        <f>[1]Grp_4!E47</f>
        <v>230</v>
      </c>
      <c r="G40" s="19">
        <f>[1]Grp_4!F47</f>
        <v>127</v>
      </c>
      <c r="H40" s="37">
        <f>[1]Grp_4!G47</f>
        <v>118.90300000000001</v>
      </c>
      <c r="I40" s="38">
        <f>[1]Grp_4!H47</f>
        <v>46.2498</v>
      </c>
      <c r="J40" s="20">
        <f>[1]Grp_4!I47</f>
        <v>58.603299999999997</v>
      </c>
      <c r="K40" s="20">
        <f>[1]Grp_4!J47</f>
        <v>0</v>
      </c>
      <c r="L40" s="20">
        <f>[1]Grp_4!K47</f>
        <v>118.90300000000001</v>
      </c>
      <c r="M40" s="20">
        <f>[1]Grp_4!L47</f>
        <v>86.547399999999996</v>
      </c>
      <c r="N40" s="20">
        <f>[1]Grp_4!M47</f>
        <v>0</v>
      </c>
      <c r="O40" s="20">
        <f>[1]Grp_4!N47</f>
        <v>0</v>
      </c>
      <c r="P40" s="20">
        <f>[1]Grp_4!O47</f>
        <v>0</v>
      </c>
      <c r="Q40" s="20">
        <f>[1]Grp_4!P47</f>
        <v>0</v>
      </c>
      <c r="R40" s="20">
        <f>[1]Grp_4!Q47</f>
        <v>0</v>
      </c>
      <c r="S40" s="21">
        <f>[1]Grp_4!R38</f>
        <v>0</v>
      </c>
      <c r="T40" s="9"/>
      <c r="U40" s="9"/>
      <c r="V40" s="10"/>
    </row>
    <row r="41" spans="1:22">
      <c r="A41" s="2">
        <v>9</v>
      </c>
      <c r="B41" s="17" t="str">
        <f>[1]Grp_4!A10</f>
        <v>254C</v>
      </c>
      <c r="C41" s="30" t="str">
        <f>[1]Grp_4!B10</f>
        <v>The Cheesy Poofs</v>
      </c>
      <c r="D41" s="18" t="str">
        <f>[1]Grp_4!C10</f>
        <v>Bellarmine College Prep</v>
      </c>
      <c r="E41" s="31" t="str">
        <f>[1]Grp_4!D10</f>
        <v>San Jose, California, United States</v>
      </c>
      <c r="F41" s="34">
        <f>[1]Grp_4!E10</f>
        <v>259</v>
      </c>
      <c r="G41" s="19">
        <f>[1]Grp_4!F10</f>
        <v>315</v>
      </c>
      <c r="H41" s="35">
        <f>[1]Grp_4!G10</f>
        <v>118.122</v>
      </c>
      <c r="I41" s="20">
        <f>[1]Grp_4!H10</f>
        <v>95.724199999999996</v>
      </c>
      <c r="J41" s="20">
        <f>[1]Grp_4!I10</f>
        <v>113.61199999999999</v>
      </c>
      <c r="K41" s="20">
        <f>[1]Grp_4!J10</f>
        <v>99.792299999999997</v>
      </c>
      <c r="L41" s="20">
        <f>[1]Grp_4!K10</f>
        <v>118.122</v>
      </c>
      <c r="M41" s="20">
        <f>[1]Grp_4!L10</f>
        <v>48.502200000000002</v>
      </c>
      <c r="N41" s="20">
        <f>[1]Grp_4!M10</f>
        <v>0</v>
      </c>
      <c r="O41" s="20">
        <f>[1]Grp_4!N10</f>
        <v>0</v>
      </c>
      <c r="P41" s="20">
        <f>[1]Grp_4!O10</f>
        <v>0</v>
      </c>
      <c r="Q41" s="20">
        <f>[1]Grp_4!P10</f>
        <v>0</v>
      </c>
      <c r="R41" s="20">
        <f>[1]Grp_4!Q10</f>
        <v>0</v>
      </c>
      <c r="S41" s="21">
        <f>[1]Grp_4!R39</f>
        <v>0</v>
      </c>
      <c r="T41" s="9"/>
      <c r="U41" s="9"/>
      <c r="V41" s="10"/>
    </row>
    <row r="42" spans="1:22">
      <c r="A42" s="2">
        <v>76</v>
      </c>
      <c r="B42" s="17" t="str">
        <f>[1]Grp_4!A77</f>
        <v>7665C</v>
      </c>
      <c r="C42" s="30" t="str">
        <f>[1]Grp_4!B77</f>
        <v>Raudales malpaso C</v>
      </c>
      <c r="D42" s="18" t="str">
        <f>[1]Grp_4!C77</f>
        <v>CECYTECH PLANTEL 13 Raudales Malpaso</v>
      </c>
      <c r="E42" s="31" t="str">
        <f>[1]Grp_4!D77</f>
        <v>Tecpatan, Chiapas, Chiapas, Mexico</v>
      </c>
      <c r="F42" s="34">
        <f>[1]Grp_4!E77</f>
        <v>0</v>
      </c>
      <c r="G42" s="19">
        <f>[1]Grp_4!F77</f>
        <v>7</v>
      </c>
      <c r="H42" s="37">
        <f>[1]Grp_4!G77</f>
        <v>115.324</v>
      </c>
      <c r="I42" s="38">
        <f>[1]Grp_4!H77</f>
        <v>115.324</v>
      </c>
      <c r="J42" s="20">
        <f>[1]Grp_4!I77</f>
        <v>89.773899999999998</v>
      </c>
      <c r="K42" s="20">
        <f>[1]Grp_4!J77</f>
        <v>71.675899999999999</v>
      </c>
      <c r="L42" s="20">
        <f>[1]Grp_4!K77</f>
        <v>52.659500000000001</v>
      </c>
      <c r="M42" s="20">
        <f>[1]Grp_4!L77</f>
        <v>0</v>
      </c>
      <c r="N42" s="20">
        <f>[1]Grp_4!M77</f>
        <v>0</v>
      </c>
      <c r="O42" s="20">
        <f>[1]Grp_4!N77</f>
        <v>0</v>
      </c>
      <c r="P42" s="20">
        <f>[1]Grp_4!O77</f>
        <v>0</v>
      </c>
      <c r="Q42" s="20">
        <f>[1]Grp_4!P77</f>
        <v>0</v>
      </c>
      <c r="R42" s="20">
        <f>[1]Grp_4!Q77</f>
        <v>0</v>
      </c>
      <c r="S42" s="21">
        <f>[1]Grp_4!R40</f>
        <v>0</v>
      </c>
      <c r="T42" s="9"/>
      <c r="U42" s="9"/>
      <c r="V42" s="10"/>
    </row>
    <row r="43" spans="1:22">
      <c r="A43" s="2">
        <v>49</v>
      </c>
      <c r="B43" s="17" t="str">
        <f>[1]Grp_4!A50</f>
        <v>4423C</v>
      </c>
      <c r="C43" s="30" t="str">
        <f>[1]Grp_4!B50</f>
        <v>Masters</v>
      </c>
      <c r="D43" s="18" t="str">
        <f>[1]Grp_4!C50</f>
        <v>San Pedro Claver</v>
      </c>
      <c r="E43" s="31" t="str">
        <f>[1]Grp_4!D50</f>
        <v>Bucaramanga, Santander, Colombia</v>
      </c>
      <c r="F43" s="34">
        <f>[1]Grp_4!E50</f>
        <v>126</v>
      </c>
      <c r="G43" s="19">
        <f>[1]Grp_4!F50</f>
        <v>10</v>
      </c>
      <c r="H43" s="37">
        <f>[1]Grp_4!G50</f>
        <v>115.127</v>
      </c>
      <c r="I43" s="38">
        <f>[1]Grp_4!H50</f>
        <v>115.127</v>
      </c>
      <c r="J43" s="20">
        <f>[1]Grp_4!I50</f>
        <v>66.681100000000001</v>
      </c>
      <c r="K43" s="20">
        <f>[1]Grp_4!J50</f>
        <v>0</v>
      </c>
      <c r="L43" s="20">
        <f>[1]Grp_4!K50</f>
        <v>0</v>
      </c>
      <c r="M43" s="20">
        <f>[1]Grp_4!L50</f>
        <v>0</v>
      </c>
      <c r="N43" s="20">
        <f>[1]Grp_4!M50</f>
        <v>0</v>
      </c>
      <c r="O43" s="20">
        <f>[1]Grp_4!N50</f>
        <v>0</v>
      </c>
      <c r="P43" s="20">
        <f>[1]Grp_4!O50</f>
        <v>0</v>
      </c>
      <c r="Q43" s="20">
        <f>[1]Grp_4!P50</f>
        <v>0</v>
      </c>
      <c r="R43" s="20">
        <f>[1]Grp_4!Q50</f>
        <v>0</v>
      </c>
      <c r="S43" s="21">
        <f>[1]Grp_4!R41</f>
        <v>0</v>
      </c>
      <c r="T43" s="9"/>
      <c r="U43" s="9"/>
      <c r="V43" s="10"/>
    </row>
    <row r="44" spans="1:22">
      <c r="A44" s="2">
        <v>84</v>
      </c>
      <c r="B44" s="17" t="str">
        <f>[1]Grp_4!A85</f>
        <v>8568B</v>
      </c>
      <c r="C44" s="30" t="str">
        <f>[1]Grp_4!B85</f>
        <v>Knights</v>
      </c>
      <c r="D44" s="18" t="str">
        <f>[1]Grp_4!C85</f>
        <v>North Andover High School</v>
      </c>
      <c r="E44" s="31" t="str">
        <f>[1]Grp_4!D85</f>
        <v>North Andover, Massachusetts, United States</v>
      </c>
      <c r="F44" s="34">
        <f>[1]Grp_4!E85</f>
        <v>89</v>
      </c>
      <c r="G44" s="19">
        <f>[1]Grp_4!F85</f>
        <v>0</v>
      </c>
      <c r="H44" s="37">
        <f>[1]Grp_4!G85</f>
        <v>114.63800000000001</v>
      </c>
      <c r="I44" s="38">
        <f>[1]Grp_4!H85</f>
        <v>114.63800000000001</v>
      </c>
      <c r="J44" s="20">
        <f>[1]Grp_4!I85</f>
        <v>25.562200000000001</v>
      </c>
      <c r="K44" s="20">
        <f>[1]Grp_4!J85</f>
        <v>96.448400000000007</v>
      </c>
      <c r="L44" s="20">
        <f>[1]Grp_4!K85</f>
        <v>0</v>
      </c>
      <c r="M44" s="20">
        <f>[1]Grp_4!L85</f>
        <v>0</v>
      </c>
      <c r="N44" s="20">
        <f>[1]Grp_4!M85</f>
        <v>0</v>
      </c>
      <c r="O44" s="20">
        <f>[1]Grp_4!N85</f>
        <v>0</v>
      </c>
      <c r="P44" s="20">
        <f>[1]Grp_4!O85</f>
        <v>0</v>
      </c>
      <c r="Q44" s="20">
        <f>[1]Grp_4!P85</f>
        <v>0</v>
      </c>
      <c r="R44" s="20">
        <f>[1]Grp_4!Q85</f>
        <v>0</v>
      </c>
      <c r="S44" s="21">
        <f>[1]Grp_4!R42</f>
        <v>0</v>
      </c>
      <c r="T44" s="9"/>
      <c r="U44" s="9"/>
      <c r="V44" s="10"/>
    </row>
    <row r="45" spans="1:22">
      <c r="A45" s="2">
        <v>73</v>
      </c>
      <c r="B45" s="17" t="str">
        <f>[1]Grp_4!A74</f>
        <v>7232</v>
      </c>
      <c r="C45" s="30" t="str">
        <f>[1]Grp_4!B74</f>
        <v>Cyber Pirates</v>
      </c>
      <c r="D45" s="18" t="str">
        <f>[1]Grp_4!C74</f>
        <v>Belton High School</v>
      </c>
      <c r="E45" s="31" t="str">
        <f>[1]Grp_4!D74</f>
        <v>Belton, Missouri, United States</v>
      </c>
      <c r="F45" s="34">
        <f>[1]Grp_4!E74</f>
        <v>317</v>
      </c>
      <c r="G45" s="19">
        <f>[1]Grp_4!F74</f>
        <v>160</v>
      </c>
      <c r="H45" s="37">
        <f>[1]Grp_4!G74</f>
        <v>114.46299999999999</v>
      </c>
      <c r="I45" s="38">
        <f>[1]Grp_4!H74</f>
        <v>108.22</v>
      </c>
      <c r="J45" s="20">
        <f>[1]Grp_4!I74</f>
        <v>114.46299999999999</v>
      </c>
      <c r="K45" s="20">
        <f>[1]Grp_4!J74</f>
        <v>49.290799999999997</v>
      </c>
      <c r="L45" s="20">
        <f>[1]Grp_4!K74</f>
        <v>90.782300000000006</v>
      </c>
      <c r="M45" s="20">
        <f>[1]Grp_4!L74</f>
        <v>19.2805</v>
      </c>
      <c r="N45" s="20">
        <f>[1]Grp_4!M74</f>
        <v>80.541899999999998</v>
      </c>
      <c r="O45" s="20">
        <f>[1]Grp_4!N74</f>
        <v>83.546000000000006</v>
      </c>
      <c r="P45" s="20">
        <f>[1]Grp_4!O74</f>
        <v>70.491900000000001</v>
      </c>
      <c r="Q45" s="20">
        <f>[1]Grp_4!P74</f>
        <v>82.013800000000003</v>
      </c>
      <c r="R45" s="20">
        <f>[1]Grp_4!Q74</f>
        <v>0</v>
      </c>
      <c r="S45" s="21">
        <f>[1]Grp_4!R43</f>
        <v>0</v>
      </c>
      <c r="T45" s="9"/>
      <c r="U45" s="9"/>
      <c r="V45" s="10"/>
    </row>
    <row r="46" spans="1:22">
      <c r="A46" s="2">
        <v>29</v>
      </c>
      <c r="B46" s="17" t="str">
        <f>[1]Grp_4!A30</f>
        <v>1575X</v>
      </c>
      <c r="C46" s="30" t="str">
        <f>[1]Grp_4!B30</f>
        <v>Xcaliber</v>
      </c>
      <c r="D46" s="18" t="str">
        <f>[1]Grp_4!C30</f>
        <v>Woodbridge Senior High School</v>
      </c>
      <c r="E46" s="31" t="str">
        <f>[1]Grp_4!D30</f>
        <v>Woodbridge, Virginia, United States</v>
      </c>
      <c r="F46" s="34">
        <f>[1]Grp_4!E30</f>
        <v>265</v>
      </c>
      <c r="G46" s="19">
        <f>[1]Grp_4!F30</f>
        <v>194</v>
      </c>
      <c r="H46" s="37">
        <f>[1]Grp_4!G30</f>
        <v>114.31699999999999</v>
      </c>
      <c r="I46" s="38">
        <f>[1]Grp_4!H30</f>
        <v>114.31699999999999</v>
      </c>
      <c r="J46" s="20">
        <f>[1]Grp_4!I30</f>
        <v>79.071700000000007</v>
      </c>
      <c r="K46" s="20">
        <f>[1]Grp_4!J30</f>
        <v>72.951800000000006</v>
      </c>
      <c r="L46" s="20">
        <f>[1]Grp_4!K30</f>
        <v>73.399100000000004</v>
      </c>
      <c r="M46" s="20">
        <f>[1]Grp_4!L30</f>
        <v>62.232399999999998</v>
      </c>
      <c r="N46" s="20">
        <f>[1]Grp_4!M30</f>
        <v>77.787300000000002</v>
      </c>
      <c r="O46" s="20">
        <f>[1]Grp_4!N30</f>
        <v>32.7714</v>
      </c>
      <c r="P46" s="20">
        <f>[1]Grp_4!O30</f>
        <v>0</v>
      </c>
      <c r="Q46" s="20">
        <f>[1]Grp_4!P30</f>
        <v>0</v>
      </c>
      <c r="R46" s="20">
        <f>[1]Grp_4!Q30</f>
        <v>0</v>
      </c>
      <c r="S46" s="21">
        <f>[1]Grp_4!R44</f>
        <v>0</v>
      </c>
      <c r="T46" s="9"/>
      <c r="U46" s="9"/>
      <c r="V46" s="10"/>
    </row>
    <row r="47" spans="1:22">
      <c r="A47" s="2">
        <v>18</v>
      </c>
      <c r="B47" s="17" t="str">
        <f>[1]Grp_4!A19</f>
        <v>917M</v>
      </c>
      <c r="C47" s="30" t="str">
        <f>[1]Grp_4!B19</f>
        <v>Quantum Morty</v>
      </c>
      <c r="D47" s="18" t="str">
        <f>[1]Grp_4!C19</f>
        <v>QUANTUM ROBOTICS</v>
      </c>
      <c r="E47" s="31" t="str">
        <f>[1]Grp_4!D19</f>
        <v>Kirkland, Washington, United States</v>
      </c>
      <c r="F47" s="34">
        <f>[1]Grp_4!E19</f>
        <v>251</v>
      </c>
      <c r="G47" s="19">
        <f>[1]Grp_4!F19</f>
        <v>44</v>
      </c>
      <c r="H47" s="37">
        <f>[1]Grp_4!G19</f>
        <v>113.51900000000001</v>
      </c>
      <c r="I47" s="38">
        <f>[1]Grp_4!H19</f>
        <v>56.280500000000004</v>
      </c>
      <c r="J47" s="20">
        <f>[1]Grp_4!I19</f>
        <v>113.51900000000001</v>
      </c>
      <c r="K47" s="20">
        <f>[1]Grp_4!J19</f>
        <v>47.6629</v>
      </c>
      <c r="L47" s="20">
        <f>[1]Grp_4!K19</f>
        <v>35.795499999999997</v>
      </c>
      <c r="M47" s="20">
        <f>[1]Grp_4!L19</f>
        <v>29.661000000000001</v>
      </c>
      <c r="N47" s="20">
        <f>[1]Grp_4!M19</f>
        <v>0</v>
      </c>
      <c r="O47" s="20">
        <f>[1]Grp_4!N19</f>
        <v>0</v>
      </c>
      <c r="P47" s="20">
        <f>[1]Grp_4!O19</f>
        <v>0</v>
      </c>
      <c r="Q47" s="20">
        <f>[1]Grp_4!P19</f>
        <v>0</v>
      </c>
      <c r="R47" s="20">
        <f>[1]Grp_4!Q19</f>
        <v>0</v>
      </c>
      <c r="S47" s="21">
        <f>[1]Grp_4!R45</f>
        <v>0</v>
      </c>
      <c r="T47" s="9"/>
      <c r="U47" s="9"/>
      <c r="V47" s="10"/>
    </row>
    <row r="48" spans="1:22">
      <c r="A48" s="2">
        <v>53</v>
      </c>
      <c r="B48" s="17" t="str">
        <f>[1]Grp_4!A54</f>
        <v>4911A</v>
      </c>
      <c r="C48" s="30" t="str">
        <f>[1]Grp_4!B54</f>
        <v>High Voltage</v>
      </c>
      <c r="D48" s="18" t="str">
        <f>[1]Grp_4!C54</f>
        <v>Michiana Youth Robotics and Engineering</v>
      </c>
      <c r="E48" s="31" t="str">
        <f>[1]Grp_4!D54</f>
        <v>Niles, Michigan, United States</v>
      </c>
      <c r="F48" s="34">
        <f>[1]Grp_4!E54</f>
        <v>146</v>
      </c>
      <c r="G48" s="19">
        <f>[1]Grp_4!F54</f>
        <v>125</v>
      </c>
      <c r="H48" s="37">
        <f>[1]Grp_4!G54</f>
        <v>111.986</v>
      </c>
      <c r="I48" s="38">
        <f>[1]Grp_4!H54</f>
        <v>100.72799999999999</v>
      </c>
      <c r="J48" s="20">
        <f>[1]Grp_4!I54</f>
        <v>94.535899999999998</v>
      </c>
      <c r="K48" s="20">
        <f>[1]Grp_4!J54</f>
        <v>111.986</v>
      </c>
      <c r="L48" s="20">
        <f>[1]Grp_4!K54</f>
        <v>97.012200000000007</v>
      </c>
      <c r="M48" s="20">
        <f>[1]Grp_4!L54</f>
        <v>0</v>
      </c>
      <c r="N48" s="20">
        <f>[1]Grp_4!M54</f>
        <v>0</v>
      </c>
      <c r="O48" s="20">
        <f>[1]Grp_4!N54</f>
        <v>0</v>
      </c>
      <c r="P48" s="20">
        <f>[1]Grp_4!O54</f>
        <v>0</v>
      </c>
      <c r="Q48" s="20">
        <f>[1]Grp_4!P54</f>
        <v>0</v>
      </c>
      <c r="R48" s="20">
        <f>[1]Grp_4!Q54</f>
        <v>0</v>
      </c>
      <c r="S48" s="21">
        <f>[1]Grp_4!R46</f>
        <v>0</v>
      </c>
      <c r="T48" s="9"/>
      <c r="U48" s="9"/>
      <c r="V48" s="10"/>
    </row>
    <row r="49" spans="1:22">
      <c r="A49" s="2">
        <v>27</v>
      </c>
      <c r="B49" s="17" t="str">
        <f>[1]Grp_4!A28</f>
        <v>1460B</v>
      </c>
      <c r="C49" s="30" t="str">
        <f>[1]Grp_4!B28</f>
        <v>Helix</v>
      </c>
      <c r="D49" s="18" t="str">
        <f>[1]Grp_4!C28</f>
        <v>Sandy Robotics Club</v>
      </c>
      <c r="E49" s="31" t="str">
        <f>[1]Grp_4!D28</f>
        <v>Sandy, Oregon, United States</v>
      </c>
      <c r="F49" s="34">
        <f>[1]Grp_4!E28</f>
        <v>182</v>
      </c>
      <c r="G49" s="19">
        <f>[1]Grp_4!F28</f>
        <v>71</v>
      </c>
      <c r="H49" s="37">
        <f>[1]Grp_4!G28</f>
        <v>111.279</v>
      </c>
      <c r="I49" s="38">
        <f>[1]Grp_4!H28</f>
        <v>81.947999999999993</v>
      </c>
      <c r="J49" s="20">
        <f>[1]Grp_4!I28</f>
        <v>93.352000000000004</v>
      </c>
      <c r="K49" s="20">
        <f>[1]Grp_4!J28</f>
        <v>93.457499999999996</v>
      </c>
      <c r="L49" s="20">
        <f>[1]Grp_4!K28</f>
        <v>88.900999999999996</v>
      </c>
      <c r="M49" s="20">
        <f>[1]Grp_4!L28</f>
        <v>111.279</v>
      </c>
      <c r="N49" s="20">
        <f>[1]Grp_4!M28</f>
        <v>92.245000000000005</v>
      </c>
      <c r="O49" s="20">
        <f>[1]Grp_4!N28</f>
        <v>0</v>
      </c>
      <c r="P49" s="20">
        <f>[1]Grp_4!O28</f>
        <v>0</v>
      </c>
      <c r="Q49" s="20">
        <f>[1]Grp_4!P28</f>
        <v>0</v>
      </c>
      <c r="R49" s="20">
        <f>[1]Grp_4!Q28</f>
        <v>0</v>
      </c>
      <c r="S49" s="21">
        <f>[1]Grp_4!R47</f>
        <v>0</v>
      </c>
      <c r="T49" s="9"/>
      <c r="U49" s="9"/>
      <c r="V49" s="10"/>
    </row>
    <row r="50" spans="1:22">
      <c r="A50" s="2">
        <v>69</v>
      </c>
      <c r="B50" s="17" t="str">
        <f>[1]Grp_4!A70</f>
        <v>6724</v>
      </c>
      <c r="C50" s="30" t="str">
        <f>[1]Grp_4!B70</f>
        <v>K2 Robotics</v>
      </c>
      <c r="D50" s="18" t="str">
        <f>[1]Grp_4!C70</f>
        <v>Chadwick International</v>
      </c>
      <c r="E50" s="31" t="str">
        <f>[1]Grp_4!D70</f>
        <v>Songdo, N/A, South Korea</v>
      </c>
      <c r="F50" s="34">
        <f>[1]Grp_4!E70</f>
        <v>272</v>
      </c>
      <c r="G50" s="19">
        <f>[1]Grp_4!F70</f>
        <v>208</v>
      </c>
      <c r="H50" s="37">
        <f>[1]Grp_4!G70</f>
        <v>110.9</v>
      </c>
      <c r="I50" s="38">
        <f>[1]Grp_4!H70</f>
        <v>110.9</v>
      </c>
      <c r="J50" s="20">
        <f>[1]Grp_4!I70</f>
        <v>61.223399999999998</v>
      </c>
      <c r="K50" s="20">
        <f>[1]Grp_4!J70</f>
        <v>0</v>
      </c>
      <c r="L50" s="20">
        <f>[1]Grp_4!K70</f>
        <v>0</v>
      </c>
      <c r="M50" s="20">
        <f>[1]Grp_4!L70</f>
        <v>0</v>
      </c>
      <c r="N50" s="20">
        <f>[1]Grp_4!M70</f>
        <v>0</v>
      </c>
      <c r="O50" s="20">
        <f>[1]Grp_4!N70</f>
        <v>0</v>
      </c>
      <c r="P50" s="20">
        <f>[1]Grp_4!O70</f>
        <v>0</v>
      </c>
      <c r="Q50" s="20">
        <f>[1]Grp_4!P70</f>
        <v>0</v>
      </c>
      <c r="R50" s="20">
        <f>[1]Grp_4!Q70</f>
        <v>0</v>
      </c>
      <c r="S50" s="21">
        <f>[1]Grp_4!R48</f>
        <v>0</v>
      </c>
      <c r="T50" s="9"/>
      <c r="U50" s="9"/>
      <c r="V50" s="10"/>
    </row>
    <row r="51" spans="1:22">
      <c r="A51" s="2">
        <v>48</v>
      </c>
      <c r="B51" s="17" t="str">
        <f>[1]Grp_4!A49</f>
        <v>4303C</v>
      </c>
      <c r="C51" s="30" t="str">
        <f>[1]Grp_4!B49</f>
        <v>Crossfire</v>
      </c>
      <c r="D51" s="18" t="str">
        <f>[1]Grp_4!C49</f>
        <v>Forest Park High School</v>
      </c>
      <c r="E51" s="31" t="str">
        <f>[1]Grp_4!D49</f>
        <v>Woodbridge, Virginia, United States</v>
      </c>
      <c r="F51" s="34">
        <f>[1]Grp_4!E49</f>
        <v>246</v>
      </c>
      <c r="G51" s="19">
        <f>[1]Grp_4!F49</f>
        <v>238</v>
      </c>
      <c r="H51" s="37">
        <f>[1]Grp_4!G49</f>
        <v>109.54</v>
      </c>
      <c r="I51" s="38">
        <f>[1]Grp_4!H49</f>
        <v>109.54</v>
      </c>
      <c r="J51" s="20">
        <f>[1]Grp_4!I49</f>
        <v>85.138199999999998</v>
      </c>
      <c r="K51" s="20">
        <f>[1]Grp_4!J49</f>
        <v>76.009699999999995</v>
      </c>
      <c r="L51" s="20">
        <f>[1]Grp_4!K49</f>
        <v>90.132999999999996</v>
      </c>
      <c r="M51" s="20">
        <f>[1]Grp_4!L49</f>
        <v>61.124600000000001</v>
      </c>
      <c r="N51" s="20">
        <f>[1]Grp_4!M49</f>
        <v>60.920699999999997</v>
      </c>
      <c r="O51" s="20">
        <f>[1]Grp_4!N49</f>
        <v>0</v>
      </c>
      <c r="P51" s="20">
        <f>[1]Grp_4!O49</f>
        <v>0</v>
      </c>
      <c r="Q51" s="20">
        <f>[1]Grp_4!P49</f>
        <v>0</v>
      </c>
      <c r="R51" s="20">
        <f>[1]Grp_4!Q49</f>
        <v>0</v>
      </c>
      <c r="S51" s="21">
        <f>[1]Grp_4!R49</f>
        <v>0</v>
      </c>
      <c r="T51" s="9"/>
      <c r="U51" s="9"/>
      <c r="V51" s="10"/>
    </row>
    <row r="52" spans="1:22">
      <c r="A52" s="2">
        <v>12</v>
      </c>
      <c r="B52" s="17" t="str">
        <f>[1]Grp_4!A13</f>
        <v>383V</v>
      </c>
      <c r="C52" s="30" t="str">
        <f>[1]Grp_4!B13</f>
        <v>Semulator</v>
      </c>
      <c r="D52" s="18" t="str">
        <f>[1]Grp_4!C13</f>
        <v>Lowndes High School</v>
      </c>
      <c r="E52" s="31" t="str">
        <f>[1]Grp_4!D13</f>
        <v>Valdosta, Georgia, United States</v>
      </c>
      <c r="F52" s="34">
        <f>[1]Grp_4!E13</f>
        <v>281</v>
      </c>
      <c r="G52" s="19">
        <f>[1]Grp_4!F13</f>
        <v>136</v>
      </c>
      <c r="H52" s="37">
        <f>[1]Grp_4!G13</f>
        <v>109.351</v>
      </c>
      <c r="I52" s="38">
        <f>[1]Grp_4!H13</f>
        <v>109.351</v>
      </c>
      <c r="J52" s="20">
        <f>[1]Grp_4!I13</f>
        <v>68.342399999999998</v>
      </c>
      <c r="K52" s="20">
        <f>[1]Grp_4!J13</f>
        <v>79.1785</v>
      </c>
      <c r="L52" s="20">
        <f>[1]Grp_4!K13</f>
        <v>64.866399999999999</v>
      </c>
      <c r="M52" s="20">
        <f>[1]Grp_4!L13</f>
        <v>72.831599999999995</v>
      </c>
      <c r="N52" s="20">
        <f>[1]Grp_4!M13</f>
        <v>0</v>
      </c>
      <c r="O52" s="20">
        <f>[1]Grp_4!N13</f>
        <v>0</v>
      </c>
      <c r="P52" s="20">
        <f>[1]Grp_4!O13</f>
        <v>0</v>
      </c>
      <c r="Q52" s="20">
        <f>[1]Grp_4!P13</f>
        <v>0</v>
      </c>
      <c r="R52" s="20">
        <f>[1]Grp_4!Q13</f>
        <v>0</v>
      </c>
      <c r="S52" s="21">
        <f>[1]Grp_4!R50</f>
        <v>0</v>
      </c>
      <c r="T52" s="9"/>
      <c r="U52" s="9"/>
      <c r="V52" s="10"/>
    </row>
    <row r="53" spans="1:22">
      <c r="A53" s="2">
        <v>28</v>
      </c>
      <c r="B53" s="17" t="str">
        <f>[1]Grp_4!A29</f>
        <v>1497W</v>
      </c>
      <c r="C53" s="30" t="str">
        <f>[1]Grp_4!B29</f>
        <v>Design Academy</v>
      </c>
      <c r="D53" s="18" t="str">
        <f>[1]Grp_4!C29</f>
        <v>Utah State University//Design Academy</v>
      </c>
      <c r="E53" s="31" t="str">
        <f>[1]Grp_4!D29</f>
        <v>Logan, Utah, United States</v>
      </c>
      <c r="F53" s="34">
        <f>[1]Grp_4!E29</f>
        <v>0</v>
      </c>
      <c r="G53" s="19">
        <f>[1]Grp_4!F29</f>
        <v>0</v>
      </c>
      <c r="H53" s="37">
        <f>[1]Grp_4!G29</f>
        <v>108.61199999999999</v>
      </c>
      <c r="I53" s="38">
        <f>[1]Grp_4!H29</f>
        <v>59.892600000000002</v>
      </c>
      <c r="J53" s="20">
        <f>[1]Grp_4!I29</f>
        <v>105.264</v>
      </c>
      <c r="K53" s="20">
        <f>[1]Grp_4!J29</f>
        <v>89.701800000000006</v>
      </c>
      <c r="L53" s="20">
        <f>[1]Grp_4!K29</f>
        <v>64.759299999999996</v>
      </c>
      <c r="M53" s="20">
        <f>[1]Grp_4!L29</f>
        <v>82.325100000000006</v>
      </c>
      <c r="N53" s="20">
        <f>[1]Grp_4!M29</f>
        <v>108.61199999999999</v>
      </c>
      <c r="O53" s="20">
        <f>[1]Grp_4!N29</f>
        <v>44.564900000000002</v>
      </c>
      <c r="P53" s="20">
        <f>[1]Grp_4!O29</f>
        <v>0</v>
      </c>
      <c r="Q53" s="20">
        <f>[1]Grp_4!P29</f>
        <v>0</v>
      </c>
      <c r="R53" s="20">
        <f>[1]Grp_4!Q29</f>
        <v>0</v>
      </c>
      <c r="S53" s="21">
        <f>[1]Grp_4!R51</f>
        <v>0</v>
      </c>
      <c r="T53" s="9"/>
      <c r="U53" s="9"/>
      <c r="V53" s="10"/>
    </row>
    <row r="54" spans="1:22">
      <c r="A54" s="2">
        <v>40</v>
      </c>
      <c r="B54" s="17" t="str">
        <f>[1]Grp_4!A41</f>
        <v>2990A</v>
      </c>
      <c r="C54" s="30" t="str">
        <f>[1]Grp_4!B41</f>
        <v>Titan Team Kronos</v>
      </c>
      <c r="D54" s="18" t="str">
        <f>[1]Grp_4!C41</f>
        <v>West Salem High School</v>
      </c>
      <c r="E54" s="31" t="str">
        <f>[1]Grp_4!D41</f>
        <v>Salem, Oregon, United States</v>
      </c>
      <c r="F54" s="34">
        <f>[1]Grp_4!E41</f>
        <v>295</v>
      </c>
      <c r="G54" s="19">
        <f>[1]Grp_4!F41</f>
        <v>286</v>
      </c>
      <c r="H54" s="37">
        <f>[1]Grp_4!G41</f>
        <v>107.675</v>
      </c>
      <c r="I54" s="38">
        <f>[1]Grp_4!H41</f>
        <v>86.428100000000001</v>
      </c>
      <c r="J54" s="20">
        <f>[1]Grp_4!I41</f>
        <v>79.649199999999993</v>
      </c>
      <c r="K54" s="20">
        <f>[1]Grp_4!J41</f>
        <v>107.675</v>
      </c>
      <c r="L54" s="20">
        <f>[1]Grp_4!K41</f>
        <v>75.2</v>
      </c>
      <c r="M54" s="20">
        <f>[1]Grp_4!L41</f>
        <v>54.109900000000003</v>
      </c>
      <c r="N54" s="20">
        <f>[1]Grp_4!M41</f>
        <v>0</v>
      </c>
      <c r="O54" s="20">
        <f>[1]Grp_4!N41</f>
        <v>0</v>
      </c>
      <c r="P54" s="20">
        <f>[1]Grp_4!O41</f>
        <v>0</v>
      </c>
      <c r="Q54" s="20">
        <f>[1]Grp_4!P41</f>
        <v>0</v>
      </c>
      <c r="R54" s="20">
        <f>[1]Grp_4!Q41</f>
        <v>0</v>
      </c>
      <c r="S54" s="21">
        <f>[1]Grp_4!R52</f>
        <v>0</v>
      </c>
      <c r="T54" s="9"/>
      <c r="U54" s="9"/>
      <c r="V54" s="10"/>
    </row>
    <row r="55" spans="1:22">
      <c r="A55" s="2">
        <v>32</v>
      </c>
      <c r="B55" s="17" t="str">
        <f>[1]Grp_4!A33</f>
        <v>2019A</v>
      </c>
      <c r="C55" s="30" t="str">
        <f>[1]Grp_4!B33</f>
        <v>Singularity</v>
      </c>
      <c r="D55" s="18" t="str">
        <f>[1]Grp_4!C33</f>
        <v>Flower Mound High School</v>
      </c>
      <c r="E55" s="31" t="str">
        <f>[1]Grp_4!D33</f>
        <v>Flower Mound, Texas, United States</v>
      </c>
      <c r="F55" s="34">
        <f>[1]Grp_4!E33</f>
        <v>208</v>
      </c>
      <c r="G55" s="19">
        <f>[1]Grp_4!F33</f>
        <v>0</v>
      </c>
      <c r="H55" s="37">
        <f>[1]Grp_4!G33</f>
        <v>105.946</v>
      </c>
      <c r="I55" s="38">
        <f>[1]Grp_4!H33</f>
        <v>79.954800000000006</v>
      </c>
      <c r="J55" s="20">
        <f>[1]Grp_4!I33</f>
        <v>55.938899999999997</v>
      </c>
      <c r="K55" s="20">
        <f>[1]Grp_4!J33</f>
        <v>22.101299999999998</v>
      </c>
      <c r="L55" s="20">
        <f>[1]Grp_4!K33</f>
        <v>105.946</v>
      </c>
      <c r="M55" s="20">
        <f>[1]Grp_4!L33</f>
        <v>0</v>
      </c>
      <c r="N55" s="20">
        <f>[1]Grp_4!M33</f>
        <v>0</v>
      </c>
      <c r="O55" s="20">
        <f>[1]Grp_4!N33</f>
        <v>0</v>
      </c>
      <c r="P55" s="20">
        <f>[1]Grp_4!O33</f>
        <v>0</v>
      </c>
      <c r="Q55" s="20">
        <f>[1]Grp_4!P33</f>
        <v>0</v>
      </c>
      <c r="R55" s="20">
        <f>[1]Grp_4!Q33</f>
        <v>0</v>
      </c>
      <c r="S55" s="21">
        <f>[1]Grp_4!R53</f>
        <v>0</v>
      </c>
      <c r="T55" s="9"/>
      <c r="U55" s="9"/>
      <c r="V55" s="10"/>
    </row>
    <row r="56" spans="1:22">
      <c r="A56" s="2">
        <v>21</v>
      </c>
      <c r="B56" s="17" t="str">
        <f>[1]Grp_4!A22</f>
        <v>1082B</v>
      </c>
      <c r="C56" s="30" t="str">
        <f>[1]Grp_4!B22</f>
        <v>Extreme Engineering II</v>
      </c>
      <c r="D56" s="18" t="str">
        <f>[1]Grp_4!C22</f>
        <v>Extreme Engineering Club-Lovejoy High School</v>
      </c>
      <c r="E56" s="31" t="str">
        <f>[1]Grp_4!D22</f>
        <v>Lucas, Texas, United States</v>
      </c>
      <c r="F56" s="34">
        <f>[1]Grp_4!E22</f>
        <v>266</v>
      </c>
      <c r="G56" s="19">
        <f>[1]Grp_4!F22</f>
        <v>0</v>
      </c>
      <c r="H56" s="37">
        <f>[1]Grp_4!G22</f>
        <v>103.571</v>
      </c>
      <c r="I56" s="38">
        <f>[1]Grp_4!H22</f>
        <v>31.670999999999999</v>
      </c>
      <c r="J56" s="20">
        <f>[1]Grp_4!I22</f>
        <v>71.91</v>
      </c>
      <c r="K56" s="20">
        <f>[1]Grp_4!J22</f>
        <v>103.571</v>
      </c>
      <c r="L56" s="20">
        <f>[1]Grp_4!K22</f>
        <v>7.40768</v>
      </c>
      <c r="M56" s="20">
        <f>[1]Grp_4!L22</f>
        <v>8.8236299999999996</v>
      </c>
      <c r="N56" s="20">
        <f>[1]Grp_4!M22</f>
        <v>16.5761</v>
      </c>
      <c r="O56" s="20">
        <f>[1]Grp_4!N22</f>
        <v>0</v>
      </c>
      <c r="P56" s="20">
        <f>[1]Grp_4!O22</f>
        <v>0</v>
      </c>
      <c r="Q56" s="20">
        <f>[1]Grp_4!P22</f>
        <v>0</v>
      </c>
      <c r="R56" s="20">
        <f>[1]Grp_4!Q22</f>
        <v>0</v>
      </c>
      <c r="S56" s="21">
        <f>[1]Grp_4!R54</f>
        <v>0</v>
      </c>
      <c r="T56" s="9"/>
      <c r="U56" s="9"/>
      <c r="V56" s="10"/>
    </row>
    <row r="57" spans="1:22">
      <c r="A57" s="2">
        <v>36</v>
      </c>
      <c r="B57" s="17" t="str">
        <f>[1]Grp_4!A37</f>
        <v>2460</v>
      </c>
      <c r="C57" s="30" t="str">
        <f>[1]Grp_4!B37</f>
        <v>Na Paniolo</v>
      </c>
      <c r="D57" s="18" t="str">
        <f>[1]Grp_4!C37</f>
        <v>Kohala High</v>
      </c>
      <c r="E57" s="31" t="str">
        <f>[1]Grp_4!D37</f>
        <v>Kapaau, Hawaii, United States</v>
      </c>
      <c r="F57" s="34">
        <f>[1]Grp_4!E37</f>
        <v>138</v>
      </c>
      <c r="G57" s="19">
        <f>[1]Grp_4!F37</f>
        <v>158</v>
      </c>
      <c r="H57" s="37">
        <f>[1]Grp_4!G37</f>
        <v>101.79</v>
      </c>
      <c r="I57" s="38">
        <f>[1]Grp_4!H37</f>
        <v>101.79</v>
      </c>
      <c r="J57" s="20">
        <f>[1]Grp_4!I37</f>
        <v>90.394000000000005</v>
      </c>
      <c r="K57" s="20">
        <f>[1]Grp_4!J37</f>
        <v>89.244</v>
      </c>
      <c r="L57" s="20">
        <f>[1]Grp_4!K37</f>
        <v>41.800600000000003</v>
      </c>
      <c r="M57" s="20">
        <f>[1]Grp_4!L37</f>
        <v>36.025700000000001</v>
      </c>
      <c r="N57" s="20">
        <f>[1]Grp_4!M37</f>
        <v>0</v>
      </c>
      <c r="O57" s="20">
        <f>[1]Grp_4!N37</f>
        <v>0</v>
      </c>
      <c r="P57" s="20">
        <f>[1]Grp_4!O37</f>
        <v>0</v>
      </c>
      <c r="Q57" s="20">
        <f>[1]Grp_4!P37</f>
        <v>0</v>
      </c>
      <c r="R57" s="20">
        <f>[1]Grp_4!Q37</f>
        <v>0</v>
      </c>
      <c r="S57" s="21">
        <f>[1]Grp_4!R55</f>
        <v>0</v>
      </c>
      <c r="T57" s="9"/>
      <c r="U57" s="9"/>
      <c r="V57" s="10"/>
    </row>
    <row r="58" spans="1:22">
      <c r="A58" s="2">
        <v>60</v>
      </c>
      <c r="B58" s="17" t="str">
        <f>[1]Grp_4!A61</f>
        <v>5772</v>
      </c>
      <c r="C58" s="30" t="str">
        <f>[1]Grp_4!B61</f>
        <v>Eaglebots</v>
      </c>
      <c r="D58" s="18" t="str">
        <f>[1]Grp_4!C61</f>
        <v>The Harker School</v>
      </c>
      <c r="E58" s="31" t="str">
        <f>[1]Grp_4!D61</f>
        <v>Santa Clara, California, United States</v>
      </c>
      <c r="F58" s="34">
        <f>[1]Grp_4!E61</f>
        <v>234</v>
      </c>
      <c r="G58" s="19">
        <f>[1]Grp_4!F61</f>
        <v>321</v>
      </c>
      <c r="H58" s="37">
        <f>[1]Grp_4!G61</f>
        <v>100.206</v>
      </c>
      <c r="I58" s="38">
        <f>[1]Grp_4!H61</f>
        <v>64.331699999999998</v>
      </c>
      <c r="J58" s="20">
        <f>[1]Grp_4!I61</f>
        <v>60.6755</v>
      </c>
      <c r="K58" s="20">
        <f>[1]Grp_4!J61</f>
        <v>83.318899999999999</v>
      </c>
      <c r="L58" s="20">
        <f>[1]Grp_4!K61</f>
        <v>89.441900000000004</v>
      </c>
      <c r="M58" s="20">
        <f>[1]Grp_4!L61</f>
        <v>100.206</v>
      </c>
      <c r="N58" s="20">
        <f>[1]Grp_4!M61</f>
        <v>62.490499999999997</v>
      </c>
      <c r="O58" s="20">
        <f>[1]Grp_4!N61</f>
        <v>39.758800000000001</v>
      </c>
      <c r="P58" s="20">
        <f>[1]Grp_4!O61</f>
        <v>60.731299999999997</v>
      </c>
      <c r="Q58" s="20">
        <f>[1]Grp_4!P61</f>
        <v>48.259</v>
      </c>
      <c r="R58" s="20">
        <f>[1]Grp_4!Q61</f>
        <v>0</v>
      </c>
      <c r="S58" s="21">
        <f>[1]Grp_4!R56</f>
        <v>0</v>
      </c>
      <c r="T58" s="9"/>
      <c r="U58" s="9"/>
      <c r="V58" s="10"/>
    </row>
    <row r="59" spans="1:22">
      <c r="A59" s="2">
        <v>71</v>
      </c>
      <c r="B59" s="17" t="str">
        <f>[1]Grp_4!A72</f>
        <v>6916D</v>
      </c>
      <c r="C59" s="30" t="str">
        <f>[1]Grp_4!B72</f>
        <v>BVT Samurai</v>
      </c>
      <c r="D59" s="18" t="str">
        <f>[1]Grp_4!C72</f>
        <v>Blackstone Valley Regional High School</v>
      </c>
      <c r="E59" s="31" t="str">
        <f>[1]Grp_4!D72</f>
        <v>Upton, Massachusetts, United States</v>
      </c>
      <c r="F59" s="34">
        <f>[1]Grp_4!E72</f>
        <v>195</v>
      </c>
      <c r="G59" s="19">
        <f>[1]Grp_4!F72</f>
        <v>0</v>
      </c>
      <c r="H59" s="37">
        <f>[1]Grp_4!G72</f>
        <v>99.343599999999995</v>
      </c>
      <c r="I59" s="38">
        <f>[1]Grp_4!H72</f>
        <v>96.4756</v>
      </c>
      <c r="J59" s="20">
        <f>[1]Grp_4!I72</f>
        <v>75.454300000000003</v>
      </c>
      <c r="K59" s="20">
        <f>[1]Grp_4!J72</f>
        <v>99.343599999999995</v>
      </c>
      <c r="L59" s="20">
        <f>[1]Grp_4!K72</f>
        <v>49.8217</v>
      </c>
      <c r="M59" s="20">
        <f>[1]Grp_4!L72</f>
        <v>55.8262</v>
      </c>
      <c r="N59" s="20">
        <f>[1]Grp_4!M72</f>
        <v>0</v>
      </c>
      <c r="O59" s="20">
        <f>[1]Grp_4!N72</f>
        <v>0</v>
      </c>
      <c r="P59" s="20">
        <f>[1]Grp_4!O72</f>
        <v>0</v>
      </c>
      <c r="Q59" s="20">
        <f>[1]Grp_4!P72</f>
        <v>0</v>
      </c>
      <c r="R59" s="20">
        <f>[1]Grp_4!Q72</f>
        <v>0</v>
      </c>
      <c r="S59" s="21">
        <f>[1]Grp_4!R57</f>
        <v>0</v>
      </c>
      <c r="T59" s="9"/>
      <c r="U59" s="9"/>
      <c r="V59" s="10"/>
    </row>
    <row r="60" spans="1:22">
      <c r="A60" s="2">
        <v>87</v>
      </c>
      <c r="B60" s="17" t="str">
        <f>[1]Grp_4!A88</f>
        <v>8787</v>
      </c>
      <c r="C60" s="30" t="str">
        <f>[1]Grp_4!B88</f>
        <v>Eastwood Robotics</v>
      </c>
      <c r="D60" s="18" t="str">
        <f>[1]Grp_4!C88</f>
        <v>Eastwood High School</v>
      </c>
      <c r="E60" s="31" t="str">
        <f>[1]Grp_4!D88</f>
        <v>El Paso, Texas, United States</v>
      </c>
      <c r="F60" s="34">
        <f>[1]Grp_4!E88</f>
        <v>0</v>
      </c>
      <c r="G60" s="19">
        <f>[1]Grp_4!F88</f>
        <v>10</v>
      </c>
      <c r="H60" s="37">
        <f>[1]Grp_4!G88</f>
        <v>97.267200000000003</v>
      </c>
      <c r="I60" s="38">
        <f>[1]Grp_4!H88</f>
        <v>16.790299999999998</v>
      </c>
      <c r="J60" s="20">
        <f>[1]Grp_4!I88</f>
        <v>97.267200000000003</v>
      </c>
      <c r="K60" s="20">
        <f>[1]Grp_4!J88</f>
        <v>19.596299999999999</v>
      </c>
      <c r="L60" s="20">
        <f>[1]Grp_4!K88</f>
        <v>0</v>
      </c>
      <c r="M60" s="20">
        <f>[1]Grp_4!L88</f>
        <v>0</v>
      </c>
      <c r="N60" s="20">
        <f>[1]Grp_4!M88</f>
        <v>0</v>
      </c>
      <c r="O60" s="20">
        <f>[1]Grp_4!N88</f>
        <v>0</v>
      </c>
      <c r="P60" s="20">
        <f>[1]Grp_4!O88</f>
        <v>0</v>
      </c>
      <c r="Q60" s="20">
        <f>[1]Grp_4!P88</f>
        <v>0</v>
      </c>
      <c r="R60" s="20">
        <f>[1]Grp_4!Q88</f>
        <v>0</v>
      </c>
      <c r="S60" s="21">
        <f>[1]Grp_4!R58</f>
        <v>0</v>
      </c>
      <c r="T60" s="9"/>
      <c r="U60" s="9"/>
      <c r="V60" s="10"/>
    </row>
    <row r="61" spans="1:22">
      <c r="A61" s="2">
        <v>77</v>
      </c>
      <c r="B61" s="17" t="str">
        <f>[1]Grp_4!A78</f>
        <v>7786C</v>
      </c>
      <c r="C61" s="30" t="str">
        <f>[1]Grp_4!B78</f>
        <v>Xicheng FSCP&amp;BJUT</v>
      </c>
      <c r="D61" s="18" t="str">
        <f>[1]Grp_4!C78</f>
        <v>Xicheng District of Beijing Financial Street Child</v>
      </c>
      <c r="E61" s="31" t="str">
        <f>[1]Grp_4!D78</f>
        <v>beijing, Not Applicable or Not Listed, China</v>
      </c>
      <c r="F61" s="34">
        <f>[1]Grp_4!E78</f>
        <v>0</v>
      </c>
      <c r="G61" s="19">
        <f>[1]Grp_4!F78</f>
        <v>0</v>
      </c>
      <c r="H61" s="37">
        <f>[1]Grp_4!G78</f>
        <v>96.761799999999994</v>
      </c>
      <c r="I61" s="38">
        <f>[1]Grp_4!H78</f>
        <v>96.761799999999994</v>
      </c>
      <c r="J61" s="20">
        <f>[1]Grp_4!I78</f>
        <v>0</v>
      </c>
      <c r="K61" s="20">
        <f>[1]Grp_4!J78</f>
        <v>0</v>
      </c>
      <c r="L61" s="20">
        <f>[1]Grp_4!K78</f>
        <v>0</v>
      </c>
      <c r="M61" s="20">
        <f>[1]Grp_4!L78</f>
        <v>0</v>
      </c>
      <c r="N61" s="20">
        <f>[1]Grp_4!M78</f>
        <v>0</v>
      </c>
      <c r="O61" s="20">
        <f>[1]Grp_4!N78</f>
        <v>0</v>
      </c>
      <c r="P61" s="20">
        <f>[1]Grp_4!O78</f>
        <v>0</v>
      </c>
      <c r="Q61" s="20">
        <f>[1]Grp_4!P78</f>
        <v>0</v>
      </c>
      <c r="R61" s="20">
        <f>[1]Grp_4!Q78</f>
        <v>0</v>
      </c>
      <c r="S61" s="21">
        <f>[1]Grp_4!R59</f>
        <v>0</v>
      </c>
      <c r="T61" s="9"/>
      <c r="U61" s="9"/>
      <c r="V61" s="10"/>
    </row>
    <row r="62" spans="1:22">
      <c r="A62" s="2">
        <v>75</v>
      </c>
      <c r="B62" s="17" t="str">
        <f>[1]Grp_4!A76</f>
        <v>7536B</v>
      </c>
      <c r="C62" s="30" t="str">
        <f>[1]Grp_4!B76</f>
        <v>Counter Logic Mechanics</v>
      </c>
      <c r="D62" s="18" t="str">
        <f>[1]Grp_4!C76</f>
        <v>Ridgeland High School</v>
      </c>
      <c r="E62" s="31" t="str">
        <f>[1]Grp_4!D76</f>
        <v>Ridgeland, Mississippi, United States</v>
      </c>
      <c r="F62" s="34">
        <f>[1]Grp_4!E76</f>
        <v>38</v>
      </c>
      <c r="G62" s="19">
        <f>[1]Grp_4!F76</f>
        <v>0</v>
      </c>
      <c r="H62" s="37">
        <f>[1]Grp_4!G76</f>
        <v>95.623000000000005</v>
      </c>
      <c r="I62" s="38">
        <f>[1]Grp_4!H76</f>
        <v>68.244200000000006</v>
      </c>
      <c r="J62" s="20">
        <f>[1]Grp_4!I76</f>
        <v>95.623000000000005</v>
      </c>
      <c r="K62" s="20">
        <f>[1]Grp_4!J76</f>
        <v>56.292700000000004</v>
      </c>
      <c r="L62" s="20">
        <f>[1]Grp_4!K76</f>
        <v>56.357999999999997</v>
      </c>
      <c r="M62" s="20">
        <f>[1]Grp_4!L76</f>
        <v>9.9640599999999999</v>
      </c>
      <c r="N62" s="20">
        <f>[1]Grp_4!M76</f>
        <v>0</v>
      </c>
      <c r="O62" s="20">
        <f>[1]Grp_4!N76</f>
        <v>0</v>
      </c>
      <c r="P62" s="20">
        <f>[1]Grp_4!O76</f>
        <v>0</v>
      </c>
      <c r="Q62" s="20">
        <f>[1]Grp_4!P76</f>
        <v>0</v>
      </c>
      <c r="R62" s="20">
        <f>[1]Grp_4!Q76</f>
        <v>0</v>
      </c>
      <c r="S62" s="21">
        <f>[1]Grp_4!R60</f>
        <v>0</v>
      </c>
      <c r="T62" s="9"/>
      <c r="U62" s="9"/>
      <c r="V62" s="10"/>
    </row>
    <row r="63" spans="1:22">
      <c r="A63" s="2">
        <v>50</v>
      </c>
      <c r="B63" s="17" t="str">
        <f>[1]Grp_4!A51</f>
        <v>4610Z</v>
      </c>
      <c r="C63" s="30" t="str">
        <f>[1]Grp_4!B51</f>
        <v>And Then There's Jake</v>
      </c>
      <c r="D63" s="18" t="str">
        <f>[1]Grp_4!C51</f>
        <v>Robot Revolution</v>
      </c>
      <c r="E63" s="31" t="str">
        <f>[1]Grp_4!D51</f>
        <v>Summit, New Jersey, United States</v>
      </c>
      <c r="F63" s="34">
        <f>[1]Grp_4!E51</f>
        <v>120</v>
      </c>
      <c r="G63" s="19">
        <f>[1]Grp_4!F51</f>
        <v>55</v>
      </c>
      <c r="H63" s="37">
        <f>[1]Grp_4!G51</f>
        <v>92.872399999999999</v>
      </c>
      <c r="I63" s="38">
        <f>[1]Grp_4!H51</f>
        <v>87.723600000000005</v>
      </c>
      <c r="J63" s="20">
        <f>[1]Grp_4!I51</f>
        <v>85.652100000000004</v>
      </c>
      <c r="K63" s="20">
        <f>[1]Grp_4!J51</f>
        <v>92.872399999999999</v>
      </c>
      <c r="L63" s="20">
        <f>[1]Grp_4!K51</f>
        <v>86.744900000000001</v>
      </c>
      <c r="M63" s="20">
        <f>[1]Grp_4!L51</f>
        <v>86.554000000000002</v>
      </c>
      <c r="N63" s="20">
        <f>[1]Grp_4!M51</f>
        <v>60.108899999999998</v>
      </c>
      <c r="O63" s="20">
        <f>[1]Grp_4!N51</f>
        <v>0</v>
      </c>
      <c r="P63" s="20">
        <f>[1]Grp_4!O51</f>
        <v>0</v>
      </c>
      <c r="Q63" s="20">
        <f>[1]Grp_4!P51</f>
        <v>0</v>
      </c>
      <c r="R63" s="20">
        <f>[1]Grp_4!Q51</f>
        <v>0</v>
      </c>
      <c r="S63" s="21">
        <f>[1]Grp_4!R61</f>
        <v>0</v>
      </c>
      <c r="T63" s="9"/>
      <c r="U63" s="9"/>
      <c r="V63" s="10"/>
    </row>
    <row r="64" spans="1:22">
      <c r="A64" s="2">
        <v>17</v>
      </c>
      <c r="B64" s="17" t="str">
        <f>[1]Grp_4!A18</f>
        <v>778</v>
      </c>
      <c r="C64" s="30" t="str">
        <f>[1]Grp_4!B18</f>
        <v>Atomic Fireballs</v>
      </c>
      <c r="D64" s="18" t="str">
        <f>[1]Grp_4!C18</f>
        <v>Veritas Homeschoolers</v>
      </c>
      <c r="E64" s="31" t="str">
        <f>[1]Grp_4!D18</f>
        <v>Tempe, Arizona, United States</v>
      </c>
      <c r="F64" s="34">
        <f>[1]Grp_4!E18</f>
        <v>135</v>
      </c>
      <c r="G64" s="19">
        <f>[1]Grp_4!F18</f>
        <v>156</v>
      </c>
      <c r="H64" s="37">
        <f>[1]Grp_4!G18</f>
        <v>92.848600000000005</v>
      </c>
      <c r="I64" s="38">
        <f>[1]Grp_4!H18</f>
        <v>83.456500000000005</v>
      </c>
      <c r="J64" s="20">
        <f>[1]Grp_4!I18</f>
        <v>38.647500000000001</v>
      </c>
      <c r="K64" s="20">
        <f>[1]Grp_4!J18</f>
        <v>92.848600000000005</v>
      </c>
      <c r="L64" s="20">
        <f>[1]Grp_4!K18</f>
        <v>34.358699999999999</v>
      </c>
      <c r="M64" s="20">
        <f>[1]Grp_4!L18</f>
        <v>24.564599999999999</v>
      </c>
      <c r="N64" s="20">
        <f>[1]Grp_4!M18</f>
        <v>0</v>
      </c>
      <c r="O64" s="20">
        <f>[1]Grp_4!N18</f>
        <v>0</v>
      </c>
      <c r="P64" s="20">
        <f>[1]Grp_4!O18</f>
        <v>0</v>
      </c>
      <c r="Q64" s="20">
        <f>[1]Grp_4!P18</f>
        <v>0</v>
      </c>
      <c r="R64" s="20">
        <f>[1]Grp_4!Q18</f>
        <v>0</v>
      </c>
      <c r="S64" s="21">
        <f>[1]Grp_4!R62</f>
        <v>0</v>
      </c>
      <c r="T64" s="9"/>
      <c r="U64" s="9"/>
      <c r="V64" s="10"/>
    </row>
    <row r="65" spans="1:22">
      <c r="A65" s="2">
        <v>85</v>
      </c>
      <c r="B65" s="17" t="str">
        <f>[1]Grp_4!A86</f>
        <v>8655V</v>
      </c>
      <c r="C65" s="30" t="str">
        <f>[1]Grp_4!B86</f>
        <v>The Q Is Silqent</v>
      </c>
      <c r="D65" s="18" t="str">
        <f>[1]Grp_4!C86</f>
        <v>Eagan Vex Robotiqs</v>
      </c>
      <c r="E65" s="31" t="str">
        <f>[1]Grp_4!D86</f>
        <v>Eagan, Minnesota, United States</v>
      </c>
      <c r="F65" s="34">
        <f>[1]Grp_4!E86</f>
        <v>58</v>
      </c>
      <c r="G65" s="19">
        <f>[1]Grp_4!F86</f>
        <v>0</v>
      </c>
      <c r="H65" s="37">
        <f>[1]Grp_4!G86</f>
        <v>91.485100000000003</v>
      </c>
      <c r="I65" s="38">
        <f>[1]Grp_4!H86</f>
        <v>89.831599999999995</v>
      </c>
      <c r="J65" s="20">
        <f>[1]Grp_4!I86</f>
        <v>91.485100000000003</v>
      </c>
      <c r="K65" s="20">
        <f>[1]Grp_4!J86</f>
        <v>89.027299999999997</v>
      </c>
      <c r="L65" s="20">
        <f>[1]Grp_4!K86</f>
        <v>0</v>
      </c>
      <c r="M65" s="20">
        <f>[1]Grp_4!L86</f>
        <v>0</v>
      </c>
      <c r="N65" s="20">
        <f>[1]Grp_4!M86</f>
        <v>0</v>
      </c>
      <c r="O65" s="20">
        <f>[1]Grp_4!N86</f>
        <v>0</v>
      </c>
      <c r="P65" s="20">
        <f>[1]Grp_4!O86</f>
        <v>0</v>
      </c>
      <c r="Q65" s="20">
        <f>[1]Grp_4!P86</f>
        <v>0</v>
      </c>
      <c r="R65" s="20">
        <f>[1]Grp_4!Q86</f>
        <v>0</v>
      </c>
      <c r="S65" s="21">
        <f>[1]Grp_4!R63</f>
        <v>0</v>
      </c>
      <c r="T65" s="9"/>
      <c r="U65" s="9"/>
      <c r="V65" s="10"/>
    </row>
    <row r="66" spans="1:22">
      <c r="A66" s="2">
        <v>88</v>
      </c>
      <c r="B66" s="17" t="str">
        <f>[1]Grp_4!A89</f>
        <v>8899X</v>
      </c>
      <c r="C66" s="30" t="str">
        <f>[1]Grp_4!B89</f>
        <v>Vexecutives</v>
      </c>
      <c r="D66" s="18" t="str">
        <f>[1]Grp_4!C89</f>
        <v>Braden River High School</v>
      </c>
      <c r="E66" s="31" t="str">
        <f>[1]Grp_4!D89</f>
        <v>Bradenton, Florida, United States</v>
      </c>
      <c r="F66" s="34">
        <f>[1]Grp_4!E89</f>
        <v>291</v>
      </c>
      <c r="G66" s="19">
        <f>[1]Grp_4!F89</f>
        <v>254</v>
      </c>
      <c r="H66" s="37">
        <f>[1]Grp_4!G89</f>
        <v>90.317800000000005</v>
      </c>
      <c r="I66" s="38">
        <f>[1]Grp_4!H89</f>
        <v>0</v>
      </c>
      <c r="J66" s="20">
        <f>[1]Grp_4!I89</f>
        <v>10.726699999999999</v>
      </c>
      <c r="K66" s="20">
        <f>[1]Grp_4!J89</f>
        <v>48.268000000000001</v>
      </c>
      <c r="L66" s="20">
        <f>[1]Grp_4!K89</f>
        <v>51.341099999999997</v>
      </c>
      <c r="M66" s="20">
        <f>[1]Grp_4!L89</f>
        <v>90.317800000000005</v>
      </c>
      <c r="N66" s="20">
        <f>[1]Grp_4!M89</f>
        <v>0</v>
      </c>
      <c r="O66" s="20">
        <f>[1]Grp_4!N89</f>
        <v>0</v>
      </c>
      <c r="P66" s="20">
        <f>[1]Grp_4!O89</f>
        <v>0</v>
      </c>
      <c r="Q66" s="20">
        <f>[1]Grp_4!P89</f>
        <v>0</v>
      </c>
      <c r="R66" s="20">
        <f>[1]Grp_4!Q89</f>
        <v>0</v>
      </c>
      <c r="S66" s="21">
        <f>[1]Grp_4!R64</f>
        <v>1.9636</v>
      </c>
      <c r="T66" s="9"/>
      <c r="U66" s="9"/>
      <c r="V66" s="10"/>
    </row>
    <row r="67" spans="1:22">
      <c r="A67" s="2">
        <v>63</v>
      </c>
      <c r="B67" s="17" t="str">
        <f>[1]Grp_4!A64</f>
        <v>6008A</v>
      </c>
      <c r="C67" s="30" t="str">
        <f>[1]Grp_4!B64</f>
        <v>Angels in Beta</v>
      </c>
      <c r="D67" s="18" t="str">
        <f>[1]Grp_4!C64</f>
        <v>North Union High School</v>
      </c>
      <c r="E67" s="31" t="str">
        <f>[1]Grp_4!D64</f>
        <v>Richwood, Ohio, United States</v>
      </c>
      <c r="F67" s="34">
        <f>[1]Grp_4!E64</f>
        <v>142</v>
      </c>
      <c r="G67" s="19">
        <f>[1]Grp_4!F64</f>
        <v>137</v>
      </c>
      <c r="H67" s="37">
        <f>[1]Grp_4!G64</f>
        <v>87.578699999999998</v>
      </c>
      <c r="I67" s="38">
        <f>[1]Grp_4!H64</f>
        <v>87.578699999999998</v>
      </c>
      <c r="J67" s="20">
        <f>[1]Grp_4!I64</f>
        <v>57.310099999999998</v>
      </c>
      <c r="K67" s="20">
        <f>[1]Grp_4!J64</f>
        <v>50.701799999999999</v>
      </c>
      <c r="L67" s="20">
        <f>[1]Grp_4!K64</f>
        <v>38.456400000000002</v>
      </c>
      <c r="M67" s="20">
        <f>[1]Grp_4!L64</f>
        <v>41.598599999999998</v>
      </c>
      <c r="N67" s="20">
        <f>[1]Grp_4!M64</f>
        <v>37.766800000000003</v>
      </c>
      <c r="O67" s="20">
        <f>[1]Grp_4!N64</f>
        <v>0</v>
      </c>
      <c r="P67" s="20">
        <f>[1]Grp_4!O64</f>
        <v>25.186699999999998</v>
      </c>
      <c r="Q67" s="20">
        <f>[1]Grp_4!P64</f>
        <v>20.047499999999999</v>
      </c>
      <c r="R67" s="20">
        <f>[1]Grp_4!Q64</f>
        <v>25.283100000000001</v>
      </c>
      <c r="S67" s="21">
        <f>[1]Grp_4!R65</f>
        <v>0</v>
      </c>
      <c r="T67" s="9"/>
      <c r="U67" s="9"/>
      <c r="V67" s="10"/>
    </row>
    <row r="68" spans="1:22">
      <c r="A68" s="2">
        <v>24</v>
      </c>
      <c r="B68" s="17" t="str">
        <f>[1]Grp_4!A25</f>
        <v>1267C</v>
      </c>
      <c r="C68" s="30" t="str">
        <f>[1]Grp_4!B25</f>
        <v>Knights</v>
      </c>
      <c r="D68" s="18" t="str">
        <f>[1]Grp_4!C25</f>
        <v>Delaware County Christian School</v>
      </c>
      <c r="E68" s="31" t="str">
        <f>[1]Grp_4!D25</f>
        <v>Newtown Square, Pennsylvania, United States</v>
      </c>
      <c r="F68" s="34">
        <f>[1]Grp_4!E25</f>
        <v>53</v>
      </c>
      <c r="G68" s="19">
        <f>[1]Grp_4!F25</f>
        <v>164</v>
      </c>
      <c r="H68" s="37">
        <f>[1]Grp_4!G25</f>
        <v>87.575199999999995</v>
      </c>
      <c r="I68" s="38">
        <f>[1]Grp_4!H25</f>
        <v>51.844099999999997</v>
      </c>
      <c r="J68" s="20">
        <f>[1]Grp_4!I25</f>
        <v>54.921500000000002</v>
      </c>
      <c r="K68" s="20">
        <f>[1]Grp_4!J25</f>
        <v>28.636199999999999</v>
      </c>
      <c r="L68" s="20">
        <f>[1]Grp_4!K25</f>
        <v>87.575199999999995</v>
      </c>
      <c r="M68" s="20">
        <f>[1]Grp_4!L25</f>
        <v>44.664400000000001</v>
      </c>
      <c r="N68" s="20">
        <f>[1]Grp_4!M25</f>
        <v>0</v>
      </c>
      <c r="O68" s="20">
        <f>[1]Grp_4!N25</f>
        <v>-13.464499999999999</v>
      </c>
      <c r="P68" s="20">
        <f>[1]Grp_4!O25</f>
        <v>-8.0230300000000004E-2</v>
      </c>
      <c r="Q68" s="20">
        <f>[1]Grp_4!P25</f>
        <v>0</v>
      </c>
      <c r="R68" s="20">
        <f>[1]Grp_4!Q25</f>
        <v>0</v>
      </c>
      <c r="S68" s="21">
        <f>[1]Grp_4!R66</f>
        <v>0</v>
      </c>
      <c r="T68" s="9"/>
      <c r="U68" s="9"/>
      <c r="V68" s="10"/>
    </row>
    <row r="69" spans="1:22">
      <c r="A69" s="2">
        <v>55</v>
      </c>
      <c r="B69" s="17" t="str">
        <f>[1]Grp_4!A56</f>
        <v>5150J</v>
      </c>
      <c r="C69" s="30" t="str">
        <f>[1]Grp_4!B56</f>
        <v>Mad Hatters</v>
      </c>
      <c r="D69" s="18" t="str">
        <f>[1]Grp_4!C56</f>
        <v>Danbury High School</v>
      </c>
      <c r="E69" s="31" t="str">
        <f>[1]Grp_4!D56</f>
        <v>Danbury, Connecticut, United States</v>
      </c>
      <c r="F69" s="34">
        <f>[1]Grp_4!E56</f>
        <v>99</v>
      </c>
      <c r="G69" s="19">
        <f>[1]Grp_4!F56</f>
        <v>41</v>
      </c>
      <c r="H69" s="37">
        <f>[1]Grp_4!G56</f>
        <v>86.920900000000003</v>
      </c>
      <c r="I69" s="38">
        <f>[1]Grp_4!H56</f>
        <v>73.035300000000007</v>
      </c>
      <c r="J69" s="20">
        <f>[1]Grp_4!I56</f>
        <v>57.543399999999998</v>
      </c>
      <c r="K69" s="20">
        <f>[1]Grp_4!J56</f>
        <v>86.920900000000003</v>
      </c>
      <c r="L69" s="20">
        <f>[1]Grp_4!K56</f>
        <v>0</v>
      </c>
      <c r="M69" s="20">
        <f>[1]Grp_4!L56</f>
        <v>0</v>
      </c>
      <c r="N69" s="20">
        <f>[1]Grp_4!M56</f>
        <v>0</v>
      </c>
      <c r="O69" s="20">
        <f>[1]Grp_4!N56</f>
        <v>0</v>
      </c>
      <c r="P69" s="20">
        <f>[1]Grp_4!O56</f>
        <v>0</v>
      </c>
      <c r="Q69" s="20">
        <f>[1]Grp_4!P56</f>
        <v>0</v>
      </c>
      <c r="R69" s="20">
        <f>[1]Grp_4!Q56</f>
        <v>0</v>
      </c>
      <c r="S69" s="21">
        <f>[1]Grp_4!R67</f>
        <v>0</v>
      </c>
      <c r="T69" s="9"/>
      <c r="U69" s="9"/>
      <c r="V69" s="10"/>
    </row>
    <row r="70" spans="1:22">
      <c r="A70" s="2">
        <v>66</v>
      </c>
      <c r="B70" s="17" t="str">
        <f>[1]Grp_4!A67</f>
        <v>6264</v>
      </c>
      <c r="C70" s="30" t="str">
        <f>[1]Grp_4!B67</f>
        <v>The Shawkbots</v>
      </c>
      <c r="D70" s="18" t="str">
        <f>[1]Grp_4!C67</f>
        <v>Shawnigan Lake School</v>
      </c>
      <c r="E70" s="31" t="str">
        <f>[1]Grp_4!D67</f>
        <v>Shawnigan Lake, British Columbia, Canada</v>
      </c>
      <c r="F70" s="34">
        <f>[1]Grp_4!E67</f>
        <v>283</v>
      </c>
      <c r="G70" s="19">
        <f>[1]Grp_4!F67</f>
        <v>0</v>
      </c>
      <c r="H70" s="37">
        <f>[1]Grp_4!G67</f>
        <v>86.446700000000007</v>
      </c>
      <c r="I70" s="38">
        <f>[1]Grp_4!H67</f>
        <v>86.446700000000007</v>
      </c>
      <c r="J70" s="20">
        <f>[1]Grp_4!I67</f>
        <v>28.858799999999999</v>
      </c>
      <c r="K70" s="20">
        <f>[1]Grp_4!J67</f>
        <v>18.383800000000001</v>
      </c>
      <c r="L70" s="20">
        <f>[1]Grp_4!K67</f>
        <v>6.9376199999999999</v>
      </c>
      <c r="M70" s="20">
        <f>[1]Grp_4!L67</f>
        <v>0</v>
      </c>
      <c r="N70" s="20">
        <f>[1]Grp_4!M67</f>
        <v>0</v>
      </c>
      <c r="O70" s="20">
        <f>[1]Grp_4!N67</f>
        <v>0</v>
      </c>
      <c r="P70" s="20">
        <f>[1]Grp_4!O67</f>
        <v>0</v>
      </c>
      <c r="Q70" s="20">
        <f>[1]Grp_4!P67</f>
        <v>0</v>
      </c>
      <c r="R70" s="20">
        <f>[1]Grp_4!Q67</f>
        <v>0</v>
      </c>
      <c r="S70" s="21">
        <f>[1]Grp_4!R68</f>
        <v>0</v>
      </c>
      <c r="T70" s="9"/>
      <c r="U70" s="9"/>
      <c r="V70" s="10"/>
    </row>
    <row r="71" spans="1:22">
      <c r="A71" s="2">
        <v>7</v>
      </c>
      <c r="B71" s="17" t="str">
        <f>[1]Grp_4!A8</f>
        <v>183Z</v>
      </c>
      <c r="C71" s="30" t="str">
        <f>[1]Grp_4!B8</f>
        <v>Synobotz</v>
      </c>
      <c r="D71" s="18" t="str">
        <f>[1]Grp_4!C8</f>
        <v>Team Synobotz</v>
      </c>
      <c r="E71" s="31" t="str">
        <f>[1]Grp_4!D8</f>
        <v>Westminster, Maryland, United States</v>
      </c>
      <c r="F71" s="34">
        <f>[1]Grp_4!E8</f>
        <v>151</v>
      </c>
      <c r="G71" s="19">
        <f>[1]Grp_4!F8</f>
        <v>218</v>
      </c>
      <c r="H71" s="35">
        <f>[1]Grp_4!G8</f>
        <v>86.099500000000006</v>
      </c>
      <c r="I71" s="20">
        <f>[1]Grp_4!H8</f>
        <v>70.310100000000006</v>
      </c>
      <c r="J71" s="20">
        <f>[1]Grp_4!I8</f>
        <v>48.178800000000003</v>
      </c>
      <c r="K71" s="20">
        <f>[1]Grp_4!J8</f>
        <v>86.099500000000006</v>
      </c>
      <c r="L71" s="20">
        <f>[1]Grp_4!K8</f>
        <v>60.555</v>
      </c>
      <c r="M71" s="20">
        <f>[1]Grp_4!L8</f>
        <v>0</v>
      </c>
      <c r="N71" s="20">
        <f>[1]Grp_4!M8</f>
        <v>0</v>
      </c>
      <c r="O71" s="20">
        <f>[1]Grp_4!N8</f>
        <v>0</v>
      </c>
      <c r="P71" s="20">
        <f>[1]Grp_4!O8</f>
        <v>0</v>
      </c>
      <c r="Q71" s="20">
        <f>[1]Grp_4!P8</f>
        <v>0</v>
      </c>
      <c r="R71" s="20">
        <f>[1]Grp_4!Q8</f>
        <v>0</v>
      </c>
      <c r="S71" s="21">
        <f>[1]Grp_4!R69</f>
        <v>0</v>
      </c>
      <c r="T71" s="9"/>
      <c r="U71" s="9"/>
      <c r="V71" s="10"/>
    </row>
    <row r="72" spans="1:22">
      <c r="A72" s="2">
        <v>45</v>
      </c>
      <c r="B72" s="17" t="str">
        <f>[1]Grp_4!A46</f>
        <v>3946W</v>
      </c>
      <c r="C72" s="30" t="str">
        <f>[1]Grp_4!B46</f>
        <v>Sun Devils</v>
      </c>
      <c r="D72" s="18" t="str">
        <f>[1]Grp_4!C46</f>
        <v>Kent Denver School</v>
      </c>
      <c r="E72" s="31" t="str">
        <f>[1]Grp_4!D46</f>
        <v>Englewood, Colorado, United States</v>
      </c>
      <c r="F72" s="34">
        <f>[1]Grp_4!E46</f>
        <v>194</v>
      </c>
      <c r="G72" s="19">
        <f>[1]Grp_4!F46</f>
        <v>320</v>
      </c>
      <c r="H72" s="37">
        <f>[1]Grp_4!G46</f>
        <v>85.489699999999999</v>
      </c>
      <c r="I72" s="38">
        <f>[1]Grp_4!H46</f>
        <v>67.125799999999998</v>
      </c>
      <c r="J72" s="20">
        <f>[1]Grp_4!I46</f>
        <v>85.489699999999999</v>
      </c>
      <c r="K72" s="20">
        <f>[1]Grp_4!J46</f>
        <v>56.720399999999998</v>
      </c>
      <c r="L72" s="20">
        <f>[1]Grp_4!K46</f>
        <v>72.283900000000003</v>
      </c>
      <c r="M72" s="20">
        <f>[1]Grp_4!L46</f>
        <v>3.5691600000000001</v>
      </c>
      <c r="N72" s="20">
        <f>[1]Grp_4!M46</f>
        <v>21.238800000000001</v>
      </c>
      <c r="O72" s="20">
        <f>[1]Grp_4!N46</f>
        <v>0</v>
      </c>
      <c r="P72" s="20">
        <f>[1]Grp_4!O46</f>
        <v>0</v>
      </c>
      <c r="Q72" s="20">
        <f>[1]Grp_4!P46</f>
        <v>0</v>
      </c>
      <c r="R72" s="20">
        <f>[1]Grp_4!Q46</f>
        <v>0</v>
      </c>
      <c r="S72" s="21">
        <f>[1]Grp_4!R70</f>
        <v>0</v>
      </c>
      <c r="T72" s="9"/>
      <c r="U72" s="9"/>
      <c r="V72" s="10"/>
    </row>
    <row r="73" spans="1:22">
      <c r="A73" s="2">
        <v>3</v>
      </c>
      <c r="B73" s="17" t="str">
        <f>[1]Grp_4!A4</f>
        <v>46A</v>
      </c>
      <c r="C73" s="30" t="str">
        <f>[1]Grp_4!B4</f>
        <v>Conquistadors</v>
      </c>
      <c r="D73" s="18" t="str">
        <f>[1]Grp_4!C4</f>
        <v>Seton Junior-Senior High School</v>
      </c>
      <c r="E73" s="31" t="str">
        <f>[1]Grp_4!D4</f>
        <v>Manassas, Virginia, United States</v>
      </c>
      <c r="F73" s="34">
        <f>[1]Grp_4!E4</f>
        <v>119</v>
      </c>
      <c r="G73" s="19">
        <f>[1]Grp_4!F4</f>
        <v>133</v>
      </c>
      <c r="H73" s="35">
        <f>[1]Grp_4!G4</f>
        <v>84.924499999999995</v>
      </c>
      <c r="I73" s="20">
        <f>[1]Grp_4!H4</f>
        <v>69.6708</v>
      </c>
      <c r="J73" s="20">
        <f>[1]Grp_4!I4</f>
        <v>10.106400000000001</v>
      </c>
      <c r="K73" s="20">
        <f>[1]Grp_4!J4</f>
        <v>61.349499999999999</v>
      </c>
      <c r="L73" s="20">
        <f>[1]Grp_4!K4</f>
        <v>84.924499999999995</v>
      </c>
      <c r="M73" s="20">
        <f>[1]Grp_4!L4</f>
        <v>0</v>
      </c>
      <c r="N73" s="20">
        <f>[1]Grp_4!M4</f>
        <v>0</v>
      </c>
      <c r="O73" s="20">
        <f>[1]Grp_4!N4</f>
        <v>0</v>
      </c>
      <c r="P73" s="20">
        <f>[1]Grp_4!O4</f>
        <v>0</v>
      </c>
      <c r="Q73" s="20">
        <f>[1]Grp_4!P4</f>
        <v>0</v>
      </c>
      <c r="R73" s="20">
        <f>[1]Grp_4!Q4</f>
        <v>0</v>
      </c>
      <c r="S73" s="21">
        <f>[1]Grp_4!R71</f>
        <v>0</v>
      </c>
      <c r="T73" s="9"/>
      <c r="U73" s="9"/>
      <c r="V73" s="10"/>
    </row>
    <row r="74" spans="1:22">
      <c r="A74" s="2">
        <v>74</v>
      </c>
      <c r="B74" s="17" t="str">
        <f>[1]Grp_4!A75</f>
        <v>7316E</v>
      </c>
      <c r="C74" s="30" t="str">
        <f>[1]Grp_4!B75</f>
        <v>Firestone Engineering</v>
      </c>
      <c r="D74" s="18" t="str">
        <f>[1]Grp_4!C75</f>
        <v>Firestone Engineering Club</v>
      </c>
      <c r="E74" s="31" t="str">
        <f>[1]Grp_4!D75</f>
        <v>Akron, Ohio, United States</v>
      </c>
      <c r="F74" s="34">
        <f>[1]Grp_4!E75</f>
        <v>112</v>
      </c>
      <c r="G74" s="19">
        <f>[1]Grp_4!F75</f>
        <v>120</v>
      </c>
      <c r="H74" s="37">
        <f>[1]Grp_4!G75</f>
        <v>84.390799999999999</v>
      </c>
      <c r="I74" s="38">
        <f>[1]Grp_4!H75</f>
        <v>84.390799999999999</v>
      </c>
      <c r="J74" s="20">
        <f>[1]Grp_4!I75</f>
        <v>83.138499999999993</v>
      </c>
      <c r="K74" s="20">
        <f>[1]Grp_4!J75</f>
        <v>65.683300000000003</v>
      </c>
      <c r="L74" s="20">
        <f>[1]Grp_4!K75</f>
        <v>0</v>
      </c>
      <c r="M74" s="20">
        <f>[1]Grp_4!L75</f>
        <v>69.372299999999996</v>
      </c>
      <c r="N74" s="20">
        <f>[1]Grp_4!M75</f>
        <v>69.229500000000002</v>
      </c>
      <c r="O74" s="20">
        <f>[1]Grp_4!N75</f>
        <v>65.128699999999995</v>
      </c>
      <c r="P74" s="20">
        <f>[1]Grp_4!O75</f>
        <v>74.706999999999994</v>
      </c>
      <c r="Q74" s="20">
        <f>[1]Grp_4!P75</f>
        <v>0</v>
      </c>
      <c r="R74" s="20">
        <f>[1]Grp_4!Q75</f>
        <v>0</v>
      </c>
      <c r="S74" s="21">
        <f>[1]Grp_4!R72</f>
        <v>0</v>
      </c>
      <c r="T74" s="9"/>
      <c r="U74" s="9"/>
      <c r="V74" s="10"/>
    </row>
    <row r="75" spans="1:22">
      <c r="A75" s="2">
        <v>4</v>
      </c>
      <c r="B75" s="17" t="str">
        <f>[1]Grp_4!A5</f>
        <v>64C</v>
      </c>
      <c r="C75" s="30" t="str">
        <f>[1]Grp_4!B5</f>
        <v>Double Down</v>
      </c>
      <c r="D75" s="18" t="str">
        <f>[1]Grp_4!C5</f>
        <v>Ed W. Clark High School</v>
      </c>
      <c r="E75" s="31" t="str">
        <f>[1]Grp_4!D5</f>
        <v>Las Vegas, Nevada, United States</v>
      </c>
      <c r="F75" s="34">
        <f>[1]Grp_4!E5</f>
        <v>115</v>
      </c>
      <c r="G75" s="19">
        <f>[1]Grp_4!F5</f>
        <v>0</v>
      </c>
      <c r="H75" s="35">
        <f>[1]Grp_4!G5</f>
        <v>83.710400000000007</v>
      </c>
      <c r="I75" s="20">
        <f>[1]Grp_4!H5</f>
        <v>71.643699999999995</v>
      </c>
      <c r="J75" s="20">
        <f>[1]Grp_4!I5</f>
        <v>83.710400000000007</v>
      </c>
      <c r="K75" s="20">
        <f>[1]Grp_4!J5</f>
        <v>47.342700000000001</v>
      </c>
      <c r="L75" s="20">
        <f>[1]Grp_4!K5</f>
        <v>26.6174</v>
      </c>
      <c r="M75" s="20">
        <f>[1]Grp_4!L5</f>
        <v>0</v>
      </c>
      <c r="N75" s="20">
        <f>[1]Grp_4!M5</f>
        <v>0</v>
      </c>
      <c r="O75" s="20">
        <f>[1]Grp_4!N5</f>
        <v>0</v>
      </c>
      <c r="P75" s="20">
        <f>[1]Grp_4!O5</f>
        <v>0</v>
      </c>
      <c r="Q75" s="20">
        <f>[1]Grp_4!P5</f>
        <v>0</v>
      </c>
      <c r="R75" s="20">
        <f>[1]Grp_4!Q5</f>
        <v>0</v>
      </c>
      <c r="S75" s="21">
        <f>[1]Grp_4!R73</f>
        <v>0</v>
      </c>
      <c r="T75" s="9"/>
      <c r="U75" s="9"/>
      <c r="V75" s="10"/>
    </row>
    <row r="76" spans="1:22">
      <c r="A76" s="2">
        <v>93</v>
      </c>
      <c r="B76" s="17" t="str">
        <f>[1]Grp_4!A94</f>
        <v>9458D</v>
      </c>
      <c r="C76" s="30" t="str">
        <f>[1]Grp_4!B94</f>
        <v>Robo Chiefs</v>
      </c>
      <c r="D76" s="18" t="str">
        <f>[1]Grp_4!C94</f>
        <v>Massapequa School District</v>
      </c>
      <c r="E76" s="31" t="str">
        <f>[1]Grp_4!D94</f>
        <v>Massapequa, New York, United States</v>
      </c>
      <c r="F76" s="34">
        <f>[1]Grp_4!E94</f>
        <v>115</v>
      </c>
      <c r="G76" s="19">
        <f>[1]Grp_4!F94</f>
        <v>63</v>
      </c>
      <c r="H76" s="37">
        <f>[1]Grp_4!G94</f>
        <v>80.578100000000006</v>
      </c>
      <c r="I76" s="38">
        <f>[1]Grp_4!H94</f>
        <v>49.837200000000003</v>
      </c>
      <c r="J76" s="20">
        <f>[1]Grp_4!I94</f>
        <v>55.277000000000001</v>
      </c>
      <c r="K76" s="20">
        <f>[1]Grp_4!J94</f>
        <v>64.661600000000007</v>
      </c>
      <c r="L76" s="20">
        <f>[1]Grp_4!K94</f>
        <v>80.578100000000006</v>
      </c>
      <c r="M76" s="20">
        <f>[1]Grp_4!L94</f>
        <v>54.572699999999998</v>
      </c>
      <c r="N76" s="20">
        <f>[1]Grp_4!M94</f>
        <v>38.407299999999999</v>
      </c>
      <c r="O76" s="20">
        <f>[1]Grp_4!N94</f>
        <v>0</v>
      </c>
      <c r="P76" s="20">
        <f>[1]Grp_4!O94</f>
        <v>0</v>
      </c>
      <c r="Q76" s="20">
        <f>[1]Grp_4!P94</f>
        <v>0</v>
      </c>
      <c r="R76" s="20">
        <f>[1]Grp_4!Q94</f>
        <v>0</v>
      </c>
      <c r="S76" s="21">
        <f>[1]Grp_4!R74</f>
        <v>0</v>
      </c>
      <c r="T76" s="9"/>
      <c r="U76" s="9"/>
      <c r="V76" s="10"/>
    </row>
    <row r="77" spans="1:22">
      <c r="A77" s="2">
        <v>67</v>
      </c>
      <c r="B77" s="17" t="str">
        <f>[1]Grp_4!A68</f>
        <v>6323C</v>
      </c>
      <c r="C77" s="30" t="str">
        <f>[1]Grp_4!B68</f>
        <v>Tyrannosaurus Vex</v>
      </c>
      <c r="D77" s="18" t="str">
        <f>[1]Grp_4!C68</f>
        <v>Desert Vista High School</v>
      </c>
      <c r="E77" s="31" t="str">
        <f>[1]Grp_4!D68</f>
        <v>phoenix, Arizona, United States</v>
      </c>
      <c r="F77" s="34">
        <f>[1]Grp_4!E68</f>
        <v>94</v>
      </c>
      <c r="G77" s="19">
        <f>[1]Grp_4!F68</f>
        <v>105</v>
      </c>
      <c r="H77" s="37">
        <f>[1]Grp_4!G68</f>
        <v>77.083399999999997</v>
      </c>
      <c r="I77" s="38">
        <f>[1]Grp_4!H68</f>
        <v>64.446799999999996</v>
      </c>
      <c r="J77" s="20">
        <f>[1]Grp_4!I68</f>
        <v>77.083399999999997</v>
      </c>
      <c r="K77" s="20">
        <f>[1]Grp_4!J68</f>
        <v>15.475</v>
      </c>
      <c r="L77" s="20">
        <f>[1]Grp_4!K68</f>
        <v>1.5767500000000001</v>
      </c>
      <c r="M77" s="20">
        <f>[1]Grp_4!L68</f>
        <v>0</v>
      </c>
      <c r="N77" s="20">
        <f>[1]Grp_4!M68</f>
        <v>0</v>
      </c>
      <c r="O77" s="20">
        <f>[1]Grp_4!N68</f>
        <v>0</v>
      </c>
      <c r="P77" s="20">
        <f>[1]Grp_4!O68</f>
        <v>0</v>
      </c>
      <c r="Q77" s="20">
        <f>[1]Grp_4!P68</f>
        <v>0</v>
      </c>
      <c r="R77" s="20">
        <f>[1]Grp_4!Q68</f>
        <v>0</v>
      </c>
      <c r="S77" s="21">
        <f>[1]Grp_4!R75</f>
        <v>0</v>
      </c>
      <c r="T77" s="9"/>
      <c r="U77" s="9"/>
      <c r="V77" s="10"/>
    </row>
    <row r="78" spans="1:22">
      <c r="A78" s="2">
        <v>43</v>
      </c>
      <c r="B78" s="17" t="str">
        <f>[1]Grp_4!A44</f>
        <v>3536M</v>
      </c>
      <c r="C78" s="30" t="str">
        <f>[1]Grp_4!B44</f>
        <v>Raider Robotics</v>
      </c>
      <c r="D78" s="18" t="str">
        <f>[1]Grp_4!C44</f>
        <v>North Forsyth High School</v>
      </c>
      <c r="E78" s="31" t="str">
        <f>[1]Grp_4!D44</f>
        <v>Cumming, Georgia, United States</v>
      </c>
      <c r="F78" s="34">
        <f>[1]Grp_4!E44</f>
        <v>118</v>
      </c>
      <c r="G78" s="19">
        <f>[1]Grp_4!F44</f>
        <v>59</v>
      </c>
      <c r="H78" s="37">
        <f>[1]Grp_4!G44</f>
        <v>76.988200000000006</v>
      </c>
      <c r="I78" s="38">
        <f>[1]Grp_4!H44</f>
        <v>60.525399999999998</v>
      </c>
      <c r="J78" s="20">
        <f>[1]Grp_4!I44</f>
        <v>55.127400000000002</v>
      </c>
      <c r="K78" s="20">
        <f>[1]Grp_4!J44</f>
        <v>16.590199999999999</v>
      </c>
      <c r="L78" s="20">
        <f>[1]Grp_4!K44</f>
        <v>49.069600000000001</v>
      </c>
      <c r="M78" s="20">
        <f>[1]Grp_4!L44</f>
        <v>76.988200000000006</v>
      </c>
      <c r="N78" s="20">
        <f>[1]Grp_4!M44</f>
        <v>74.298599999999993</v>
      </c>
      <c r="O78" s="20">
        <f>[1]Grp_4!N44</f>
        <v>58.884799999999998</v>
      </c>
      <c r="P78" s="20">
        <f>[1]Grp_4!O44</f>
        <v>44.544800000000002</v>
      </c>
      <c r="Q78" s="20">
        <f>[1]Grp_4!P44</f>
        <v>0</v>
      </c>
      <c r="R78" s="20">
        <f>[1]Grp_4!Q44</f>
        <v>0</v>
      </c>
      <c r="S78" s="21">
        <f>[1]Grp_4!R76</f>
        <v>0</v>
      </c>
      <c r="T78" s="9"/>
      <c r="U78" s="9"/>
      <c r="V78" s="10"/>
    </row>
    <row r="79" spans="1:22">
      <c r="A79" s="2">
        <v>68</v>
      </c>
      <c r="B79" s="17" t="str">
        <f>[1]Grp_4!A69</f>
        <v>6526F</v>
      </c>
      <c r="C79" s="30" t="str">
        <f>[1]Grp_4!B69</f>
        <v>D-High</v>
      </c>
      <c r="D79" s="18" t="str">
        <f>[1]Grp_4!C69</f>
        <v>Damien High School</v>
      </c>
      <c r="E79" s="31" t="str">
        <f>[1]Grp_4!D69</f>
        <v>La Verne, California, United States</v>
      </c>
      <c r="F79" s="34">
        <f>[1]Grp_4!E69</f>
        <v>226</v>
      </c>
      <c r="G79" s="19">
        <f>[1]Grp_4!F69</f>
        <v>160</v>
      </c>
      <c r="H79" s="37">
        <f>[1]Grp_4!G69</f>
        <v>75.131299999999996</v>
      </c>
      <c r="I79" s="38">
        <f>[1]Grp_4!H69</f>
        <v>74.705299999999994</v>
      </c>
      <c r="J79" s="20">
        <f>[1]Grp_4!I69</f>
        <v>75.131299999999996</v>
      </c>
      <c r="K79" s="20">
        <f>[1]Grp_4!J69</f>
        <v>28.598700000000001</v>
      </c>
      <c r="L79" s="20">
        <f>[1]Grp_4!K69</f>
        <v>0</v>
      </c>
      <c r="M79" s="20">
        <f>[1]Grp_4!L69</f>
        <v>0</v>
      </c>
      <c r="N79" s="20">
        <f>[1]Grp_4!M69</f>
        <v>0</v>
      </c>
      <c r="O79" s="20">
        <f>[1]Grp_4!N69</f>
        <v>0</v>
      </c>
      <c r="P79" s="20">
        <f>[1]Grp_4!O69</f>
        <v>0</v>
      </c>
      <c r="Q79" s="20">
        <f>[1]Grp_4!P69</f>
        <v>0</v>
      </c>
      <c r="R79" s="20">
        <f>[1]Grp_4!Q69</f>
        <v>0</v>
      </c>
      <c r="S79" s="21">
        <f>[1]Grp_4!R77</f>
        <v>0</v>
      </c>
      <c r="T79" s="9"/>
      <c r="U79" s="9"/>
      <c r="V79" s="10"/>
    </row>
    <row r="80" spans="1:22">
      <c r="A80" s="2">
        <v>82</v>
      </c>
      <c r="B80" s="17" t="str">
        <f>[1]Grp_4!A83</f>
        <v>8171</v>
      </c>
      <c r="C80" s="30" t="str">
        <f>[1]Grp_4!B83</f>
        <v>Team R.O.U.S.E</v>
      </c>
      <c r="D80" s="18" t="str">
        <f>[1]Grp_4!C83</f>
        <v>Independent</v>
      </c>
      <c r="E80" s="31" t="str">
        <f>[1]Grp_4!D83</f>
        <v>Colchester, Essex, United Kingdom</v>
      </c>
      <c r="F80" s="34">
        <f>[1]Grp_4!E83</f>
        <v>123</v>
      </c>
      <c r="G80" s="19">
        <f>[1]Grp_4!F83</f>
        <v>0</v>
      </c>
      <c r="H80" s="37">
        <f>[1]Grp_4!G83</f>
        <v>74.6066</v>
      </c>
      <c r="I80" s="38">
        <f>[1]Grp_4!H83</f>
        <v>45.706600000000002</v>
      </c>
      <c r="J80" s="20">
        <f>[1]Grp_4!I83</f>
        <v>74.6066</v>
      </c>
      <c r="K80" s="20">
        <f>[1]Grp_4!J83</f>
        <v>21.361699999999999</v>
      </c>
      <c r="L80" s="20">
        <f>[1]Grp_4!K83</f>
        <v>3.0934599999999999</v>
      </c>
      <c r="M80" s="20">
        <f>[1]Grp_4!L83</f>
        <v>0</v>
      </c>
      <c r="N80" s="20">
        <f>[1]Grp_4!M83</f>
        <v>0</v>
      </c>
      <c r="O80" s="20">
        <f>[1]Grp_4!N83</f>
        <v>0</v>
      </c>
      <c r="P80" s="20">
        <f>[1]Grp_4!O83</f>
        <v>0</v>
      </c>
      <c r="Q80" s="20">
        <f>[1]Grp_4!P83</f>
        <v>0</v>
      </c>
      <c r="R80" s="20">
        <f>[1]Grp_4!Q83</f>
        <v>0</v>
      </c>
      <c r="S80" s="21">
        <f>[1]Grp_4!R78</f>
        <v>0</v>
      </c>
      <c r="T80" s="9"/>
      <c r="U80" s="9"/>
      <c r="V80" s="10"/>
    </row>
    <row r="81" spans="1:22">
      <c r="A81" s="2">
        <v>15</v>
      </c>
      <c r="B81" s="17" t="str">
        <f>[1]Grp_4!A16</f>
        <v>605F</v>
      </c>
      <c r="C81" s="30" t="str">
        <f>[1]Grp_4!B16</f>
        <v>CECyTEH San Luis 6</v>
      </c>
      <c r="D81" s="18" t="str">
        <f>[1]Grp_4!C16</f>
        <v>CECyTEH San Luis</v>
      </c>
      <c r="E81" s="31" t="str">
        <f>[1]Grp_4!D16</f>
        <v>San Luis Potosí, San Luis Potosí, Mexico</v>
      </c>
      <c r="F81" s="34">
        <f>[1]Grp_4!E16</f>
        <v>0</v>
      </c>
      <c r="G81" s="19">
        <f>[1]Grp_4!F16</f>
        <v>0</v>
      </c>
      <c r="H81" s="37">
        <f>[1]Grp_4!G16</f>
        <v>74.343599999999995</v>
      </c>
      <c r="I81" s="38">
        <f>[1]Grp_4!H16</f>
        <v>37.9833</v>
      </c>
      <c r="J81" s="20">
        <f>[1]Grp_4!I16</f>
        <v>34.363799999999998</v>
      </c>
      <c r="K81" s="20">
        <f>[1]Grp_4!J16</f>
        <v>74.343599999999995</v>
      </c>
      <c r="L81" s="20">
        <f>[1]Grp_4!K16</f>
        <v>0</v>
      </c>
      <c r="M81" s="20">
        <f>[1]Grp_4!L16</f>
        <v>0</v>
      </c>
      <c r="N81" s="20">
        <f>[1]Grp_4!M16</f>
        <v>0</v>
      </c>
      <c r="O81" s="20">
        <f>[1]Grp_4!N16</f>
        <v>0</v>
      </c>
      <c r="P81" s="20">
        <f>[1]Grp_4!O16</f>
        <v>0</v>
      </c>
      <c r="Q81" s="20">
        <f>[1]Grp_4!P16</f>
        <v>0</v>
      </c>
      <c r="R81" s="20">
        <f>[1]Grp_4!Q16</f>
        <v>0</v>
      </c>
      <c r="S81" s="21">
        <f>[1]Grp_4!R79</f>
        <v>0</v>
      </c>
      <c r="T81" s="9"/>
      <c r="U81" s="9"/>
      <c r="V81" s="10"/>
    </row>
    <row r="82" spans="1:22">
      <c r="A82" s="2">
        <v>6</v>
      </c>
      <c r="B82" s="17" t="str">
        <f>[1]Grp_4!A7</f>
        <v>169B</v>
      </c>
      <c r="C82" s="30" t="str">
        <f>[1]Grp_4!B7</f>
        <v>The Cavalry</v>
      </c>
      <c r="D82" s="18" t="str">
        <f>[1]Grp_4!C7</f>
        <v>Haverford School Robotics</v>
      </c>
      <c r="E82" s="31" t="str">
        <f>[1]Grp_4!D7</f>
        <v>Haverford, Pennsylvania, United States</v>
      </c>
      <c r="F82" s="34">
        <f>[1]Grp_4!E7</f>
        <v>300</v>
      </c>
      <c r="G82" s="19">
        <f>[1]Grp_4!F7</f>
        <v>306</v>
      </c>
      <c r="H82" s="35">
        <f>[1]Grp_4!G7</f>
        <v>70.460599999999999</v>
      </c>
      <c r="I82" s="20">
        <f>[1]Grp_4!H7</f>
        <v>61.6098</v>
      </c>
      <c r="J82" s="20">
        <f>[1]Grp_4!I7</f>
        <v>70.460599999999999</v>
      </c>
      <c r="K82" s="20">
        <f>[1]Grp_4!J7</f>
        <v>50.3825</v>
      </c>
      <c r="L82" s="20">
        <f>[1]Grp_4!K7</f>
        <v>0</v>
      </c>
      <c r="M82" s="20">
        <f>[1]Grp_4!L7</f>
        <v>0</v>
      </c>
      <c r="N82" s="20">
        <f>[1]Grp_4!M7</f>
        <v>0</v>
      </c>
      <c r="O82" s="20">
        <f>[1]Grp_4!N7</f>
        <v>0</v>
      </c>
      <c r="P82" s="20">
        <f>[1]Grp_4!O7</f>
        <v>0</v>
      </c>
      <c r="Q82" s="20">
        <f>[1]Grp_4!P7</f>
        <v>0</v>
      </c>
      <c r="R82" s="20">
        <f>[1]Grp_4!Q7</f>
        <v>0</v>
      </c>
      <c r="S82" s="21">
        <f>[1]Grp_4!R80</f>
        <v>0</v>
      </c>
      <c r="T82" s="9"/>
      <c r="U82" s="9"/>
      <c r="V82" s="10"/>
    </row>
    <row r="83" spans="1:22">
      <c r="A83" s="2">
        <v>14</v>
      </c>
      <c r="B83" s="17" t="str">
        <f>[1]Grp_4!A15</f>
        <v>569C</v>
      </c>
      <c r="C83" s="30" t="str">
        <f>[1]Grp_4!B15</f>
        <v>NightHawk Robotics Club</v>
      </c>
      <c r="D83" s="18" t="str">
        <f>[1]Grp_4!C15</f>
        <v>Murrieta Valley High School</v>
      </c>
      <c r="E83" s="31" t="str">
        <f>[1]Grp_4!D15</f>
        <v>Murrieta, California, United States</v>
      </c>
      <c r="F83" s="34">
        <f>[1]Grp_4!E15</f>
        <v>69</v>
      </c>
      <c r="G83" s="19">
        <f>[1]Grp_4!F15</f>
        <v>77</v>
      </c>
      <c r="H83" s="37">
        <f>[1]Grp_4!G15</f>
        <v>68.920500000000004</v>
      </c>
      <c r="I83" s="38">
        <f>[1]Grp_4!H15</f>
        <v>58.436900000000001</v>
      </c>
      <c r="J83" s="20">
        <f>[1]Grp_4!I15</f>
        <v>48.630299999999998</v>
      </c>
      <c r="K83" s="20">
        <f>[1]Grp_4!J15</f>
        <v>38.502200000000002</v>
      </c>
      <c r="L83" s="20">
        <f>[1]Grp_4!K15</f>
        <v>68.920500000000004</v>
      </c>
      <c r="M83" s="20">
        <f>[1]Grp_4!L15</f>
        <v>45.476799999999997</v>
      </c>
      <c r="N83" s="20">
        <f>[1]Grp_4!M15</f>
        <v>0</v>
      </c>
      <c r="O83" s="20">
        <f>[1]Grp_4!N15</f>
        <v>0</v>
      </c>
      <c r="P83" s="20">
        <f>[1]Grp_4!O15</f>
        <v>0</v>
      </c>
      <c r="Q83" s="20">
        <f>[1]Grp_4!P15</f>
        <v>0</v>
      </c>
      <c r="R83" s="20">
        <f>[1]Grp_4!Q15</f>
        <v>0</v>
      </c>
      <c r="S83" s="21">
        <f>[1]Grp_4!R81</f>
        <v>0</v>
      </c>
      <c r="T83" s="9"/>
      <c r="U83" s="9"/>
      <c r="V83" s="10"/>
    </row>
    <row r="84" spans="1:22">
      <c r="A84" s="2">
        <v>70</v>
      </c>
      <c r="B84" s="17" t="str">
        <f>[1]Grp_4!A71</f>
        <v>6862</v>
      </c>
      <c r="C84" s="30" t="str">
        <f>[1]Grp_4!B71</f>
        <v>Team Comet Robotics Club</v>
      </c>
      <c r="D84" s="18" t="str">
        <f>[1]Grp_4!C71</f>
        <v>Team Comet Robotics Club</v>
      </c>
      <c r="E84" s="31" t="str">
        <f>[1]Grp_4!D71</f>
        <v>Marion, Ohio, United States</v>
      </c>
      <c r="F84" s="34">
        <f>[1]Grp_4!E71</f>
        <v>55</v>
      </c>
      <c r="G84" s="19">
        <f>[1]Grp_4!F71</f>
        <v>0</v>
      </c>
      <c r="H84" s="37">
        <f>[1]Grp_4!G71</f>
        <v>68.359499999999997</v>
      </c>
      <c r="I84" s="38">
        <f>[1]Grp_4!H71</f>
        <v>61.093000000000004</v>
      </c>
      <c r="J84" s="20">
        <f>[1]Grp_4!I71</f>
        <v>35.150199999999998</v>
      </c>
      <c r="K84" s="20">
        <f>[1]Grp_4!J71</f>
        <v>63.577800000000003</v>
      </c>
      <c r="L84" s="20">
        <f>[1]Grp_4!K71</f>
        <v>68.359499999999997</v>
      </c>
      <c r="M84" s="20">
        <f>[1]Grp_4!L71</f>
        <v>7.5114599999999996</v>
      </c>
      <c r="N84" s="20">
        <f>[1]Grp_4!M71</f>
        <v>67.595799999999997</v>
      </c>
      <c r="O84" s="20">
        <f>[1]Grp_4!N71</f>
        <v>20.482900000000001</v>
      </c>
      <c r="P84" s="20">
        <f>[1]Grp_4!O71</f>
        <v>51.782699999999998</v>
      </c>
      <c r="Q84" s="20">
        <f>[1]Grp_4!P71</f>
        <v>0</v>
      </c>
      <c r="R84" s="20">
        <f>[1]Grp_4!Q71</f>
        <v>0</v>
      </c>
      <c r="S84" s="21">
        <f>[1]Grp_4!R82</f>
        <v>0</v>
      </c>
      <c r="T84" s="9"/>
      <c r="U84" s="9"/>
      <c r="V84" s="10"/>
    </row>
    <row r="85" spans="1:22">
      <c r="A85" s="2">
        <v>38</v>
      </c>
      <c r="B85" s="17" t="str">
        <f>[1]Grp_4!A39</f>
        <v>2719A</v>
      </c>
      <c r="C85" s="30" t="str">
        <f>[1]Grp_4!B39</f>
        <v>The Face of Boe</v>
      </c>
      <c r="D85" s="18" t="str">
        <f>[1]Grp_4!C39</f>
        <v>Triton Central High School</v>
      </c>
      <c r="E85" s="31" t="str">
        <f>[1]Grp_4!D39</f>
        <v>Fairland, Indiana, United States</v>
      </c>
      <c r="F85" s="34">
        <f>[1]Grp_4!E39</f>
        <v>271</v>
      </c>
      <c r="G85" s="19">
        <f>[1]Grp_4!F39</f>
        <v>155</v>
      </c>
      <c r="H85" s="37">
        <f>[1]Grp_4!G39</f>
        <v>66.643100000000004</v>
      </c>
      <c r="I85" s="38">
        <f>[1]Grp_4!H39</f>
        <v>1.4150199999999999</v>
      </c>
      <c r="J85" s="20">
        <f>[1]Grp_4!I39</f>
        <v>17.331800000000001</v>
      </c>
      <c r="K85" s="20">
        <f>[1]Grp_4!J39</f>
        <v>43.669699999999999</v>
      </c>
      <c r="L85" s="20">
        <f>[1]Grp_4!K39</f>
        <v>5.5204500000000003</v>
      </c>
      <c r="M85" s="20">
        <f>[1]Grp_4!L39</f>
        <v>4.3399299999999998</v>
      </c>
      <c r="N85" s="20">
        <f>[1]Grp_4!M39</f>
        <v>66.643100000000004</v>
      </c>
      <c r="O85" s="20">
        <f>[1]Grp_4!N39</f>
        <v>55.834299999999999</v>
      </c>
      <c r="P85" s="20">
        <f>[1]Grp_4!O39</f>
        <v>18.005099999999999</v>
      </c>
      <c r="Q85" s="20">
        <f>[1]Grp_4!P39</f>
        <v>0</v>
      </c>
      <c r="R85" s="20">
        <f>[1]Grp_4!Q39</f>
        <v>0</v>
      </c>
      <c r="S85" s="21">
        <f>[1]Grp_4!R83</f>
        <v>0</v>
      </c>
      <c r="T85" s="9"/>
      <c r="U85" s="9"/>
      <c r="V85" s="10"/>
    </row>
    <row r="86" spans="1:22">
      <c r="A86" s="2">
        <v>52</v>
      </c>
      <c r="B86" s="17" t="str">
        <f>[1]Grp_4!A53</f>
        <v>4828B</v>
      </c>
      <c r="C86" s="30" t="str">
        <f>[1]Grp_4!B53</f>
        <v>BrewTech Robotics - B</v>
      </c>
      <c r="D86" s="18" t="str">
        <f>[1]Grp_4!C53</f>
        <v>Brewbaker Technology Magnet High School</v>
      </c>
      <c r="E86" s="31" t="str">
        <f>[1]Grp_4!D53</f>
        <v>Montgomery, Alabama, United States</v>
      </c>
      <c r="F86" s="34">
        <f>[1]Grp_4!E53</f>
        <v>168</v>
      </c>
      <c r="G86" s="19">
        <f>[1]Grp_4!F53</f>
        <v>166</v>
      </c>
      <c r="H86" s="37">
        <f>[1]Grp_4!G53</f>
        <v>66.389200000000002</v>
      </c>
      <c r="I86" s="38">
        <f>[1]Grp_4!H53</f>
        <v>66.389200000000002</v>
      </c>
      <c r="J86" s="20">
        <f>[1]Grp_4!I53</f>
        <v>55.332500000000003</v>
      </c>
      <c r="K86" s="20">
        <f>[1]Grp_4!J53</f>
        <v>25.825099999999999</v>
      </c>
      <c r="L86" s="20">
        <f>[1]Grp_4!K53</f>
        <v>53.729799999999997</v>
      </c>
      <c r="M86" s="20">
        <f>[1]Grp_4!L53</f>
        <v>0</v>
      </c>
      <c r="N86" s="20">
        <f>[1]Grp_4!M53</f>
        <v>0</v>
      </c>
      <c r="O86" s="20">
        <f>[1]Grp_4!N53</f>
        <v>0</v>
      </c>
      <c r="P86" s="20">
        <f>[1]Grp_4!O53</f>
        <v>0</v>
      </c>
      <c r="Q86" s="20">
        <f>[1]Grp_4!P53</f>
        <v>0</v>
      </c>
      <c r="R86" s="20">
        <f>[1]Grp_4!Q53</f>
        <v>0</v>
      </c>
      <c r="S86" s="21">
        <f>[1]Grp_4!R84</f>
        <v>0</v>
      </c>
      <c r="T86" s="9"/>
      <c r="U86" s="9"/>
      <c r="V86" s="10"/>
    </row>
    <row r="87" spans="1:22">
      <c r="A87" s="2">
        <v>92</v>
      </c>
      <c r="B87" s="17" t="str">
        <f>[1]Grp_4!A93</f>
        <v>9364E</v>
      </c>
      <c r="C87" s="30" t="str">
        <f>[1]Grp_4!B93</f>
        <v>Iron Eagles</v>
      </c>
      <c r="D87" s="18" t="str">
        <f>[1]Grp_4!C93</f>
        <v>Brentwood Academy</v>
      </c>
      <c r="E87" s="31" t="str">
        <f>[1]Grp_4!D93</f>
        <v>Brentwood, Tennessee, United States</v>
      </c>
      <c r="F87" s="34">
        <f>[1]Grp_4!E93</f>
        <v>288</v>
      </c>
      <c r="G87" s="19">
        <f>[1]Grp_4!F93</f>
        <v>150</v>
      </c>
      <c r="H87" s="37">
        <f>[1]Grp_4!G93</f>
        <v>65.072599999999994</v>
      </c>
      <c r="I87" s="38">
        <f>[1]Grp_4!H93</f>
        <v>52.616599999999998</v>
      </c>
      <c r="J87" s="20">
        <f>[1]Grp_4!I93</f>
        <v>65.072599999999994</v>
      </c>
      <c r="K87" s="20">
        <f>[1]Grp_4!J93</f>
        <v>45.636299999999999</v>
      </c>
      <c r="L87" s="20">
        <f>[1]Grp_4!K93</f>
        <v>23.168099999999999</v>
      </c>
      <c r="M87" s="20">
        <f>[1]Grp_4!L93</f>
        <v>21.506399999999999</v>
      </c>
      <c r="N87" s="20">
        <f>[1]Grp_4!M93</f>
        <v>16.296299999999999</v>
      </c>
      <c r="O87" s="20">
        <f>[1]Grp_4!N93</f>
        <v>0</v>
      </c>
      <c r="P87" s="20">
        <f>[1]Grp_4!O93</f>
        <v>0</v>
      </c>
      <c r="Q87" s="20">
        <f>[1]Grp_4!P93</f>
        <v>0</v>
      </c>
      <c r="R87" s="20">
        <f>[1]Grp_4!Q93</f>
        <v>0</v>
      </c>
      <c r="S87" s="21">
        <f>[1]Grp_4!R85</f>
        <v>0</v>
      </c>
      <c r="T87" s="9"/>
      <c r="U87" s="9"/>
      <c r="V87" s="10"/>
    </row>
    <row r="88" spans="1:22">
      <c r="A88" s="2">
        <v>81</v>
      </c>
      <c r="B88" s="17" t="str">
        <f>[1]Grp_4!A82</f>
        <v>8059B</v>
      </c>
      <c r="C88" s="30" t="str">
        <f>[1]Grp_4!B82</f>
        <v>Blank.</v>
      </c>
      <c r="D88" s="18" t="str">
        <f>[1]Grp_4!C82</f>
        <v>Anglo-Chinese School (Independent)</v>
      </c>
      <c r="E88" s="31" t="str">
        <f>[1]Grp_4!D82</f>
        <v>Singapore, Not Applicable or Not Listed, Singapore</v>
      </c>
      <c r="F88" s="34">
        <f>[1]Grp_4!E82</f>
        <v>117</v>
      </c>
      <c r="G88" s="19">
        <f>[1]Grp_4!F82</f>
        <v>0</v>
      </c>
      <c r="H88" s="37">
        <f>[1]Grp_4!G82</f>
        <v>64.527299999999997</v>
      </c>
      <c r="I88" s="38">
        <f>[1]Grp_4!H82</f>
        <v>64.527299999999997</v>
      </c>
      <c r="J88" s="20">
        <f>[1]Grp_4!I82</f>
        <v>0</v>
      </c>
      <c r="K88" s="20">
        <f>[1]Grp_4!J82</f>
        <v>0</v>
      </c>
      <c r="L88" s="20">
        <f>[1]Grp_4!K82</f>
        <v>0</v>
      </c>
      <c r="M88" s="20">
        <f>[1]Grp_4!L82</f>
        <v>0</v>
      </c>
      <c r="N88" s="20">
        <f>[1]Grp_4!M82</f>
        <v>0</v>
      </c>
      <c r="O88" s="20">
        <f>[1]Grp_4!N82</f>
        <v>0</v>
      </c>
      <c r="P88" s="20">
        <f>[1]Grp_4!O82</f>
        <v>0</v>
      </c>
      <c r="Q88" s="20">
        <f>[1]Grp_4!P82</f>
        <v>0</v>
      </c>
      <c r="R88" s="20">
        <f>[1]Grp_4!Q82</f>
        <v>0</v>
      </c>
      <c r="S88" s="21">
        <f>[1]Grp_4!R86</f>
        <v>0</v>
      </c>
      <c r="T88" s="9"/>
      <c r="U88" s="9"/>
      <c r="V88" s="10"/>
    </row>
    <row r="89" spans="1:22">
      <c r="A89" s="2">
        <v>58</v>
      </c>
      <c r="B89" s="17" t="str">
        <f>[1]Grp_4!A59</f>
        <v>5482A</v>
      </c>
      <c r="C89" s="30" t="str">
        <f>[1]Grp_4!B59</f>
        <v>CECyTEH Huejutla 1</v>
      </c>
      <c r="D89" s="18" t="str">
        <f>[1]Grp_4!C59</f>
        <v>CECyTEH Plantel Huejutla</v>
      </c>
      <c r="E89" s="31" t="str">
        <f>[1]Grp_4!D59</f>
        <v>Huejutla de Reyes, Hgo., Hidalgo, Mexico</v>
      </c>
      <c r="F89" s="34">
        <f>[1]Grp_4!E59</f>
        <v>0</v>
      </c>
      <c r="G89" s="19">
        <f>[1]Grp_4!F59</f>
        <v>0</v>
      </c>
      <c r="H89" s="37">
        <f>[1]Grp_4!G59</f>
        <v>63.1464</v>
      </c>
      <c r="I89" s="38">
        <f>[1]Grp_4!H59</f>
        <v>44.030700000000003</v>
      </c>
      <c r="J89" s="20">
        <f>[1]Grp_4!I59</f>
        <v>63.1464</v>
      </c>
      <c r="K89" s="20">
        <f>[1]Grp_4!J59</f>
        <v>34.0886</v>
      </c>
      <c r="L89" s="20">
        <f>[1]Grp_4!K59</f>
        <v>40.853499999999997</v>
      </c>
      <c r="M89" s="20">
        <f>[1]Grp_4!L59</f>
        <v>0</v>
      </c>
      <c r="N89" s="20">
        <f>[1]Grp_4!M59</f>
        <v>0</v>
      </c>
      <c r="O89" s="20">
        <f>[1]Grp_4!N59</f>
        <v>0</v>
      </c>
      <c r="P89" s="20">
        <f>[1]Grp_4!O59</f>
        <v>0</v>
      </c>
      <c r="Q89" s="20">
        <f>[1]Grp_4!P59</f>
        <v>0</v>
      </c>
      <c r="R89" s="20">
        <f>[1]Grp_4!Q59</f>
        <v>0</v>
      </c>
      <c r="S89" s="21">
        <f>[1]Grp_4!R87</f>
        <v>0</v>
      </c>
      <c r="T89" s="9"/>
      <c r="U89" s="9"/>
      <c r="V89" s="10"/>
    </row>
    <row r="90" spans="1:22">
      <c r="A90" s="2">
        <v>30</v>
      </c>
      <c r="B90" s="17" t="str">
        <f>[1]Grp_4!A31</f>
        <v>1727F</v>
      </c>
      <c r="C90" s="30" t="str">
        <f>[1]Grp_4!B31</f>
        <v>REX</v>
      </c>
      <c r="D90" s="18" t="str">
        <f>[1]Grp_4!C31</f>
        <v>Dulaney High School</v>
      </c>
      <c r="E90" s="31" t="str">
        <f>[1]Grp_4!D31</f>
        <v>Timonium, Maryland, United States</v>
      </c>
      <c r="F90" s="34">
        <f>[1]Grp_4!E31</f>
        <v>143</v>
      </c>
      <c r="G90" s="19">
        <f>[1]Grp_4!F31</f>
        <v>91</v>
      </c>
      <c r="H90" s="37">
        <f>[1]Grp_4!G31</f>
        <v>58.509599999999999</v>
      </c>
      <c r="I90" s="38">
        <f>[1]Grp_4!H31</f>
        <v>55.409500000000001</v>
      </c>
      <c r="J90" s="20">
        <f>[1]Grp_4!I31</f>
        <v>30.772200000000002</v>
      </c>
      <c r="K90" s="20">
        <f>[1]Grp_4!J31</f>
        <v>58.509599999999999</v>
      </c>
      <c r="L90" s="20">
        <f>[1]Grp_4!K31</f>
        <v>10.2341</v>
      </c>
      <c r="M90" s="20">
        <f>[1]Grp_4!L31</f>
        <v>23.3721</v>
      </c>
      <c r="N90" s="20">
        <f>[1]Grp_4!M31</f>
        <v>0</v>
      </c>
      <c r="O90" s="20">
        <f>[1]Grp_4!N31</f>
        <v>0</v>
      </c>
      <c r="P90" s="20">
        <f>[1]Grp_4!O31</f>
        <v>0</v>
      </c>
      <c r="Q90" s="20">
        <f>[1]Grp_4!P31</f>
        <v>0</v>
      </c>
      <c r="R90" s="20">
        <f>[1]Grp_4!Q31</f>
        <v>0</v>
      </c>
      <c r="S90" s="21">
        <f>[1]Grp_4!R88</f>
        <v>0</v>
      </c>
      <c r="T90" s="9"/>
      <c r="U90" s="9"/>
      <c r="V90" s="10"/>
    </row>
    <row r="91" spans="1:22">
      <c r="A91" s="2">
        <v>96</v>
      </c>
      <c r="B91" s="17" t="str">
        <f>[1]Grp_4!A97</f>
        <v>9932E</v>
      </c>
      <c r="C91" s="30" t="str">
        <f>[1]Grp_4!B97</f>
        <v>Hawks</v>
      </c>
      <c r="D91" s="18" t="str">
        <f>[1]Grp_4!C97</f>
        <v>Jericho High School</v>
      </c>
      <c r="E91" s="31" t="str">
        <f>[1]Grp_4!D97</f>
        <v>Jericho, New York, United States</v>
      </c>
      <c r="F91" s="34">
        <f>[1]Grp_4!E97</f>
        <v>78</v>
      </c>
      <c r="G91" s="19">
        <f>[1]Grp_4!F97</f>
        <v>140</v>
      </c>
      <c r="H91" s="37">
        <f>[1]Grp_4!G97</f>
        <v>55.331200000000003</v>
      </c>
      <c r="I91" s="38">
        <f>[1]Grp_4!H97</f>
        <v>55.331200000000003</v>
      </c>
      <c r="J91" s="20">
        <f>[1]Grp_4!I97</f>
        <v>24.729600000000001</v>
      </c>
      <c r="K91" s="20">
        <f>[1]Grp_4!J97</f>
        <v>26.549900000000001</v>
      </c>
      <c r="L91" s="20">
        <f>[1]Grp_4!K97</f>
        <v>49.457299999999996</v>
      </c>
      <c r="M91" s="20">
        <f>[1]Grp_4!L97</f>
        <v>19.268999999999998</v>
      </c>
      <c r="N91" s="20">
        <f>[1]Grp_4!M97</f>
        <v>21.027799999999999</v>
      </c>
      <c r="O91" s="20">
        <f>[1]Grp_4!N97</f>
        <v>0</v>
      </c>
      <c r="P91" s="20">
        <f>[1]Grp_4!O97</f>
        <v>0</v>
      </c>
      <c r="Q91" s="20">
        <f>[1]Grp_4!P97</f>
        <v>0</v>
      </c>
      <c r="R91" s="20">
        <f>[1]Grp_4!Q97</f>
        <v>0</v>
      </c>
      <c r="S91" s="21">
        <f>[1]Grp_4!R89</f>
        <v>0</v>
      </c>
      <c r="T91" s="9"/>
      <c r="U91" s="9"/>
      <c r="V91" s="10"/>
    </row>
    <row r="92" spans="1:22">
      <c r="A92" s="2">
        <v>51</v>
      </c>
      <c r="B92" s="17" t="str">
        <f>[1]Grp_4!A52</f>
        <v>4805E</v>
      </c>
      <c r="C92" s="30" t="str">
        <f>[1]Grp_4!B52</f>
        <v>B.O.S.</v>
      </c>
      <c r="D92" s="18" t="str">
        <f>[1]Grp_4!C52</f>
        <v>Marion Harding High School</v>
      </c>
      <c r="E92" s="31" t="str">
        <f>[1]Grp_4!D52</f>
        <v>Marion, Ohio, United States</v>
      </c>
      <c r="F92" s="34">
        <f>[1]Grp_4!E52</f>
        <v>0</v>
      </c>
      <c r="G92" s="19">
        <f>[1]Grp_4!F52</f>
        <v>141</v>
      </c>
      <c r="H92" s="37">
        <f>[1]Grp_4!G52</f>
        <v>51.571100000000001</v>
      </c>
      <c r="I92" s="38">
        <f>[1]Grp_4!H52</f>
        <v>51.571100000000001</v>
      </c>
      <c r="J92" s="20">
        <f>[1]Grp_4!I52</f>
        <v>33.081000000000003</v>
      </c>
      <c r="K92" s="20">
        <f>[1]Grp_4!J52</f>
        <v>44.777000000000001</v>
      </c>
      <c r="L92" s="20">
        <f>[1]Grp_4!K52</f>
        <v>13.762</v>
      </c>
      <c r="M92" s="20">
        <f>[1]Grp_4!L52</f>
        <v>0</v>
      </c>
      <c r="N92" s="20">
        <f>[1]Grp_4!M52</f>
        <v>25.657900000000001</v>
      </c>
      <c r="O92" s="20">
        <f>[1]Grp_4!N52</f>
        <v>18.7318</v>
      </c>
      <c r="P92" s="20">
        <f>[1]Grp_4!O52</f>
        <v>26.637799999999999</v>
      </c>
      <c r="Q92" s="20">
        <f>[1]Grp_4!P52</f>
        <v>14.602600000000001</v>
      </c>
      <c r="R92" s="20">
        <f>[1]Grp_4!Q52</f>
        <v>0</v>
      </c>
      <c r="S92" s="21">
        <f>[1]Grp_4!R90</f>
        <v>0</v>
      </c>
      <c r="T92" s="9"/>
      <c r="U92" s="9"/>
      <c r="V92" s="10"/>
    </row>
    <row r="93" spans="1:22">
      <c r="A93" s="2">
        <v>79</v>
      </c>
      <c r="B93" s="17" t="str">
        <f>[1]Grp_4!A80</f>
        <v>7972B</v>
      </c>
      <c r="C93" s="30" t="str">
        <f>[1]Grp_4!B80</f>
        <v>Gaoxin NO.1 High Sch B</v>
      </c>
      <c r="D93" s="18" t="str">
        <f>[1]Grp_4!C80</f>
        <v>Xi'an Gaoxin NO.1 High School</v>
      </c>
      <c r="E93" s="31" t="str">
        <f>[1]Grp_4!D80</f>
        <v>xi'an, Not Applicable or Not Listed, China</v>
      </c>
      <c r="F93" s="34">
        <f>[1]Grp_4!E80</f>
        <v>398</v>
      </c>
      <c r="G93" s="19">
        <f>[1]Grp_4!F80</f>
        <v>305</v>
      </c>
      <c r="H93" s="37">
        <f>[1]Grp_4!G80</f>
        <v>50.019599999999997</v>
      </c>
      <c r="I93" s="38">
        <f>[1]Grp_4!H80</f>
        <v>50.019599999999997</v>
      </c>
      <c r="J93" s="20">
        <f>[1]Grp_4!I80</f>
        <v>0</v>
      </c>
      <c r="K93" s="20">
        <f>[1]Grp_4!J80</f>
        <v>0</v>
      </c>
      <c r="L93" s="20">
        <f>[1]Grp_4!K80</f>
        <v>0</v>
      </c>
      <c r="M93" s="20">
        <f>[1]Grp_4!L80</f>
        <v>0</v>
      </c>
      <c r="N93" s="20">
        <f>[1]Grp_4!M80</f>
        <v>0</v>
      </c>
      <c r="O93" s="20">
        <f>[1]Grp_4!N80</f>
        <v>0</v>
      </c>
      <c r="P93" s="20">
        <f>[1]Grp_4!O80</f>
        <v>0</v>
      </c>
      <c r="Q93" s="20">
        <f>[1]Grp_4!P80</f>
        <v>0</v>
      </c>
      <c r="R93" s="20">
        <f>[1]Grp_4!Q80</f>
        <v>0</v>
      </c>
      <c r="S93" s="21">
        <f>[1]Grp_4!R91</f>
        <v>0</v>
      </c>
      <c r="T93" s="9"/>
      <c r="U93" s="9"/>
      <c r="V93" s="10"/>
    </row>
    <row r="94" spans="1:22">
      <c r="A94" s="2">
        <v>91</v>
      </c>
      <c r="B94" s="17" t="str">
        <f>[1]Grp_4!A92</f>
        <v>9225C</v>
      </c>
      <c r="C94" s="30" t="str">
        <f>[1]Grp_4!B92</f>
        <v>Team Juice Box</v>
      </c>
      <c r="D94" s="18" t="str">
        <f>[1]Grp_4!C92</f>
        <v>White Plains High School</v>
      </c>
      <c r="E94" s="31" t="str">
        <f>[1]Grp_4!D92</f>
        <v>Anniston, Alabama, United States</v>
      </c>
      <c r="F94" s="34">
        <f>[1]Grp_4!E92</f>
        <v>89</v>
      </c>
      <c r="G94" s="19">
        <f>[1]Grp_4!F92</f>
        <v>0</v>
      </c>
      <c r="H94" s="37">
        <f>[1]Grp_4!G92</f>
        <v>48.179299999999998</v>
      </c>
      <c r="I94" s="38">
        <f>[1]Grp_4!H92</f>
        <v>26.1891</v>
      </c>
      <c r="J94" s="20">
        <f>[1]Grp_4!I92</f>
        <v>48.179299999999998</v>
      </c>
      <c r="K94" s="20">
        <f>[1]Grp_4!J92</f>
        <v>11.748100000000001</v>
      </c>
      <c r="L94" s="20">
        <f>[1]Grp_4!K92</f>
        <v>14.382899999999999</v>
      </c>
      <c r="M94" s="20">
        <f>[1]Grp_4!L92</f>
        <v>-12.6555</v>
      </c>
      <c r="N94" s="20">
        <f>[1]Grp_4!M92</f>
        <v>0</v>
      </c>
      <c r="O94" s="20">
        <f>[1]Grp_4!N92</f>
        <v>0</v>
      </c>
      <c r="P94" s="20">
        <f>[1]Grp_4!O92</f>
        <v>0</v>
      </c>
      <c r="Q94" s="20">
        <f>[1]Grp_4!P92</f>
        <v>0</v>
      </c>
      <c r="R94" s="20">
        <f>[1]Grp_4!Q92</f>
        <v>0</v>
      </c>
      <c r="S94" s="21">
        <f>[1]Grp_4!R92</f>
        <v>0</v>
      </c>
      <c r="T94" s="9"/>
      <c r="U94" s="9"/>
      <c r="V94" s="10"/>
    </row>
    <row r="95" spans="1:22">
      <c r="A95" s="2">
        <v>1</v>
      </c>
      <c r="B95" s="17" t="str">
        <f>[1]Grp_4!A2</f>
        <v>10D</v>
      </c>
      <c r="C95" s="30" t="str">
        <f>[1]Grp_4!B2</f>
        <v>Exothermic Dichotomy</v>
      </c>
      <c r="D95" s="18" t="str">
        <f>[1]Grp_4!C2</f>
        <v>Exothermic Robotics</v>
      </c>
      <c r="E95" s="31" t="str">
        <f>[1]Grp_4!D2</f>
        <v>Redmond, Washington, United States</v>
      </c>
      <c r="F95" s="34">
        <f>[1]Grp_4!E2</f>
        <v>0</v>
      </c>
      <c r="G95" s="19">
        <f>[1]Grp_4!F2</f>
        <v>0</v>
      </c>
      <c r="H95" s="35">
        <f>[1]Grp_4!G2</f>
        <v>47.432299999999998</v>
      </c>
      <c r="I95" s="20">
        <f>[1]Grp_4!H2</f>
        <v>47.432299999999998</v>
      </c>
      <c r="J95" s="20">
        <f>[1]Grp_4!I2</f>
        <v>19.273900000000001</v>
      </c>
      <c r="K95" s="20">
        <f>[1]Grp_4!J2</f>
        <v>7.9199400000000004</v>
      </c>
      <c r="L95" s="20">
        <f>[1]Grp_4!K2</f>
        <v>20.750800000000002</v>
      </c>
      <c r="M95" s="20">
        <f>[1]Grp_4!L2</f>
        <v>16.109500000000001</v>
      </c>
      <c r="N95" s="20">
        <f>[1]Grp_4!M2</f>
        <v>3.98813</v>
      </c>
      <c r="O95" s="20">
        <f>[1]Grp_4!N2</f>
        <v>0</v>
      </c>
      <c r="P95" s="20">
        <f>[1]Grp_4!O2</f>
        <v>0</v>
      </c>
      <c r="Q95" s="20">
        <f>[1]Grp_4!P2</f>
        <v>0</v>
      </c>
      <c r="R95" s="20">
        <f>[1]Grp_4!Q2</f>
        <v>0</v>
      </c>
      <c r="S95" s="21">
        <f>[1]Grp_4!R93</f>
        <v>0</v>
      </c>
      <c r="T95" s="9"/>
      <c r="U95" s="9"/>
      <c r="V95" s="10"/>
    </row>
    <row r="96" spans="1:22">
      <c r="A96" s="2">
        <v>44</v>
      </c>
      <c r="B96" s="17" t="str">
        <f>[1]Grp_4!A45</f>
        <v>3818A</v>
      </c>
      <c r="C96" s="30" t="str">
        <f>[1]Grp_4!B45</f>
        <v>ISManila</v>
      </c>
      <c r="D96" s="18" t="str">
        <f>[1]Grp_4!C45</f>
        <v>International School Manila</v>
      </c>
      <c r="E96" s="31" t="str">
        <f>[1]Grp_4!D45</f>
        <v>Manila, Not Applicable or Not Listed, Philippines</v>
      </c>
      <c r="F96" s="34">
        <f>[1]Grp_4!E45</f>
        <v>79</v>
      </c>
      <c r="G96" s="19">
        <f>[1]Grp_4!F45</f>
        <v>84</v>
      </c>
      <c r="H96" s="37">
        <f>[1]Grp_4!G45</f>
        <v>46.437199999999997</v>
      </c>
      <c r="I96" s="38">
        <f>[1]Grp_4!H45</f>
        <v>46.437199999999997</v>
      </c>
      <c r="J96" s="20">
        <f>[1]Grp_4!I45</f>
        <v>0</v>
      </c>
      <c r="K96" s="20">
        <f>[1]Grp_4!J45</f>
        <v>0</v>
      </c>
      <c r="L96" s="20">
        <f>[1]Grp_4!K45</f>
        <v>0</v>
      </c>
      <c r="M96" s="20">
        <f>[1]Grp_4!L45</f>
        <v>0</v>
      </c>
      <c r="N96" s="20">
        <f>[1]Grp_4!M45</f>
        <v>0</v>
      </c>
      <c r="O96" s="20">
        <f>[1]Grp_4!N45</f>
        <v>0</v>
      </c>
      <c r="P96" s="20">
        <f>[1]Grp_4!O45</f>
        <v>0</v>
      </c>
      <c r="Q96" s="20">
        <f>[1]Grp_4!P45</f>
        <v>0</v>
      </c>
      <c r="R96" s="20">
        <f>[1]Grp_4!Q45</f>
        <v>0</v>
      </c>
      <c r="S96" s="21">
        <f>[1]Grp_4!R94</f>
        <v>0</v>
      </c>
      <c r="T96" s="9"/>
      <c r="U96" s="9"/>
      <c r="V96" s="10"/>
    </row>
    <row r="97" spans="1:22">
      <c r="A97" s="2">
        <v>59</v>
      </c>
      <c r="B97" s="17" t="str">
        <f>[1]Grp_4!A60</f>
        <v>5588E</v>
      </c>
      <c r="C97" s="30" t="str">
        <f>[1]Grp_4!B60</f>
        <v>Calvert Hall Cardinals</v>
      </c>
      <c r="D97" s="18" t="str">
        <f>[1]Grp_4!C60</f>
        <v>Calvert Hall College High School</v>
      </c>
      <c r="E97" s="31" t="str">
        <f>[1]Grp_4!D60</f>
        <v>Towson, Maryland, United States</v>
      </c>
      <c r="F97" s="34">
        <f>[1]Grp_4!E60</f>
        <v>218</v>
      </c>
      <c r="G97" s="19">
        <f>[1]Grp_4!F60</f>
        <v>0</v>
      </c>
      <c r="H97" s="37">
        <f>[1]Grp_4!G60</f>
        <v>29.628399999999999</v>
      </c>
      <c r="I97" s="38">
        <f>[1]Grp_4!H60</f>
        <v>29.628399999999999</v>
      </c>
      <c r="J97" s="20">
        <f>[1]Grp_4!I60</f>
        <v>-0.31102999999999997</v>
      </c>
      <c r="K97" s="20">
        <f>[1]Grp_4!J60</f>
        <v>21.8292</v>
      </c>
      <c r="L97" s="20">
        <f>[1]Grp_4!K60</f>
        <v>15.895799999999999</v>
      </c>
      <c r="M97" s="20">
        <f>[1]Grp_4!L60</f>
        <v>0</v>
      </c>
      <c r="N97" s="20">
        <f>[1]Grp_4!M60</f>
        <v>0</v>
      </c>
      <c r="O97" s="20">
        <f>[1]Grp_4!N60</f>
        <v>0</v>
      </c>
      <c r="P97" s="20">
        <f>[1]Grp_4!O60</f>
        <v>0</v>
      </c>
      <c r="Q97" s="20">
        <f>[1]Grp_4!P60</f>
        <v>0</v>
      </c>
      <c r="R97" s="20">
        <f>[1]Grp_4!Q60</f>
        <v>0</v>
      </c>
      <c r="S97" s="21">
        <f>[1]Grp_4!R95</f>
        <v>0</v>
      </c>
      <c r="T97" s="9"/>
      <c r="U97" s="9"/>
      <c r="V97" s="10"/>
    </row>
    <row r="98" spans="1:22">
      <c r="A98" s="2">
        <v>94</v>
      </c>
      <c r="B98" s="17" t="str">
        <f>[1]Grp_4!A95</f>
        <v>9692A</v>
      </c>
      <c r="C98" s="30" t="str">
        <f>[1]Grp_4!B95</f>
        <v>TCIS1</v>
      </c>
      <c r="D98" s="18" t="str">
        <f>[1]Grp_4!C95</f>
        <v>Thai-Chinese International School</v>
      </c>
      <c r="E98" s="31" t="str">
        <f>[1]Grp_4!D95</f>
        <v>Bangkok, N/A, Thailand</v>
      </c>
      <c r="F98" s="34">
        <f>[1]Grp_4!E95</f>
        <v>0</v>
      </c>
      <c r="G98" s="19">
        <f>[1]Grp_4!F95</f>
        <v>0</v>
      </c>
      <c r="H98" s="37">
        <f>[1]Grp_4!G95</f>
        <v>21.113099999999999</v>
      </c>
      <c r="I98" s="38">
        <f>[1]Grp_4!H95</f>
        <v>21.113099999999999</v>
      </c>
      <c r="J98" s="20">
        <f>[1]Grp_4!I95</f>
        <v>0</v>
      </c>
      <c r="K98" s="20">
        <f>[1]Grp_4!J95</f>
        <v>0</v>
      </c>
      <c r="L98" s="20">
        <f>[1]Grp_4!K95</f>
        <v>0</v>
      </c>
      <c r="M98" s="20">
        <f>[1]Grp_4!L95</f>
        <v>0</v>
      </c>
      <c r="N98" s="20">
        <f>[1]Grp_4!M95</f>
        <v>0</v>
      </c>
      <c r="O98" s="20">
        <f>[1]Grp_4!N95</f>
        <v>0</v>
      </c>
      <c r="P98" s="20">
        <f>[1]Grp_4!O95</f>
        <v>0</v>
      </c>
      <c r="Q98" s="20">
        <f>[1]Grp_4!P95</f>
        <v>0</v>
      </c>
      <c r="R98" s="20">
        <f>[1]Grp_4!Q95</f>
        <v>0</v>
      </c>
      <c r="S98" s="21">
        <f>[1]Grp_4!R96</f>
        <v>0</v>
      </c>
      <c r="T98" s="9"/>
      <c r="U98" s="9"/>
      <c r="V98" s="10"/>
    </row>
    <row r="99" spans="1:22">
      <c r="A99" s="2">
        <v>41</v>
      </c>
      <c r="B99" s="17" t="str">
        <f>[1]Grp_4!A42</f>
        <v>3285B</v>
      </c>
      <c r="C99" s="30" t="str">
        <f>[1]Grp_4!B42</f>
        <v>Central China Team</v>
      </c>
      <c r="D99" s="18" t="str">
        <f>[1]Grp_4!C42</f>
        <v>Central China Team</v>
      </c>
      <c r="E99" s="31" t="str">
        <f>[1]Grp_4!D42</f>
        <v>Xi'an, N/A, China</v>
      </c>
      <c r="F99" s="34">
        <f>[1]Grp_4!E42</f>
        <v>0</v>
      </c>
      <c r="G99" s="19">
        <f>[1]Grp_4!F42</f>
        <v>386</v>
      </c>
      <c r="H99" s="37">
        <f>[1]Grp_4!G42</f>
        <v>0</v>
      </c>
      <c r="I99" s="38">
        <f>[1]Grp_4!H42</f>
        <v>0</v>
      </c>
      <c r="J99" s="20">
        <f>[1]Grp_4!I42</f>
        <v>0</v>
      </c>
      <c r="K99" s="20">
        <f>[1]Grp_4!J42</f>
        <v>0</v>
      </c>
      <c r="L99" s="20">
        <f>[1]Grp_4!K42</f>
        <v>0</v>
      </c>
      <c r="M99" s="20">
        <f>[1]Grp_4!L42</f>
        <v>0</v>
      </c>
      <c r="N99" s="20">
        <f>[1]Grp_4!M42</f>
        <v>0</v>
      </c>
      <c r="O99" s="20">
        <f>[1]Grp_4!N42</f>
        <v>0</v>
      </c>
      <c r="P99" s="20">
        <f>[1]Grp_4!O42</f>
        <v>0</v>
      </c>
      <c r="Q99" s="20">
        <f>[1]Grp_4!P42</f>
        <v>0</v>
      </c>
      <c r="R99" s="20">
        <f>[1]Grp_4!Q42</f>
        <v>0</v>
      </c>
      <c r="S99" s="21">
        <f>[1]Grp_4!R97</f>
        <v>0</v>
      </c>
      <c r="T99" s="9"/>
      <c r="U99" s="9"/>
      <c r="V99" s="10"/>
    </row>
    <row r="100" spans="1:22">
      <c r="A100" s="2">
        <v>86</v>
      </c>
      <c r="B100" s="17" t="str">
        <f>[1]Grp_4!A87</f>
        <v>8691E</v>
      </c>
      <c r="C100" s="30" t="str">
        <f>[1]Grp_4!B87</f>
        <v>hefei NO.8 SMSch E</v>
      </c>
      <c r="D100" s="18" t="str">
        <f>[1]Grp_4!C87</f>
        <v>Hefei No.8 Senior Middle School</v>
      </c>
      <c r="E100" s="31" t="str">
        <f>[1]Grp_4!D87</f>
        <v>hefei, Not Applicable or Not Listed, China</v>
      </c>
      <c r="F100" s="34">
        <f>[1]Grp_4!E87</f>
        <v>0</v>
      </c>
      <c r="G100" s="19">
        <f>[1]Grp_4!F87</f>
        <v>0</v>
      </c>
      <c r="H100" s="37">
        <f>[1]Grp_4!G87</f>
        <v>0</v>
      </c>
      <c r="I100" s="38">
        <f>[1]Grp_4!H87</f>
        <v>0</v>
      </c>
      <c r="J100" s="20">
        <f>[1]Grp_4!I87</f>
        <v>0</v>
      </c>
      <c r="K100" s="20">
        <f>[1]Grp_4!J87</f>
        <v>0</v>
      </c>
      <c r="L100" s="20">
        <f>[1]Grp_4!K87</f>
        <v>0</v>
      </c>
      <c r="M100" s="20">
        <f>[1]Grp_4!L87</f>
        <v>0</v>
      </c>
      <c r="N100" s="20">
        <f>[1]Grp_4!M87</f>
        <v>0</v>
      </c>
      <c r="O100" s="20">
        <f>[1]Grp_4!N87</f>
        <v>0</v>
      </c>
      <c r="P100" s="20">
        <f>[1]Grp_4!O87</f>
        <v>0</v>
      </c>
      <c r="Q100" s="20">
        <f>[1]Grp_4!P87</f>
        <v>0</v>
      </c>
      <c r="R100" s="20">
        <f>[1]Grp_4!Q87</f>
        <v>0</v>
      </c>
      <c r="S100" s="21">
        <f>[1]Grp_4!R98</f>
        <v>0</v>
      </c>
      <c r="T100" s="9"/>
      <c r="U100" s="9"/>
      <c r="V100" s="10"/>
    </row>
    <row r="101" spans="1:22">
      <c r="A101" s="2">
        <v>97</v>
      </c>
      <c r="B101" s="17" t="str">
        <f>[1]Grp_4!A98</f>
        <v>32016A</v>
      </c>
      <c r="C101" s="30" t="str">
        <f>[1]Grp_4!B98</f>
        <v>North China Team</v>
      </c>
      <c r="D101" s="18" t="str">
        <f>[1]Grp_4!C98</f>
        <v>North China Team</v>
      </c>
      <c r="E101" s="31" t="str">
        <f>[1]Grp_4!D98</f>
        <v>Xi'an, N/A, China</v>
      </c>
      <c r="F101" s="34">
        <f>[1]Grp_4!E98</f>
        <v>0</v>
      </c>
      <c r="G101" s="19">
        <f>[1]Grp_4!F98</f>
        <v>357</v>
      </c>
      <c r="H101" s="37">
        <f>[1]Grp_4!G98</f>
        <v>0</v>
      </c>
      <c r="I101" s="38">
        <f>[1]Grp_4!H98</f>
        <v>0</v>
      </c>
      <c r="J101" s="20">
        <f>[1]Grp_4!I98</f>
        <v>0</v>
      </c>
      <c r="K101" s="20">
        <f>[1]Grp_4!J98</f>
        <v>0</v>
      </c>
      <c r="L101" s="20">
        <f>[1]Grp_4!K98</f>
        <v>0</v>
      </c>
      <c r="M101" s="20">
        <f>[1]Grp_4!L98</f>
        <v>0</v>
      </c>
      <c r="N101" s="20">
        <f>[1]Grp_4!M98</f>
        <v>0</v>
      </c>
      <c r="O101" s="20">
        <f>[1]Grp_4!N98</f>
        <v>0</v>
      </c>
      <c r="P101" s="20">
        <f>[1]Grp_4!O98</f>
        <v>0</v>
      </c>
      <c r="Q101" s="20">
        <f>[1]Grp_4!P98</f>
        <v>0</v>
      </c>
      <c r="R101" s="20">
        <f>[1]Grp_4!Q98</f>
        <v>0</v>
      </c>
      <c r="S101" s="21">
        <f>[1]Grp_4!R99</f>
        <v>0</v>
      </c>
      <c r="T101" s="9"/>
      <c r="U101" s="9"/>
      <c r="V101" s="10"/>
    </row>
    <row r="102" spans="1:22">
      <c r="A102" s="2">
        <v>99</v>
      </c>
      <c r="B102" s="22" t="str">
        <f>[1]Grp_4!A100</f>
        <v>99611</v>
      </c>
      <c r="C102" s="32" t="str">
        <f>[1]Grp_4!B100</f>
        <v xml:space="preserve">Hope of Syria </v>
      </c>
      <c r="D102" s="23" t="str">
        <f>[1]Grp_4!C100</f>
        <v xml:space="preserve">MAPs Organization </v>
      </c>
      <c r="E102" s="33" t="str">
        <f>[1]Grp_4!D100</f>
        <v>Damascus , N/A, Syria</v>
      </c>
      <c r="F102" s="36">
        <f>[1]Grp_4!E100</f>
        <v>0</v>
      </c>
      <c r="G102" s="24">
        <f>[1]Grp_4!F100</f>
        <v>0</v>
      </c>
      <c r="H102" s="39">
        <f>[1]Grp_4!G100</f>
        <v>0</v>
      </c>
      <c r="I102" s="40">
        <f>[1]Grp_4!H100</f>
        <v>0</v>
      </c>
      <c r="J102" s="25">
        <f>[1]Grp_4!I100</f>
        <v>0</v>
      </c>
      <c r="K102" s="25">
        <f>[1]Grp_4!J100</f>
        <v>0</v>
      </c>
      <c r="L102" s="25">
        <f>[1]Grp_4!K100</f>
        <v>0</v>
      </c>
      <c r="M102" s="25">
        <f>[1]Grp_4!L100</f>
        <v>0</v>
      </c>
      <c r="N102" s="25">
        <f>[1]Grp_4!M100</f>
        <v>0</v>
      </c>
      <c r="O102" s="25">
        <f>[1]Grp_4!N100</f>
        <v>0</v>
      </c>
      <c r="P102" s="25">
        <f>[1]Grp_4!O100</f>
        <v>0</v>
      </c>
      <c r="Q102" s="25">
        <f>[1]Grp_4!P100</f>
        <v>0</v>
      </c>
      <c r="R102" s="25">
        <f>[1]Grp_4!Q100</f>
        <v>0</v>
      </c>
      <c r="S102" s="26">
        <f>[1]Grp_4!R100</f>
        <v>0</v>
      </c>
      <c r="T102" s="9"/>
      <c r="U102" s="9"/>
      <c r="V102" s="10"/>
    </row>
    <row r="103" spans="1:22">
      <c r="A103" s="2">
        <v>100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2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2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6:21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6:21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6:21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6:21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6:21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6:21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6:21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6:21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6:21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6:21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6:21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6:21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6:21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6:21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6:21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6:21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6:21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6:21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6:21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6:21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6:21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6:21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6:21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6:21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6:21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6:21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6:21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6:21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6:21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6:21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6:21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6:21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6:21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6:21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6:21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6:21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6:21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6:21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6:21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6:21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6:21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6:21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6:21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6:21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6:21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6:21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6:21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6:21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6:21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6:21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6:21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6:21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6:21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6:21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6:21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6:21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6:21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6:21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6:21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6:21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6:21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6:21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6:21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6:21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6:21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6:21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6:21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6:21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6:21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6:21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6:21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6:21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6:21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6:21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6:21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6:21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6:21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6:21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6:21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6:21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6:21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6:21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6:21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6:21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6:21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6:21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6:21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6:21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6:21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6:21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6:21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6:21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6:21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6:21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6:21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6:21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6:21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6:21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6:21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6:21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6:21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6:21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6:21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6:21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6:21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6:21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6:21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6:21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6:21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6:21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6:21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6:21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6:21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6:21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6:21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6:21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6:21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6:21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6:21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6:21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6:21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6:21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6:21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6:21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6:21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6:21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6:21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6:21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6:21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6:21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6:21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6:21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6:21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  <row r="246" spans="6:21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</row>
    <row r="247" spans="6:21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</row>
    <row r="248" spans="6:21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</row>
    <row r="249" spans="6:21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</row>
    <row r="250" spans="6:21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</row>
    <row r="251" spans="6:21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</row>
    <row r="252" spans="6:21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</row>
    <row r="253" spans="6:21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</row>
    <row r="254" spans="6:21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</row>
    <row r="255" spans="6:21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</row>
    <row r="256" spans="6:21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</row>
    <row r="257" spans="6:21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</row>
    <row r="258" spans="6:21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</row>
    <row r="259" spans="6:21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</row>
    <row r="260" spans="6:21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</row>
    <row r="261" spans="6:21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</row>
    <row r="262" spans="6:21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</row>
    <row r="263" spans="6:21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</row>
    <row r="264" spans="6:21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</row>
    <row r="265" spans="6:21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</row>
    <row r="266" spans="6:21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</row>
    <row r="267" spans="6:21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</row>
    <row r="268" spans="6:21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</row>
    <row r="269" spans="6:21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</row>
    <row r="270" spans="6:21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</row>
    <row r="271" spans="6:21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</row>
    <row r="272" spans="6:21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</row>
    <row r="273" spans="6:21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</row>
    <row r="274" spans="6:21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</row>
    <row r="275" spans="6:21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</row>
    <row r="276" spans="6:21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</row>
    <row r="277" spans="6:21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</row>
    <row r="278" spans="6:21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</row>
    <row r="279" spans="6:21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</row>
    <row r="280" spans="6:21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</row>
    <row r="281" spans="6:21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</row>
    <row r="282" spans="6:21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</row>
    <row r="283" spans="6:21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</row>
    <row r="284" spans="6:21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</row>
    <row r="285" spans="6:21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</row>
    <row r="286" spans="6:21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</row>
    <row r="287" spans="6:21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</row>
    <row r="288" spans="6:21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</row>
    <row r="289" spans="6:21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</row>
    <row r="290" spans="6:21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</row>
    <row r="291" spans="6:21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</row>
    <row r="292" spans="6:21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</row>
    <row r="293" spans="6:21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</row>
    <row r="294" spans="6:21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</row>
    <row r="295" spans="6:21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</row>
    <row r="296" spans="6:21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</row>
    <row r="297" spans="6:21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</row>
    <row r="298" spans="6:21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</row>
    <row r="299" spans="6:21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</row>
    <row r="300" spans="6:21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</row>
    <row r="301" spans="6:21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</row>
    <row r="302" spans="6:21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</row>
    <row r="303" spans="6:21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</row>
    <row r="304" spans="6:21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</row>
    <row r="305" spans="6:21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</row>
    <row r="306" spans="6:21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</row>
    <row r="307" spans="6:21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</row>
    <row r="308" spans="6:21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</row>
    <row r="309" spans="6:21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</row>
    <row r="310" spans="6:21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</row>
    <row r="311" spans="6:21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</row>
    <row r="312" spans="6:21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</row>
    <row r="313" spans="6:21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</row>
    <row r="314" spans="6:21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</row>
    <row r="315" spans="6:21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</row>
    <row r="316" spans="6:21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</row>
    <row r="317" spans="6:21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</row>
    <row r="318" spans="6:21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</row>
    <row r="319" spans="6:21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</row>
    <row r="320" spans="6:21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</row>
    <row r="321" spans="6:21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</row>
    <row r="322" spans="6:21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</row>
    <row r="323" spans="6:21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</row>
    <row r="324" spans="6:21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</row>
    <row r="325" spans="6:21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</row>
    <row r="326" spans="6:21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</row>
    <row r="327" spans="6:21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</row>
    <row r="328" spans="6:21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</row>
    <row r="329" spans="6:21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</row>
    <row r="330" spans="6:21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</row>
    <row r="331" spans="6:21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</row>
    <row r="332" spans="6:21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</row>
    <row r="333" spans="6:21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</row>
    <row r="334" spans="6:21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</row>
    <row r="335" spans="6:21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</row>
    <row r="336" spans="6:21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</row>
    <row r="337" spans="6:21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</row>
    <row r="338" spans="6:21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</row>
    <row r="339" spans="6:21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</row>
    <row r="340" spans="6:21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</row>
    <row r="341" spans="6:21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</row>
    <row r="342" spans="6:21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</row>
    <row r="343" spans="6:21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</row>
    <row r="344" spans="6:21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</row>
    <row r="345" spans="6:21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</row>
    <row r="346" spans="6:21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</row>
    <row r="347" spans="6:21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</row>
    <row r="348" spans="6:21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</row>
    <row r="349" spans="6:21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</row>
    <row r="350" spans="6:21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</row>
    <row r="351" spans="6:21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</row>
    <row r="352" spans="6:21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</row>
    <row r="353" spans="6:21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</row>
    <row r="354" spans="6:21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</row>
    <row r="355" spans="6:21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</row>
    <row r="356" spans="6:21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</row>
    <row r="357" spans="6:21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</row>
    <row r="358" spans="6:21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</row>
    <row r="359" spans="6:21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</row>
    <row r="360" spans="6:21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</row>
    <row r="361" spans="6:21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</row>
    <row r="362" spans="6:21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</row>
    <row r="363" spans="6:21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</row>
    <row r="364" spans="6:21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</row>
    <row r="365" spans="6:21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</row>
    <row r="366" spans="6:21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</row>
    <row r="367" spans="6:21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</row>
    <row r="368" spans="6:21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</row>
    <row r="369" spans="6:21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</row>
    <row r="370" spans="6:21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</row>
    <row r="371" spans="6:21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</row>
    <row r="372" spans="6:21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</row>
    <row r="373" spans="6:21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</row>
    <row r="374" spans="6:21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</row>
    <row r="375" spans="6:21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</row>
    <row r="376" spans="6:21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</row>
    <row r="377" spans="6:21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</row>
    <row r="378" spans="6:21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</row>
    <row r="379" spans="6:21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</row>
    <row r="380" spans="6:21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</row>
    <row r="381" spans="6:21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</row>
    <row r="382" spans="6:21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</row>
    <row r="383" spans="6:21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</row>
    <row r="384" spans="6:21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</row>
    <row r="385" spans="6:21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</row>
    <row r="386" spans="6:21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</row>
    <row r="387" spans="6:21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</row>
    <row r="388" spans="6:21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</row>
    <row r="389" spans="6:21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</row>
    <row r="390" spans="6:21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</row>
    <row r="391" spans="6:21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</row>
    <row r="392" spans="6:21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</row>
    <row r="393" spans="6:21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</row>
    <row r="394" spans="6:21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</row>
    <row r="395" spans="6:21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</row>
    <row r="396" spans="6:21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</row>
    <row r="397" spans="6:21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</row>
    <row r="398" spans="6:21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</row>
    <row r="399" spans="6:21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</row>
    <row r="400" spans="6:21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</row>
    <row r="401" spans="6:21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</row>
    <row r="402" spans="6:21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</row>
    <row r="403" spans="6:21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</row>
    <row r="404" spans="6:21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</row>
    <row r="405" spans="6:21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</row>
    <row r="406" spans="6:21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</row>
    <row r="407" spans="6:21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</row>
    <row r="408" spans="6:21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</row>
    <row r="409" spans="6:21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</row>
    <row r="410" spans="6:21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</row>
    <row r="411" spans="6:21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</row>
    <row r="412" spans="6:21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</row>
    <row r="413" spans="6:21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</row>
    <row r="414" spans="6:21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</row>
    <row r="415" spans="6:21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</row>
    <row r="416" spans="6:21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</row>
    <row r="417" spans="6:21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</row>
    <row r="418" spans="6:21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</row>
    <row r="419" spans="6:21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</row>
    <row r="420" spans="6:21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</row>
    <row r="421" spans="6:21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</row>
    <row r="422" spans="6:21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</row>
    <row r="423" spans="6:21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</row>
    <row r="424" spans="6:21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</row>
    <row r="425" spans="6:21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</row>
    <row r="426" spans="6:21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</row>
    <row r="427" spans="6:21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</row>
    <row r="428" spans="6:21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</row>
    <row r="429" spans="6:21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</row>
    <row r="430" spans="6:21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</row>
    <row r="431" spans="6:21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</row>
    <row r="432" spans="6:21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</row>
    <row r="433" spans="6:21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</row>
    <row r="434" spans="6:21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</row>
    <row r="435" spans="6:21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</row>
    <row r="436" spans="6:21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</row>
    <row r="437" spans="6:21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</row>
    <row r="438" spans="6:21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</row>
    <row r="439" spans="6:21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</row>
    <row r="440" spans="6:21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</row>
    <row r="441" spans="6:21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</row>
    <row r="442" spans="6:21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</row>
    <row r="443" spans="6:21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</row>
    <row r="444" spans="6:21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</row>
    <row r="445" spans="6:21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</row>
    <row r="446" spans="6:21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</row>
    <row r="447" spans="6:21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</row>
    <row r="448" spans="6:21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</row>
    <row r="449" spans="6:21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</row>
    <row r="450" spans="6:21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</row>
    <row r="451" spans="6:21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</row>
    <row r="452" spans="6:21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</row>
    <row r="453" spans="6:21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</row>
    <row r="454" spans="6:21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</row>
    <row r="455" spans="6:21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</row>
    <row r="456" spans="6:21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</row>
    <row r="457" spans="6:21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</row>
    <row r="458" spans="6:21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</row>
    <row r="459" spans="6:21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</row>
    <row r="460" spans="6:21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</row>
    <row r="461" spans="6:21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</row>
    <row r="462" spans="6:21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</row>
    <row r="463" spans="6:21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</row>
    <row r="464" spans="6:21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</row>
    <row r="465" spans="6:21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</row>
    <row r="466" spans="6:21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</row>
    <row r="467" spans="6:21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</row>
    <row r="468" spans="6:21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</row>
    <row r="469" spans="6:21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</row>
    <row r="470" spans="6:21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</row>
    <row r="471" spans="6:21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</row>
    <row r="472" spans="6:21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</row>
    <row r="473" spans="6:21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</row>
    <row r="474" spans="6:21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</row>
    <row r="475" spans="6:21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</row>
    <row r="476" spans="6:21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</row>
    <row r="477" spans="6:21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</row>
    <row r="478" spans="6:21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</row>
    <row r="479" spans="6:21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</row>
    <row r="480" spans="6:21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</row>
    <row r="481" spans="6:21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</row>
    <row r="482" spans="6:21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</row>
    <row r="483" spans="6:21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</row>
    <row r="484" spans="6:21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</row>
    <row r="485" spans="6:21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</row>
    <row r="486" spans="6:21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</row>
    <row r="487" spans="6:21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</row>
    <row r="488" spans="6:21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</row>
    <row r="489" spans="6:21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</row>
    <row r="490" spans="6:21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</row>
    <row r="491" spans="6:21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</row>
    <row r="492" spans="6:21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</row>
    <row r="493" spans="6:21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</row>
    <row r="494" spans="6:21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</row>
    <row r="495" spans="6:21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</row>
    <row r="496" spans="6:21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</row>
    <row r="497" spans="6:21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</row>
    <row r="498" spans="6:21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</row>
    <row r="499" spans="6:21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</row>
    <row r="500" spans="6:21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</row>
    <row r="501" spans="6:21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</row>
    <row r="502" spans="6:21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</row>
    <row r="503" spans="6:21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</row>
  </sheetData>
  <sortState ref="A4:R100">
    <sortCondition descending="1" ref="H3"/>
  </sortState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V503"/>
  <sheetViews>
    <sheetView showZeros="0" tabSelected="1" workbookViewId="0">
      <pane xSplit="2" ySplit="3" topLeftCell="C28" activePane="bottomRight" state="frozen"/>
      <selection pane="topRight" activeCell="B1" sqref="B1"/>
      <selection pane="bottomLeft" activeCell="A3" sqref="A3"/>
      <selection pane="bottomRight" activeCell="H4" sqref="H4"/>
    </sheetView>
  </sheetViews>
  <sheetFormatPr defaultRowHeight="14.4"/>
  <cols>
    <col min="1" max="1" width="3.88671875" customWidth="1"/>
    <col min="3" max="3" width="16.109375" customWidth="1"/>
    <col min="4" max="4" width="8.88671875" hidden="1" customWidth="1"/>
    <col min="5" max="5" width="26.88671875" customWidth="1"/>
    <col min="6" max="8" width="7.33203125" style="8" customWidth="1"/>
    <col min="9" max="19" width="7.33203125" style="3" customWidth="1"/>
    <col min="20" max="21" width="5.6640625" style="3" customWidth="1"/>
  </cols>
  <sheetData>
    <row r="1" spans="1:22" ht="15" thickBot="1"/>
    <row r="2" spans="1:22" ht="15" thickBot="1">
      <c r="A2" s="62">
        <f>MAX(A3:A505)</f>
        <v>100</v>
      </c>
      <c r="B2" s="12"/>
      <c r="C2" s="12"/>
      <c r="D2" s="13"/>
      <c r="E2" s="14" t="s">
        <v>0</v>
      </c>
      <c r="F2" s="41">
        <f t="shared" ref="F2:S2" si="0">AVERAGEIF(F4:F102,"&gt;0")</f>
        <v>204.83950617283949</v>
      </c>
      <c r="G2" s="42">
        <f t="shared" si="0"/>
        <v>163.97333333333333</v>
      </c>
      <c r="H2" s="43">
        <f t="shared" si="0"/>
        <v>103.25709255319148</v>
      </c>
      <c r="I2" s="44">
        <f t="shared" si="0"/>
        <v>87.266600000000025</v>
      </c>
      <c r="J2" s="15">
        <f t="shared" si="0"/>
        <v>84.866733908045973</v>
      </c>
      <c r="K2" s="15">
        <f t="shared" si="0"/>
        <v>78.033037349397588</v>
      </c>
      <c r="L2" s="15">
        <f t="shared" si="0"/>
        <v>74.411405000000002</v>
      </c>
      <c r="M2" s="15">
        <f t="shared" si="0"/>
        <v>62.629667500000018</v>
      </c>
      <c r="N2" s="15">
        <f t="shared" si="0"/>
        <v>67.734897368421045</v>
      </c>
      <c r="O2" s="15">
        <f t="shared" si="0"/>
        <v>60.334603999999992</v>
      </c>
      <c r="P2" s="15">
        <f t="shared" si="0"/>
        <v>49.038297333333325</v>
      </c>
      <c r="Q2" s="15">
        <f t="shared" si="0"/>
        <v>49.921849999999999</v>
      </c>
      <c r="R2" s="15">
        <f t="shared" si="0"/>
        <v>46.992533333333334</v>
      </c>
      <c r="S2" s="16">
        <f t="shared" si="0"/>
        <v>26.998199999999997</v>
      </c>
    </row>
    <row r="3" spans="1:22">
      <c r="A3" s="61"/>
      <c r="B3" s="27" t="str">
        <f>[1]Grp_5!A1</f>
        <v>Team</v>
      </c>
      <c r="C3" s="27" t="str">
        <f>[1]Grp_5!B1</f>
        <v>Name</v>
      </c>
      <c r="D3" s="28" t="str">
        <f>[1]Grp_5!C1</f>
        <v>Org</v>
      </c>
      <c r="E3" s="29" t="str">
        <f>[1]Grp_5!D1</f>
        <v>Location</v>
      </c>
      <c r="F3" s="27" t="str">
        <f>[1]Grp_5!E1</f>
        <v>Drv_skills</v>
      </c>
      <c r="G3" s="28" t="str">
        <f>[1]Grp_5!F1</f>
        <v>Prg_skills</v>
      </c>
      <c r="H3" s="29" t="str">
        <f>[1]Grp_5!G1</f>
        <v>Opr_max</v>
      </c>
      <c r="I3" s="28" t="str">
        <f>[1]Grp_5!H1</f>
        <v>Opr_last</v>
      </c>
      <c r="J3" s="28" t="str">
        <f>[1]Grp_5!I1</f>
        <v>Opr-1</v>
      </c>
      <c r="K3" s="28" t="str">
        <f>[1]Grp_5!J1</f>
        <v>Opr-2</v>
      </c>
      <c r="L3" s="28" t="str">
        <f>[1]Grp_5!K1</f>
        <v>Opr-3</v>
      </c>
      <c r="M3" s="28" t="str">
        <f>[1]Grp_5!L1</f>
        <v>Opr-4</v>
      </c>
      <c r="N3" s="28" t="str">
        <f>[1]Grp_5!M1</f>
        <v>Opr-5</v>
      </c>
      <c r="O3" s="28">
        <f>[1]Grp_5!N1</f>
        <v>0</v>
      </c>
      <c r="P3" s="28">
        <f>[1]Grp_5!O1</f>
        <v>0</v>
      </c>
      <c r="Q3" s="28">
        <f>[1]Grp_5!P1</f>
        <v>0</v>
      </c>
      <c r="R3" s="28">
        <f>[1]Grp_5!Q1</f>
        <v>0</v>
      </c>
      <c r="S3" s="29">
        <f>[1]Grp_5!R1</f>
        <v>0</v>
      </c>
    </row>
    <row r="4" spans="1:22">
      <c r="A4" s="2">
        <v>26</v>
      </c>
      <c r="B4" s="17" t="str">
        <f>[1]Grp_5!A27</f>
        <v>1404B</v>
      </c>
      <c r="C4" s="30" t="str">
        <f>[1]Grp_5!B27</f>
        <v>Shocks - 🍁 #OMG #DiscoGotShocked</v>
      </c>
      <c r="D4" s="18" t="str">
        <f>[1]Grp_5!C27</f>
        <v>Dr. Norman Bethune C.I.</v>
      </c>
      <c r="E4" s="31" t="str">
        <f>[1]Grp_5!D27</f>
        <v>Toronto, Ontario, Canada</v>
      </c>
      <c r="F4" s="34">
        <f>[1]Grp_5!E27</f>
        <v>435</v>
      </c>
      <c r="G4" s="19">
        <f>[1]Grp_5!F27</f>
        <v>307</v>
      </c>
      <c r="H4" s="37">
        <f>[1]Grp_5!G27</f>
        <v>182.745</v>
      </c>
      <c r="I4" s="38">
        <f>[1]Grp_5!H27</f>
        <v>156.59800000000001</v>
      </c>
      <c r="J4" s="20">
        <f>[1]Grp_5!I27</f>
        <v>182.745</v>
      </c>
      <c r="K4" s="20">
        <f>[1]Grp_5!J27</f>
        <v>175.72</v>
      </c>
      <c r="L4" s="20">
        <f>[1]Grp_5!K27</f>
        <v>141.48099999999999</v>
      </c>
      <c r="M4" s="20">
        <f>[1]Grp_5!L27</f>
        <v>99.986800000000002</v>
      </c>
      <c r="N4" s="20">
        <f>[1]Grp_5!M27</f>
        <v>142.46899999999999</v>
      </c>
      <c r="O4" s="20">
        <f>[1]Grp_5!N27</f>
        <v>0</v>
      </c>
      <c r="P4" s="20">
        <f>[1]Grp_5!O27</f>
        <v>0</v>
      </c>
      <c r="Q4" s="20">
        <f>[1]Grp_5!P27</f>
        <v>0</v>
      </c>
      <c r="R4" s="20">
        <f>[1]Grp_5!Q27</f>
        <v>0</v>
      </c>
      <c r="S4" s="21">
        <f>[1]Grp_5!R2</f>
        <v>0</v>
      </c>
      <c r="T4" s="9"/>
      <c r="U4" s="9"/>
      <c r="V4" s="10"/>
    </row>
    <row r="5" spans="1:22">
      <c r="A5" s="2">
        <v>7</v>
      </c>
      <c r="B5" s="17" t="str">
        <f>[1]Grp_5!A8</f>
        <v>185A</v>
      </c>
      <c r="C5" s="30" t="str">
        <f>[1]Grp_5!B8</f>
        <v>Skunkworks ALPHA</v>
      </c>
      <c r="D5" s="18" t="str">
        <f>[1]Grp_5!C8</f>
        <v>BATC // Skunkworks Robotics</v>
      </c>
      <c r="E5" s="31" t="str">
        <f>[1]Grp_5!D8</f>
        <v>Logan, Utah, United States</v>
      </c>
      <c r="F5" s="34">
        <f>[1]Grp_5!E8</f>
        <v>371</v>
      </c>
      <c r="G5" s="19">
        <f>[1]Grp_5!F8</f>
        <v>0</v>
      </c>
      <c r="H5" s="37">
        <f>[1]Grp_5!G8</f>
        <v>177.465</v>
      </c>
      <c r="I5" s="20">
        <f>[1]Grp_5!H8</f>
        <v>114.13800000000001</v>
      </c>
      <c r="J5" s="20">
        <f>[1]Grp_5!I8</f>
        <v>114.145</v>
      </c>
      <c r="K5" s="20">
        <f>[1]Grp_5!J8</f>
        <v>170.87799999999999</v>
      </c>
      <c r="L5" s="20">
        <f>[1]Grp_5!K8</f>
        <v>177.465</v>
      </c>
      <c r="M5" s="20">
        <f>[1]Grp_5!L8</f>
        <v>138.221</v>
      </c>
      <c r="N5" s="20">
        <f>[1]Grp_5!M8</f>
        <v>165.87700000000001</v>
      </c>
      <c r="O5" s="20">
        <f>[1]Grp_5!N8</f>
        <v>33.414999999999999</v>
      </c>
      <c r="P5" s="20">
        <f>[1]Grp_5!O8</f>
        <v>110.45099999999999</v>
      </c>
      <c r="Q5" s="20">
        <f>[1]Grp_5!P8</f>
        <v>119.209</v>
      </c>
      <c r="R5" s="20">
        <f>[1]Grp_5!Q8</f>
        <v>66.204899999999995</v>
      </c>
      <c r="S5" s="21">
        <f>[1]Grp_5!R3</f>
        <v>0</v>
      </c>
      <c r="T5" s="9"/>
      <c r="U5" s="9"/>
      <c r="V5" s="10"/>
    </row>
    <row r="6" spans="1:22">
      <c r="A6" s="2">
        <v>21</v>
      </c>
      <c r="B6" s="17" t="str">
        <f>[1]Grp_5!A22</f>
        <v>1104G</v>
      </c>
      <c r="C6" s="30" t="str">
        <f>[1]Grp_5!B22</f>
        <v>Discobots G - 🍁 #PrayForThomas2k16</v>
      </c>
      <c r="D6" s="18" t="str">
        <f>[1]Grp_5!C22</f>
        <v>Brampton Robotics Education</v>
      </c>
      <c r="E6" s="31" t="str">
        <f>[1]Grp_5!D22</f>
        <v>Brampton, Ontario, Canada</v>
      </c>
      <c r="F6" s="34">
        <f>[1]Grp_5!E22</f>
        <v>430</v>
      </c>
      <c r="G6" s="19">
        <f>[1]Grp_5!F22</f>
        <v>16</v>
      </c>
      <c r="H6" s="37">
        <f>[1]Grp_5!G22</f>
        <v>175.33199999999999</v>
      </c>
      <c r="I6" s="38">
        <f>[1]Grp_5!H22</f>
        <v>48.806600000000003</v>
      </c>
      <c r="J6" s="20">
        <f>[1]Grp_5!I22</f>
        <v>156.07</v>
      </c>
      <c r="K6" s="20">
        <f>[1]Grp_5!J22</f>
        <v>175.33199999999999</v>
      </c>
      <c r="L6" s="20">
        <f>[1]Grp_5!K22</f>
        <v>98.255399999999995</v>
      </c>
      <c r="M6" s="20">
        <f>[1]Grp_5!L22</f>
        <v>110.226</v>
      </c>
      <c r="N6" s="20">
        <f>[1]Grp_5!M22</f>
        <v>163.63399999999999</v>
      </c>
      <c r="O6" s="20">
        <f>[1]Grp_5!N22</f>
        <v>81.8108</v>
      </c>
      <c r="P6" s="20">
        <f>[1]Grp_5!O22</f>
        <v>0</v>
      </c>
      <c r="Q6" s="20">
        <f>[1]Grp_5!P22</f>
        <v>0</v>
      </c>
      <c r="R6" s="20">
        <f>[1]Grp_5!Q22</f>
        <v>0</v>
      </c>
      <c r="S6" s="21">
        <f>[1]Grp_5!R4</f>
        <v>0</v>
      </c>
      <c r="T6" s="9"/>
      <c r="U6" s="9"/>
      <c r="V6" s="10"/>
    </row>
    <row r="7" spans="1:22">
      <c r="A7" s="2">
        <v>22</v>
      </c>
      <c r="B7" s="17" t="str">
        <f>[1]Grp_5!A23</f>
        <v>1104Z</v>
      </c>
      <c r="C7" s="30" t="str">
        <f>[1]Grp_5!B23</f>
        <v>Discobots ζ - 🍁 #PrayForThomas2k16</v>
      </c>
      <c r="D7" s="18" t="str">
        <f>[1]Grp_5!C23</f>
        <v>Brampton Robotics Education</v>
      </c>
      <c r="E7" s="31" t="str">
        <f>[1]Grp_5!D23</f>
        <v>Brampton, Ontario, Canada</v>
      </c>
      <c r="F7" s="34">
        <f>[1]Grp_5!E23</f>
        <v>425</v>
      </c>
      <c r="G7" s="19">
        <f>[1]Grp_5!F23</f>
        <v>280</v>
      </c>
      <c r="H7" s="37">
        <f>[1]Grp_5!G23</f>
        <v>168.84700000000001</v>
      </c>
      <c r="I7" s="38">
        <f>[1]Grp_5!H23</f>
        <v>136.28100000000001</v>
      </c>
      <c r="J7" s="20">
        <f>[1]Grp_5!I23</f>
        <v>168.84700000000001</v>
      </c>
      <c r="K7" s="20">
        <f>[1]Grp_5!J23</f>
        <v>130.80600000000001</v>
      </c>
      <c r="L7" s="20">
        <f>[1]Grp_5!K23</f>
        <v>144.53</v>
      </c>
      <c r="M7" s="20">
        <f>[1]Grp_5!L23</f>
        <v>149.482</v>
      </c>
      <c r="N7" s="20">
        <f>[1]Grp_5!M23</f>
        <v>114.66200000000001</v>
      </c>
      <c r="O7" s="20">
        <f>[1]Grp_5!N23</f>
        <v>81.417500000000004</v>
      </c>
      <c r="P7" s="20">
        <f>[1]Grp_5!O23</f>
        <v>0</v>
      </c>
      <c r="Q7" s="20">
        <f>[1]Grp_5!P23</f>
        <v>0</v>
      </c>
      <c r="R7" s="20">
        <f>[1]Grp_5!Q23</f>
        <v>0</v>
      </c>
      <c r="S7" s="21">
        <f>[1]Grp_5!R5</f>
        <v>0</v>
      </c>
      <c r="T7" s="9"/>
      <c r="U7" s="9"/>
      <c r="V7" s="10"/>
    </row>
    <row r="8" spans="1:22">
      <c r="A8" s="2">
        <v>67</v>
      </c>
      <c r="B8" s="17" t="str">
        <f>[1]Grp_5!A68</f>
        <v>6430</v>
      </c>
      <c r="C8" s="30" t="str">
        <f>[1]Grp_5!B68</f>
        <v>Trinity Dragons</v>
      </c>
      <c r="D8" s="18" t="str">
        <f>[1]Grp_5!C68</f>
        <v>Trinity Robotics Club</v>
      </c>
      <c r="E8" s="31" t="str">
        <f>[1]Grp_5!D68</f>
        <v>Lutz, Florida, United States</v>
      </c>
      <c r="F8" s="34">
        <f>[1]Grp_5!E68</f>
        <v>331</v>
      </c>
      <c r="G8" s="19">
        <f>[1]Grp_5!F68</f>
        <v>286</v>
      </c>
      <c r="H8" s="37">
        <f>[1]Grp_5!G68</f>
        <v>168.34399999999999</v>
      </c>
      <c r="I8" s="38">
        <f>[1]Grp_5!H68</f>
        <v>161.51499999999999</v>
      </c>
      <c r="J8" s="20">
        <f>[1]Grp_5!I68</f>
        <v>158.54599999999999</v>
      </c>
      <c r="K8" s="20">
        <f>[1]Grp_5!J68</f>
        <v>116.59699999999999</v>
      </c>
      <c r="L8" s="20">
        <f>[1]Grp_5!K68</f>
        <v>168.34399999999999</v>
      </c>
      <c r="M8" s="20">
        <f>[1]Grp_5!L68</f>
        <v>113.137</v>
      </c>
      <c r="N8" s="20">
        <f>[1]Grp_5!M68</f>
        <v>123.60299999999999</v>
      </c>
      <c r="O8" s="20">
        <f>[1]Grp_5!N68</f>
        <v>0</v>
      </c>
      <c r="P8" s="20">
        <f>[1]Grp_5!O68</f>
        <v>0</v>
      </c>
      <c r="Q8" s="20">
        <f>[1]Grp_5!P68</f>
        <v>0</v>
      </c>
      <c r="R8" s="20">
        <f>[1]Grp_5!Q68</f>
        <v>0</v>
      </c>
      <c r="S8" s="21">
        <f>[1]Grp_5!R6</f>
        <v>0</v>
      </c>
      <c r="T8" s="9"/>
      <c r="U8" s="9"/>
      <c r="V8" s="10"/>
    </row>
    <row r="9" spans="1:22">
      <c r="A9" s="2">
        <v>37</v>
      </c>
      <c r="B9" s="17" t="str">
        <f>[1]Grp_5!A38</f>
        <v>2587G</v>
      </c>
      <c r="C9" s="30" t="str">
        <f>[1]Grp_5!B38</f>
        <v>DiscoBots - Gamma</v>
      </c>
      <c r="D9" s="18" t="str">
        <f>[1]Grp_5!C38</f>
        <v>DiscoBots</v>
      </c>
      <c r="E9" s="31" t="str">
        <f>[1]Grp_5!D38</f>
        <v>Houston, Texas, United States</v>
      </c>
      <c r="F9" s="34">
        <f>[1]Grp_5!E38</f>
        <v>355</v>
      </c>
      <c r="G9" s="19">
        <f>[1]Grp_5!F38</f>
        <v>0</v>
      </c>
      <c r="H9" s="37">
        <f>[1]Grp_5!G38</f>
        <v>163.73500000000001</v>
      </c>
      <c r="I9" s="38">
        <f>[1]Grp_5!H38</f>
        <v>72.413200000000003</v>
      </c>
      <c r="J9" s="20">
        <f>[1]Grp_5!I38</f>
        <v>111.968</v>
      </c>
      <c r="K9" s="20">
        <f>[1]Grp_5!J38</f>
        <v>163.73500000000001</v>
      </c>
      <c r="L9" s="20">
        <f>[1]Grp_5!K38</f>
        <v>28.1797</v>
      </c>
      <c r="M9" s="20">
        <f>[1]Grp_5!L38</f>
        <v>9.5584299999999995</v>
      </c>
      <c r="N9" s="20">
        <f>[1]Grp_5!M38</f>
        <v>31.251200000000001</v>
      </c>
      <c r="O9" s="20">
        <f>[1]Grp_5!N38</f>
        <v>0</v>
      </c>
      <c r="P9" s="20">
        <f>[1]Grp_5!O38</f>
        <v>0</v>
      </c>
      <c r="Q9" s="20">
        <f>[1]Grp_5!P38</f>
        <v>0</v>
      </c>
      <c r="R9" s="20">
        <f>[1]Grp_5!Q38</f>
        <v>0</v>
      </c>
      <c r="S9" s="21">
        <f>[1]Grp_5!R7</f>
        <v>0</v>
      </c>
      <c r="T9" s="9"/>
      <c r="U9" s="9"/>
      <c r="V9" s="10"/>
    </row>
    <row r="10" spans="1:22">
      <c r="A10" s="2">
        <v>46</v>
      </c>
      <c r="B10" s="17" t="str">
        <f>[1]Grp_5!A47</f>
        <v>4142A</v>
      </c>
      <c r="C10" s="30" t="str">
        <f>[1]Grp_5!B47</f>
        <v>Pearl City High School</v>
      </c>
      <c r="D10" s="18" t="str">
        <f>[1]Grp_5!C47</f>
        <v>Pearl City High School</v>
      </c>
      <c r="E10" s="31" t="str">
        <f>[1]Grp_5!D47</f>
        <v>Pearl City, Hawaii, United States</v>
      </c>
      <c r="F10" s="34">
        <f>[1]Grp_5!E47</f>
        <v>259</v>
      </c>
      <c r="G10" s="19">
        <f>[1]Grp_5!F47</f>
        <v>244</v>
      </c>
      <c r="H10" s="37">
        <f>[1]Grp_5!G47</f>
        <v>157.41399999999999</v>
      </c>
      <c r="I10" s="38">
        <f>[1]Grp_5!H47</f>
        <v>110.416</v>
      </c>
      <c r="J10" s="20">
        <f>[1]Grp_5!I47</f>
        <v>108.746</v>
      </c>
      <c r="K10" s="20">
        <f>[1]Grp_5!J47</f>
        <v>157.41399999999999</v>
      </c>
      <c r="L10" s="20">
        <f>[1]Grp_5!K47</f>
        <v>65.322900000000004</v>
      </c>
      <c r="M10" s="20">
        <f>[1]Grp_5!L47</f>
        <v>98.789699999999996</v>
      </c>
      <c r="N10" s="20">
        <f>[1]Grp_5!M47</f>
        <v>0</v>
      </c>
      <c r="O10" s="20">
        <f>[1]Grp_5!N47</f>
        <v>0</v>
      </c>
      <c r="P10" s="20">
        <f>[1]Grp_5!O47</f>
        <v>0</v>
      </c>
      <c r="Q10" s="20">
        <f>[1]Grp_5!P47</f>
        <v>0</v>
      </c>
      <c r="R10" s="20">
        <f>[1]Grp_5!Q47</f>
        <v>0</v>
      </c>
      <c r="S10" s="21">
        <f>[1]Grp_5!R8</f>
        <v>0</v>
      </c>
      <c r="T10" s="9"/>
      <c r="U10" s="9"/>
      <c r="V10" s="10"/>
    </row>
    <row r="11" spans="1:22">
      <c r="A11" s="2">
        <v>1</v>
      </c>
      <c r="B11" s="17" t="str">
        <f>[1]Grp_5!A2</f>
        <v>10Q</v>
      </c>
      <c r="C11" s="30" t="str">
        <f>[1]Grp_5!B2</f>
        <v>Exothermic Quties</v>
      </c>
      <c r="D11" s="18" t="str">
        <f>[1]Grp_5!C2</f>
        <v>Exothermic Robotics</v>
      </c>
      <c r="E11" s="31" t="str">
        <f>[1]Grp_5!D2</f>
        <v>Redmond, Washington, United States</v>
      </c>
      <c r="F11" s="34">
        <f>[1]Grp_5!E2</f>
        <v>316</v>
      </c>
      <c r="G11" s="19">
        <f>[1]Grp_5!F2</f>
        <v>141</v>
      </c>
      <c r="H11" s="37">
        <f>[1]Grp_5!G2</f>
        <v>149.648</v>
      </c>
      <c r="I11" s="20">
        <f>[1]Grp_5!H2</f>
        <v>149.648</v>
      </c>
      <c r="J11" s="20">
        <f>[1]Grp_5!I2</f>
        <v>145.149</v>
      </c>
      <c r="K11" s="20">
        <f>[1]Grp_5!J2</f>
        <v>120.913</v>
      </c>
      <c r="L11" s="20">
        <f>[1]Grp_5!K2</f>
        <v>137.77500000000001</v>
      </c>
      <c r="M11" s="20">
        <f>[1]Grp_5!L2</f>
        <v>146.43</v>
      </c>
      <c r="N11" s="20">
        <f>[1]Grp_5!M2</f>
        <v>65.663200000000003</v>
      </c>
      <c r="O11" s="20">
        <f>[1]Grp_5!N2</f>
        <v>0</v>
      </c>
      <c r="P11" s="20">
        <f>[1]Grp_5!O2</f>
        <v>0</v>
      </c>
      <c r="Q11" s="20">
        <f>[1]Grp_5!P2</f>
        <v>0</v>
      </c>
      <c r="R11" s="20">
        <f>[1]Grp_5!Q2</f>
        <v>0</v>
      </c>
      <c r="S11" s="21">
        <f>[1]Grp_5!R9</f>
        <v>0</v>
      </c>
      <c r="T11" s="9"/>
      <c r="U11" s="9"/>
      <c r="V11" s="10"/>
    </row>
    <row r="12" spans="1:22">
      <c r="A12" s="2">
        <v>18</v>
      </c>
      <c r="B12" s="17" t="str">
        <f>[1]Grp_5!A19</f>
        <v>917S</v>
      </c>
      <c r="C12" s="30" t="str">
        <f>[1]Grp_5!B19</f>
        <v>Quantum Senpai</v>
      </c>
      <c r="D12" s="18" t="str">
        <f>[1]Grp_5!C19</f>
        <v>QUANTUM ROBOTICS</v>
      </c>
      <c r="E12" s="31" t="str">
        <f>[1]Grp_5!D19</f>
        <v>Kirkland, Washington, United States</v>
      </c>
      <c r="F12" s="34">
        <f>[1]Grp_5!E19</f>
        <v>281</v>
      </c>
      <c r="G12" s="19">
        <f>[1]Grp_5!F19</f>
        <v>281</v>
      </c>
      <c r="H12" s="37">
        <f>[1]Grp_5!G19</f>
        <v>149.321</v>
      </c>
      <c r="I12" s="38">
        <f>[1]Grp_5!H19</f>
        <v>149.321</v>
      </c>
      <c r="J12" s="20">
        <f>[1]Grp_5!I19</f>
        <v>97.296599999999998</v>
      </c>
      <c r="K12" s="20">
        <f>[1]Grp_5!J19</f>
        <v>69.528199999999998</v>
      </c>
      <c r="L12" s="20">
        <f>[1]Grp_5!K19</f>
        <v>102.242</v>
      </c>
      <c r="M12" s="20">
        <f>[1]Grp_5!L19</f>
        <v>100.11199999999999</v>
      </c>
      <c r="N12" s="20">
        <f>[1]Grp_5!M19</f>
        <v>0</v>
      </c>
      <c r="O12" s="20">
        <f>[1]Grp_5!N19</f>
        <v>0</v>
      </c>
      <c r="P12" s="20">
        <f>[1]Grp_5!O19</f>
        <v>0</v>
      </c>
      <c r="Q12" s="20">
        <f>[1]Grp_5!P19</f>
        <v>0</v>
      </c>
      <c r="R12" s="20">
        <f>[1]Grp_5!Q19</f>
        <v>0</v>
      </c>
      <c r="S12" s="21">
        <f>[1]Grp_5!R10</f>
        <v>0</v>
      </c>
      <c r="T12" s="9"/>
      <c r="U12" s="9"/>
      <c r="V12" s="10"/>
    </row>
    <row r="13" spans="1:22">
      <c r="A13" s="2">
        <v>19</v>
      </c>
      <c r="B13" s="17" t="str">
        <f>[1]Grp_5!A20</f>
        <v>986A</v>
      </c>
      <c r="C13" s="30" t="str">
        <f>[1]Grp_5!B20</f>
        <v>Lancers A</v>
      </c>
      <c r="D13" s="18" t="str">
        <f>[1]Grp_5!C20</f>
        <v>Grace Brethren JH/High School</v>
      </c>
      <c r="E13" s="31" t="str">
        <f>[1]Grp_5!D20</f>
        <v>Simi Valley, California, United States</v>
      </c>
      <c r="F13" s="34">
        <f>[1]Grp_5!E20</f>
        <v>261</v>
      </c>
      <c r="G13" s="19">
        <f>[1]Grp_5!F20</f>
        <v>161</v>
      </c>
      <c r="H13" s="37">
        <f>[1]Grp_5!G20</f>
        <v>147.101</v>
      </c>
      <c r="I13" s="38">
        <f>[1]Grp_5!H20</f>
        <v>121.045</v>
      </c>
      <c r="J13" s="20">
        <f>[1]Grp_5!I20</f>
        <v>147.101</v>
      </c>
      <c r="K13" s="20">
        <f>[1]Grp_5!J20</f>
        <v>141.51900000000001</v>
      </c>
      <c r="L13" s="20">
        <f>[1]Grp_5!K20</f>
        <v>97.788399999999996</v>
      </c>
      <c r="M13" s="20">
        <f>[1]Grp_5!L20</f>
        <v>108.117</v>
      </c>
      <c r="N13" s="20">
        <f>[1]Grp_5!M20</f>
        <v>0</v>
      </c>
      <c r="O13" s="20">
        <f>[1]Grp_5!N20</f>
        <v>0</v>
      </c>
      <c r="P13" s="20">
        <f>[1]Grp_5!O20</f>
        <v>0</v>
      </c>
      <c r="Q13" s="20">
        <f>[1]Grp_5!P20</f>
        <v>0</v>
      </c>
      <c r="R13" s="20">
        <f>[1]Grp_5!Q20</f>
        <v>0</v>
      </c>
      <c r="S13" s="21">
        <f>[1]Grp_5!R11</f>
        <v>0</v>
      </c>
      <c r="T13" s="9"/>
      <c r="U13" s="9"/>
      <c r="V13" s="10"/>
    </row>
    <row r="14" spans="1:22">
      <c r="A14" s="2">
        <v>11</v>
      </c>
      <c r="B14" s="17" t="str">
        <f>[1]Grp_5!A12</f>
        <v>355S</v>
      </c>
      <c r="C14" s="30" t="str">
        <f>[1]Grp_5!B12</f>
        <v>Sparrow</v>
      </c>
      <c r="D14" s="18" t="str">
        <f>[1]Grp_5!C12</f>
        <v>Fox Valley Robotics</v>
      </c>
      <c r="E14" s="31" t="str">
        <f>[1]Grp_5!D12</f>
        <v>Batavia, Illinois, United States</v>
      </c>
      <c r="F14" s="34">
        <f>[1]Grp_5!E12</f>
        <v>291</v>
      </c>
      <c r="G14" s="19">
        <f>[1]Grp_5!F12</f>
        <v>197</v>
      </c>
      <c r="H14" s="37">
        <f>[1]Grp_5!G12</f>
        <v>146.744</v>
      </c>
      <c r="I14" s="38">
        <f>[1]Grp_5!H12</f>
        <v>146.744</v>
      </c>
      <c r="J14" s="20">
        <f>[1]Grp_5!I12</f>
        <v>138.68700000000001</v>
      </c>
      <c r="K14" s="20">
        <f>[1]Grp_5!J12</f>
        <v>125.48099999999999</v>
      </c>
      <c r="L14" s="20">
        <f>[1]Grp_5!K12</f>
        <v>127.893</v>
      </c>
      <c r="M14" s="20">
        <f>[1]Grp_5!L12</f>
        <v>118.16500000000001</v>
      </c>
      <c r="N14" s="20">
        <f>[1]Grp_5!M12</f>
        <v>109.914</v>
      </c>
      <c r="O14" s="20">
        <f>[1]Grp_5!N12</f>
        <v>74.501300000000001</v>
      </c>
      <c r="P14" s="20">
        <f>[1]Grp_5!O12</f>
        <v>79.769800000000004</v>
      </c>
      <c r="Q14" s="20">
        <f>[1]Grp_5!P12</f>
        <v>20.664300000000001</v>
      </c>
      <c r="R14" s="20">
        <f>[1]Grp_5!Q12</f>
        <v>0</v>
      </c>
      <c r="S14" s="21">
        <f>[1]Grp_5!R12</f>
        <v>0</v>
      </c>
      <c r="T14" s="9"/>
      <c r="U14" s="9"/>
      <c r="V14" s="10"/>
    </row>
    <row r="15" spans="1:22">
      <c r="A15" s="2">
        <v>32</v>
      </c>
      <c r="B15" s="17" t="str">
        <f>[1]Grp_5!A33</f>
        <v>2019F</v>
      </c>
      <c r="C15" s="30" t="str">
        <f>[1]Grp_5!B33</f>
        <v>Deus ex Machina</v>
      </c>
      <c r="D15" s="18" t="str">
        <f>[1]Grp_5!C33</f>
        <v>Flower Mound High School</v>
      </c>
      <c r="E15" s="31" t="str">
        <f>[1]Grp_5!D33</f>
        <v>Flower Mound, Texas, United States</v>
      </c>
      <c r="F15" s="34">
        <f>[1]Grp_5!E33</f>
        <v>150</v>
      </c>
      <c r="G15" s="19">
        <f>[1]Grp_5!F33</f>
        <v>141</v>
      </c>
      <c r="H15" s="37">
        <f>[1]Grp_5!G33</f>
        <v>143.298</v>
      </c>
      <c r="I15" s="38">
        <f>[1]Grp_5!H33</f>
        <v>126.788</v>
      </c>
      <c r="J15" s="20">
        <f>[1]Grp_5!I33</f>
        <v>129.95099999999999</v>
      </c>
      <c r="K15" s="20">
        <f>[1]Grp_5!J33</f>
        <v>143.298</v>
      </c>
      <c r="L15" s="20">
        <f>[1]Grp_5!K33</f>
        <v>97.904899999999998</v>
      </c>
      <c r="M15" s="20">
        <f>[1]Grp_5!L33</f>
        <v>0</v>
      </c>
      <c r="N15" s="20">
        <f>[1]Grp_5!M33</f>
        <v>0</v>
      </c>
      <c r="O15" s="20">
        <f>[1]Grp_5!N33</f>
        <v>0</v>
      </c>
      <c r="P15" s="20">
        <f>[1]Grp_5!O33</f>
        <v>0</v>
      </c>
      <c r="Q15" s="20">
        <f>[1]Grp_5!P33</f>
        <v>0</v>
      </c>
      <c r="R15" s="20">
        <f>[1]Grp_5!Q33</f>
        <v>0</v>
      </c>
      <c r="S15" s="21">
        <f>[1]Grp_5!R13</f>
        <v>0</v>
      </c>
      <c r="T15" s="9"/>
      <c r="U15" s="9"/>
      <c r="V15" s="10"/>
    </row>
    <row r="16" spans="1:22">
      <c r="A16" s="2">
        <v>54</v>
      </c>
      <c r="B16" s="17" t="str">
        <f>[1]Grp_5!A55</f>
        <v>5106E</v>
      </c>
      <c r="C16" s="30" t="str">
        <f>[1]Grp_5!B55</f>
        <v>Kennett Coders</v>
      </c>
      <c r="D16" s="18" t="str">
        <f>[1]Grp_5!C55</f>
        <v>Kennett High School</v>
      </c>
      <c r="E16" s="31" t="str">
        <f>[1]Grp_5!D55</f>
        <v>North Conway, New Hampshire, United States</v>
      </c>
      <c r="F16" s="34">
        <f>[1]Grp_5!E55</f>
        <v>192</v>
      </c>
      <c r="G16" s="19">
        <f>[1]Grp_5!F55</f>
        <v>192</v>
      </c>
      <c r="H16" s="37">
        <f>[1]Grp_5!G55</f>
        <v>143.16200000000001</v>
      </c>
      <c r="I16" s="38">
        <f>[1]Grp_5!H55</f>
        <v>132.82300000000001</v>
      </c>
      <c r="J16" s="20">
        <f>[1]Grp_5!I55</f>
        <v>143.16200000000001</v>
      </c>
      <c r="K16" s="20">
        <f>[1]Grp_5!J55</f>
        <v>78.259900000000002</v>
      </c>
      <c r="L16" s="20">
        <f>[1]Grp_5!K55</f>
        <v>57.730600000000003</v>
      </c>
      <c r="M16" s="20">
        <f>[1]Grp_5!L55</f>
        <v>51.428899999999999</v>
      </c>
      <c r="N16" s="20">
        <f>[1]Grp_5!M55</f>
        <v>0</v>
      </c>
      <c r="O16" s="20">
        <f>[1]Grp_5!N55</f>
        <v>0</v>
      </c>
      <c r="P16" s="20">
        <f>[1]Grp_5!O55</f>
        <v>0</v>
      </c>
      <c r="Q16" s="20">
        <f>[1]Grp_5!P55</f>
        <v>0</v>
      </c>
      <c r="R16" s="20">
        <f>[1]Grp_5!Q55</f>
        <v>0</v>
      </c>
      <c r="S16" s="21">
        <f>[1]Grp_5!R14</f>
        <v>0</v>
      </c>
      <c r="T16" s="9"/>
      <c r="U16" s="9"/>
      <c r="V16" s="10"/>
    </row>
    <row r="17" spans="1:22">
      <c r="A17" s="2">
        <v>39</v>
      </c>
      <c r="B17" s="17" t="str">
        <f>[1]Grp_5!A40</f>
        <v>2915C</v>
      </c>
      <c r="C17" s="30" t="str">
        <f>[1]Grp_5!B40</f>
        <v>Lynfield College Robotics</v>
      </c>
      <c r="D17" s="18" t="str">
        <f>[1]Grp_5!C40</f>
        <v>Lynfield College</v>
      </c>
      <c r="E17" s="31" t="str">
        <f>[1]Grp_5!D40</f>
        <v>Auckland, Not Applicable or Not Listed, New Zealand</v>
      </c>
      <c r="F17" s="34">
        <f>[1]Grp_5!E40</f>
        <v>238</v>
      </c>
      <c r="G17" s="19">
        <f>[1]Grp_5!F40</f>
        <v>121</v>
      </c>
      <c r="H17" s="37">
        <f>[1]Grp_5!G40</f>
        <v>142.73500000000001</v>
      </c>
      <c r="I17" s="38">
        <f>[1]Grp_5!H40</f>
        <v>142.73500000000001</v>
      </c>
      <c r="J17" s="20">
        <f>[1]Grp_5!I40</f>
        <v>102.23</v>
      </c>
      <c r="K17" s="20">
        <f>[1]Grp_5!J40</f>
        <v>69.600099999999998</v>
      </c>
      <c r="L17" s="20">
        <f>[1]Grp_5!K40</f>
        <v>0</v>
      </c>
      <c r="M17" s="20">
        <f>[1]Grp_5!L40</f>
        <v>0</v>
      </c>
      <c r="N17" s="20">
        <f>[1]Grp_5!M40</f>
        <v>0</v>
      </c>
      <c r="O17" s="20">
        <f>[1]Grp_5!N40</f>
        <v>0</v>
      </c>
      <c r="P17" s="20">
        <f>[1]Grp_5!O40</f>
        <v>0</v>
      </c>
      <c r="Q17" s="20">
        <f>[1]Grp_5!P40</f>
        <v>0</v>
      </c>
      <c r="R17" s="20">
        <f>[1]Grp_5!Q40</f>
        <v>0</v>
      </c>
      <c r="S17" s="21">
        <f>[1]Grp_5!R15</f>
        <v>0</v>
      </c>
      <c r="T17" s="9"/>
      <c r="U17" s="9"/>
      <c r="V17" s="10"/>
    </row>
    <row r="18" spans="1:22">
      <c r="A18" s="2">
        <v>84</v>
      </c>
      <c r="B18" s="17" t="str">
        <f>[1]Grp_5!A85</f>
        <v>8585D</v>
      </c>
      <c r="C18" s="30" t="str">
        <f>[1]Grp_5!B85</f>
        <v>Stilwell Indians</v>
      </c>
      <c r="D18" s="18" t="str">
        <f>[1]Grp_5!C85</f>
        <v>Stilwell Public Schools</v>
      </c>
      <c r="E18" s="31" t="str">
        <f>[1]Grp_5!D85</f>
        <v>Stilwell, Oklahoma, United States</v>
      </c>
      <c r="F18" s="34">
        <f>[1]Grp_5!E85</f>
        <v>105</v>
      </c>
      <c r="G18" s="19">
        <f>[1]Grp_5!F85</f>
        <v>0</v>
      </c>
      <c r="H18" s="37">
        <f>[1]Grp_5!G85</f>
        <v>140.541</v>
      </c>
      <c r="I18" s="38">
        <f>[1]Grp_5!H85</f>
        <v>113.748</v>
      </c>
      <c r="J18" s="20">
        <f>[1]Grp_5!I85</f>
        <v>115.843</v>
      </c>
      <c r="K18" s="20">
        <f>[1]Grp_5!J85</f>
        <v>140.541</v>
      </c>
      <c r="L18" s="20">
        <f>[1]Grp_5!K85</f>
        <v>36.738100000000003</v>
      </c>
      <c r="M18" s="20">
        <f>[1]Grp_5!L85</f>
        <v>0</v>
      </c>
      <c r="N18" s="20">
        <f>[1]Grp_5!M85</f>
        <v>0</v>
      </c>
      <c r="O18" s="20">
        <f>[1]Grp_5!N85</f>
        <v>0</v>
      </c>
      <c r="P18" s="20">
        <f>[1]Grp_5!O85</f>
        <v>0</v>
      </c>
      <c r="Q18" s="20">
        <f>[1]Grp_5!P85</f>
        <v>0</v>
      </c>
      <c r="R18" s="20">
        <f>[1]Grp_5!Q85</f>
        <v>0</v>
      </c>
      <c r="S18" s="21">
        <f>[1]Grp_5!R16</f>
        <v>0</v>
      </c>
      <c r="T18" s="9"/>
      <c r="U18" s="9"/>
      <c r="V18" s="10"/>
    </row>
    <row r="19" spans="1:22">
      <c r="A19" s="2">
        <v>91</v>
      </c>
      <c r="B19" s="17" t="str">
        <f>[1]Grp_5!A92</f>
        <v>9282</v>
      </c>
      <c r="C19" s="30" t="str">
        <f>[1]Grp_5!B92</f>
        <v>Freezing Code</v>
      </c>
      <c r="D19" s="18" t="str">
        <f>[1]Grp_5!C92</f>
        <v>Freezing Code Robotics Club</v>
      </c>
      <c r="E19" s="31" t="str">
        <f>[1]Grp_5!D92</f>
        <v>Oswego, New York, United States</v>
      </c>
      <c r="F19" s="34">
        <f>[1]Grp_5!E92</f>
        <v>150</v>
      </c>
      <c r="G19" s="19">
        <f>[1]Grp_5!F92</f>
        <v>300</v>
      </c>
      <c r="H19" s="37">
        <f>[1]Grp_5!G92</f>
        <v>140.32900000000001</v>
      </c>
      <c r="I19" s="38">
        <f>[1]Grp_5!H92</f>
        <v>140.32900000000001</v>
      </c>
      <c r="J19" s="20">
        <f>[1]Grp_5!I92</f>
        <v>133.898</v>
      </c>
      <c r="K19" s="20">
        <f>[1]Grp_5!J92</f>
        <v>54.665999999999997</v>
      </c>
      <c r="L19" s="20">
        <f>[1]Grp_5!K92</f>
        <v>77.057299999999998</v>
      </c>
      <c r="M19" s="20">
        <f>[1]Grp_5!L92</f>
        <v>0</v>
      </c>
      <c r="N19" s="20">
        <f>[1]Grp_5!M92</f>
        <v>46.993099999999998</v>
      </c>
      <c r="O19" s="20">
        <f>[1]Grp_5!N92</f>
        <v>64.642099999999999</v>
      </c>
      <c r="P19" s="20">
        <f>[1]Grp_5!O92</f>
        <v>14.107200000000001</v>
      </c>
      <c r="Q19" s="20">
        <f>[1]Grp_5!P92</f>
        <v>49.549700000000001</v>
      </c>
      <c r="R19" s="20">
        <f>[1]Grp_5!Q92</f>
        <v>0</v>
      </c>
      <c r="S19" s="21">
        <f>[1]Grp_5!R17</f>
        <v>0</v>
      </c>
      <c r="T19" s="9"/>
      <c r="U19" s="9"/>
      <c r="V19" s="10"/>
    </row>
    <row r="20" spans="1:22">
      <c r="A20" s="2">
        <v>50</v>
      </c>
      <c r="B20" s="17" t="str">
        <f>[1]Grp_5!A51</f>
        <v>4659A</v>
      </c>
      <c r="C20" s="30" t="str">
        <f>[1]Grp_5!B51</f>
        <v>Warrior Robotix A</v>
      </c>
      <c r="D20" s="18" t="str">
        <f>[1]Grp_5!C51</f>
        <v>Port Credit Secondary School</v>
      </c>
      <c r="E20" s="31" t="str">
        <f>[1]Grp_5!D51</f>
        <v>Mississauga, Ontario, Canada</v>
      </c>
      <c r="F20" s="34">
        <f>[1]Grp_5!E51</f>
        <v>348</v>
      </c>
      <c r="G20" s="19">
        <f>[1]Grp_5!F51</f>
        <v>320</v>
      </c>
      <c r="H20" s="37">
        <f>[1]Grp_5!G51</f>
        <v>139.797</v>
      </c>
      <c r="I20" s="38">
        <f>[1]Grp_5!H51</f>
        <v>139.797</v>
      </c>
      <c r="J20" s="20">
        <f>[1]Grp_5!I51</f>
        <v>96.647499999999994</v>
      </c>
      <c r="K20" s="20">
        <f>[1]Grp_5!J51</f>
        <v>128.68199999999999</v>
      </c>
      <c r="L20" s="20">
        <f>[1]Grp_5!K51</f>
        <v>113.04300000000001</v>
      </c>
      <c r="M20" s="20">
        <f>[1]Grp_5!L51</f>
        <v>68.163600000000002</v>
      </c>
      <c r="N20" s="20">
        <f>[1]Grp_5!M51</f>
        <v>0</v>
      </c>
      <c r="O20" s="20">
        <f>[1]Grp_5!N51</f>
        <v>0</v>
      </c>
      <c r="P20" s="20">
        <f>[1]Grp_5!O51</f>
        <v>0</v>
      </c>
      <c r="Q20" s="20">
        <f>[1]Grp_5!P51</f>
        <v>0</v>
      </c>
      <c r="R20" s="20">
        <f>[1]Grp_5!Q51</f>
        <v>0</v>
      </c>
      <c r="S20" s="21">
        <f>[1]Grp_5!R18</f>
        <v>0</v>
      </c>
      <c r="T20" s="9"/>
      <c r="U20" s="9"/>
      <c r="V20" s="10"/>
    </row>
    <row r="21" spans="1:22">
      <c r="A21" s="2">
        <v>53</v>
      </c>
      <c r="B21" s="17" t="str">
        <f>[1]Grp_5!A54</f>
        <v>4915</v>
      </c>
      <c r="C21" s="30" t="str">
        <f>[1]Grp_5!B54</f>
        <v>Virus Robotics</v>
      </c>
      <c r="D21" s="18" t="str">
        <f>[1]Grp_5!C54</f>
        <v>Virus Robotics</v>
      </c>
      <c r="E21" s="31" t="str">
        <f>[1]Grp_5!D54</f>
        <v>New Barnet, Hertfordshire , United Kingdom</v>
      </c>
      <c r="F21" s="34">
        <f>[1]Grp_5!E54</f>
        <v>284</v>
      </c>
      <c r="G21" s="19">
        <f>[1]Grp_5!F54</f>
        <v>261</v>
      </c>
      <c r="H21" s="37">
        <f>[1]Grp_5!G54</f>
        <v>135.339</v>
      </c>
      <c r="I21" s="38">
        <f>[1]Grp_5!H54</f>
        <v>118.70099999999999</v>
      </c>
      <c r="J21" s="20">
        <f>[1]Grp_5!I54</f>
        <v>135.339</v>
      </c>
      <c r="K21" s="20">
        <f>[1]Grp_5!J54</f>
        <v>100.812</v>
      </c>
      <c r="L21" s="20">
        <f>[1]Grp_5!K54</f>
        <v>108.65</v>
      </c>
      <c r="M21" s="20">
        <f>[1]Grp_5!L54</f>
        <v>99.400199999999998</v>
      </c>
      <c r="N21" s="20">
        <f>[1]Grp_5!M54</f>
        <v>77.237399999999994</v>
      </c>
      <c r="O21" s="20">
        <f>[1]Grp_5!N54</f>
        <v>91.315200000000004</v>
      </c>
      <c r="P21" s="20">
        <f>[1]Grp_5!O54</f>
        <v>72.273399999999995</v>
      </c>
      <c r="Q21" s="20">
        <f>[1]Grp_5!P54</f>
        <v>0</v>
      </c>
      <c r="R21" s="20">
        <f>[1]Grp_5!Q54</f>
        <v>0</v>
      </c>
      <c r="S21" s="21">
        <f>[1]Grp_5!R19</f>
        <v>0</v>
      </c>
      <c r="T21" s="9"/>
      <c r="U21" s="9"/>
      <c r="V21" s="10"/>
    </row>
    <row r="22" spans="1:22">
      <c r="A22" s="2">
        <v>97</v>
      </c>
      <c r="B22" s="17" t="str">
        <f>[1]Grp_5!A98</f>
        <v>96965</v>
      </c>
      <c r="C22" s="30" t="str">
        <f>[1]Grp_5!B98</f>
        <v>ftcExchangeStudents</v>
      </c>
      <c r="D22" s="18" t="str">
        <f>[1]Grp_5!C98</f>
        <v>Westwood Robotics Alliance</v>
      </c>
      <c r="E22" s="31" t="str">
        <f>[1]Grp_5!D98</f>
        <v>Morgantown, West Virginia, United States</v>
      </c>
      <c r="F22" s="34">
        <f>[1]Grp_5!E98</f>
        <v>161</v>
      </c>
      <c r="G22" s="19">
        <f>[1]Grp_5!F98</f>
        <v>98</v>
      </c>
      <c r="H22" s="37">
        <f>[1]Grp_5!G98</f>
        <v>134.429</v>
      </c>
      <c r="I22" s="38">
        <f>[1]Grp_5!H98</f>
        <v>134.429</v>
      </c>
      <c r="J22" s="20">
        <f>[1]Grp_5!I98</f>
        <v>128.02500000000001</v>
      </c>
      <c r="K22" s="20">
        <f>[1]Grp_5!J98</f>
        <v>58.464500000000001</v>
      </c>
      <c r="L22" s="20">
        <f>[1]Grp_5!K98</f>
        <v>40.572899999999997</v>
      </c>
      <c r="M22" s="20">
        <f>[1]Grp_5!L98</f>
        <v>0</v>
      </c>
      <c r="N22" s="20">
        <f>[1]Grp_5!M98</f>
        <v>0</v>
      </c>
      <c r="O22" s="20">
        <f>[1]Grp_5!N98</f>
        <v>0</v>
      </c>
      <c r="P22" s="20">
        <f>[1]Grp_5!O98</f>
        <v>0</v>
      </c>
      <c r="Q22" s="20">
        <f>[1]Grp_5!P98</f>
        <v>0</v>
      </c>
      <c r="R22" s="20">
        <f>[1]Grp_5!Q98</f>
        <v>0</v>
      </c>
      <c r="S22" s="21">
        <f>[1]Grp_5!R20</f>
        <v>0</v>
      </c>
      <c r="T22" s="9"/>
      <c r="U22" s="9"/>
      <c r="V22" s="10"/>
    </row>
    <row r="23" spans="1:22">
      <c r="A23" s="2">
        <v>20</v>
      </c>
      <c r="B23" s="17" t="str">
        <f>[1]Grp_5!A21</f>
        <v>1039A</v>
      </c>
      <c r="C23" s="30" t="str">
        <f>[1]Grp_5!B21</f>
        <v>Robo-Raiders</v>
      </c>
      <c r="D23" s="18" t="str">
        <f>[1]Grp_5!C21</f>
        <v>Highland Secondary School</v>
      </c>
      <c r="E23" s="31" t="str">
        <f>[1]Grp_5!D21</f>
        <v>Comox, British Columbia, Canada</v>
      </c>
      <c r="F23" s="34">
        <f>[1]Grp_5!E21</f>
        <v>292</v>
      </c>
      <c r="G23" s="19">
        <f>[1]Grp_5!F21</f>
        <v>247</v>
      </c>
      <c r="H23" s="37">
        <f>[1]Grp_5!G21</f>
        <v>133.50299999999999</v>
      </c>
      <c r="I23" s="38">
        <f>[1]Grp_5!H21</f>
        <v>115.08499999999999</v>
      </c>
      <c r="J23" s="20">
        <f>[1]Grp_5!I21</f>
        <v>133.50299999999999</v>
      </c>
      <c r="K23" s="20">
        <f>[1]Grp_5!J21</f>
        <v>73.310699999999997</v>
      </c>
      <c r="L23" s="20">
        <f>[1]Grp_5!K21</f>
        <v>57.020200000000003</v>
      </c>
      <c r="M23" s="20">
        <f>[1]Grp_5!L21</f>
        <v>0</v>
      </c>
      <c r="N23" s="20">
        <f>[1]Grp_5!M21</f>
        <v>0</v>
      </c>
      <c r="O23" s="20">
        <f>[1]Grp_5!N21</f>
        <v>0</v>
      </c>
      <c r="P23" s="20">
        <f>[1]Grp_5!O21</f>
        <v>0</v>
      </c>
      <c r="Q23" s="20">
        <f>[1]Grp_5!P21</f>
        <v>0</v>
      </c>
      <c r="R23" s="20">
        <f>[1]Grp_5!Q21</f>
        <v>0</v>
      </c>
      <c r="S23" s="21">
        <f>[1]Grp_5!R21</f>
        <v>0</v>
      </c>
      <c r="T23" s="9"/>
      <c r="U23" s="9"/>
      <c r="V23" s="10"/>
    </row>
    <row r="24" spans="1:22">
      <c r="A24" s="2">
        <v>90</v>
      </c>
      <c r="B24" s="17" t="str">
        <f>[1]Grp_5!A91</f>
        <v>9090C</v>
      </c>
      <c r="C24" s="30" t="str">
        <f>[1]Grp_5!B91</f>
        <v>T-VEX</v>
      </c>
      <c r="D24" s="18" t="str">
        <f>[1]Grp_5!C91</f>
        <v>The Mandarin Chinese School</v>
      </c>
      <c r="E24" s="31" t="str">
        <f>[1]Grp_5!D91</f>
        <v>Arlington, Texas, United States</v>
      </c>
      <c r="F24" s="34">
        <f>[1]Grp_5!E91</f>
        <v>167</v>
      </c>
      <c r="G24" s="19">
        <f>[1]Grp_5!F91</f>
        <v>217</v>
      </c>
      <c r="H24" s="37">
        <f>[1]Grp_5!G91</f>
        <v>132.69200000000001</v>
      </c>
      <c r="I24" s="38">
        <f>[1]Grp_5!H91</f>
        <v>132.69200000000001</v>
      </c>
      <c r="J24" s="20">
        <f>[1]Grp_5!I91</f>
        <v>119.03100000000001</v>
      </c>
      <c r="K24" s="20">
        <f>[1]Grp_5!J91</f>
        <v>69.130499999999998</v>
      </c>
      <c r="L24" s="20">
        <f>[1]Grp_5!K91</f>
        <v>86.182100000000005</v>
      </c>
      <c r="M24" s="20">
        <f>[1]Grp_5!L91</f>
        <v>38.386899999999997</v>
      </c>
      <c r="N24" s="20">
        <f>[1]Grp_5!M91</f>
        <v>62.408700000000003</v>
      </c>
      <c r="O24" s="20">
        <f>[1]Grp_5!N91</f>
        <v>0</v>
      </c>
      <c r="P24" s="20">
        <f>[1]Grp_5!O91</f>
        <v>0</v>
      </c>
      <c r="Q24" s="20">
        <f>[1]Grp_5!P91</f>
        <v>0</v>
      </c>
      <c r="R24" s="20">
        <f>[1]Grp_5!Q91</f>
        <v>0</v>
      </c>
      <c r="S24" s="21">
        <f>[1]Grp_5!R22</f>
        <v>0</v>
      </c>
      <c r="T24" s="9"/>
      <c r="U24" s="9"/>
      <c r="V24" s="10"/>
    </row>
    <row r="25" spans="1:22">
      <c r="A25" s="2">
        <v>79</v>
      </c>
      <c r="B25" s="17" t="str">
        <f>[1]Grp_5!A80</f>
        <v>7972C</v>
      </c>
      <c r="C25" s="30" t="str">
        <f>[1]Grp_5!B80</f>
        <v>Gaoxin NO.1 HSch C</v>
      </c>
      <c r="D25" s="18" t="str">
        <f>[1]Grp_5!C80</f>
        <v>Xi'an Gaoxin NO.1 High School</v>
      </c>
      <c r="E25" s="31" t="str">
        <f>[1]Grp_5!D80</f>
        <v>xi'an, Not Applicable or Not Listed, China</v>
      </c>
      <c r="F25" s="34">
        <f>[1]Grp_5!E80</f>
        <v>0</v>
      </c>
      <c r="G25" s="19">
        <f>[1]Grp_5!F80</f>
        <v>0</v>
      </c>
      <c r="H25" s="37">
        <f>[1]Grp_5!G80</f>
        <v>131.84</v>
      </c>
      <c r="I25" s="38">
        <f>[1]Grp_5!H80</f>
        <v>131.84</v>
      </c>
      <c r="J25" s="20">
        <f>[1]Grp_5!I80</f>
        <v>0</v>
      </c>
      <c r="K25" s="20">
        <f>[1]Grp_5!J80</f>
        <v>0</v>
      </c>
      <c r="L25" s="20">
        <f>[1]Grp_5!K80</f>
        <v>0</v>
      </c>
      <c r="M25" s="20">
        <f>[1]Grp_5!L80</f>
        <v>0</v>
      </c>
      <c r="N25" s="20">
        <f>[1]Grp_5!M80</f>
        <v>0</v>
      </c>
      <c r="O25" s="20">
        <f>[1]Grp_5!N80</f>
        <v>0</v>
      </c>
      <c r="P25" s="20">
        <f>[1]Grp_5!O80</f>
        <v>0</v>
      </c>
      <c r="Q25" s="20">
        <f>[1]Grp_5!P80</f>
        <v>0</v>
      </c>
      <c r="R25" s="20">
        <f>[1]Grp_5!Q80</f>
        <v>0</v>
      </c>
      <c r="S25" s="21">
        <f>[1]Grp_5!R23</f>
        <v>0</v>
      </c>
      <c r="T25" s="9"/>
      <c r="U25" s="9"/>
      <c r="V25" s="10"/>
    </row>
    <row r="26" spans="1:22">
      <c r="A26" s="2">
        <v>95</v>
      </c>
      <c r="B26" s="17" t="str">
        <f>[1]Grp_5!A96</f>
        <v>9898C</v>
      </c>
      <c r="C26" s="30" t="str">
        <f>[1]Grp_5!B96</f>
        <v xml:space="preserve">Scorpion Robotics </v>
      </c>
      <c r="D26" s="18" t="str">
        <f>[1]Grp_5!C96</f>
        <v>Scorpion Engineering Hesperia High School</v>
      </c>
      <c r="E26" s="31" t="str">
        <f>[1]Grp_5!D96</f>
        <v>Hesperia, California, United States</v>
      </c>
      <c r="F26" s="34">
        <f>[1]Grp_5!E96</f>
        <v>345</v>
      </c>
      <c r="G26" s="19">
        <f>[1]Grp_5!F96</f>
        <v>155</v>
      </c>
      <c r="H26" s="37">
        <f>[1]Grp_5!G96</f>
        <v>131.31200000000001</v>
      </c>
      <c r="I26" s="38">
        <f>[1]Grp_5!H96</f>
        <v>127.194</v>
      </c>
      <c r="J26" s="20">
        <f>[1]Grp_5!I96</f>
        <v>131.31200000000001</v>
      </c>
      <c r="K26" s="20">
        <f>[1]Grp_5!J96</f>
        <v>74.11</v>
      </c>
      <c r="L26" s="20">
        <f>[1]Grp_5!K96</f>
        <v>61.962899999999998</v>
      </c>
      <c r="M26" s="20">
        <f>[1]Grp_5!L96</f>
        <v>80.264099999999999</v>
      </c>
      <c r="N26" s="20">
        <f>[1]Grp_5!M96</f>
        <v>0</v>
      </c>
      <c r="O26" s="20">
        <f>[1]Grp_5!N96</f>
        <v>0</v>
      </c>
      <c r="P26" s="20">
        <f>[1]Grp_5!O96</f>
        <v>0</v>
      </c>
      <c r="Q26" s="20">
        <f>[1]Grp_5!P96</f>
        <v>0</v>
      </c>
      <c r="R26" s="20">
        <f>[1]Grp_5!Q96</f>
        <v>0</v>
      </c>
      <c r="S26" s="21">
        <f>[1]Grp_5!R24</f>
        <v>0</v>
      </c>
      <c r="T26" s="9"/>
      <c r="U26" s="9"/>
      <c r="V26" s="10"/>
    </row>
    <row r="27" spans="1:22">
      <c r="A27" s="2">
        <v>45</v>
      </c>
      <c r="B27" s="17" t="str">
        <f>[1]Grp_5!A46</f>
        <v>4000</v>
      </c>
      <c r="C27" s="30" t="str">
        <f>[1]Grp_5!B46</f>
        <v>Omni Eagles</v>
      </c>
      <c r="D27" s="18" t="str">
        <f>[1]Grp_5!C46</f>
        <v>Heritage Academy</v>
      </c>
      <c r="E27" s="31" t="str">
        <f>[1]Grp_5!D46</f>
        <v>Quinlan, Texas, United States</v>
      </c>
      <c r="F27" s="34">
        <f>[1]Grp_5!E46</f>
        <v>236</v>
      </c>
      <c r="G27" s="19">
        <f>[1]Grp_5!F46</f>
        <v>69</v>
      </c>
      <c r="H27" s="37">
        <f>[1]Grp_5!G46</f>
        <v>130.08699999999999</v>
      </c>
      <c r="I27" s="38">
        <f>[1]Grp_5!H46</f>
        <v>95.747799999999998</v>
      </c>
      <c r="J27" s="20">
        <f>[1]Grp_5!I46</f>
        <v>76.957300000000004</v>
      </c>
      <c r="K27" s="20">
        <f>[1]Grp_5!J46</f>
        <v>80.509500000000003</v>
      </c>
      <c r="L27" s="20">
        <f>[1]Grp_5!K46</f>
        <v>130.08699999999999</v>
      </c>
      <c r="M27" s="20">
        <f>[1]Grp_5!L46</f>
        <v>115.092</v>
      </c>
      <c r="N27" s="20">
        <f>[1]Grp_5!M46</f>
        <v>84.1477</v>
      </c>
      <c r="O27" s="20">
        <f>[1]Grp_5!N46</f>
        <v>92.0381</v>
      </c>
      <c r="P27" s="20">
        <f>[1]Grp_5!O46</f>
        <v>0</v>
      </c>
      <c r="Q27" s="20">
        <f>[1]Grp_5!P46</f>
        <v>0</v>
      </c>
      <c r="R27" s="20">
        <f>[1]Grp_5!Q46</f>
        <v>0</v>
      </c>
      <c r="S27" s="21">
        <f>[1]Grp_5!R25</f>
        <v>0</v>
      </c>
      <c r="T27" s="9"/>
      <c r="U27" s="9"/>
      <c r="V27" s="10"/>
    </row>
    <row r="28" spans="1:22">
      <c r="A28" s="2">
        <v>14</v>
      </c>
      <c r="B28" s="17" t="str">
        <f>[1]Grp_5!A15</f>
        <v>585A</v>
      </c>
      <c r="C28" s="30" t="str">
        <f>[1]Grp_5!B15</f>
        <v>Central Robo Dawgs</v>
      </c>
      <c r="D28" s="18" t="str">
        <f>[1]Grp_5!C15</f>
        <v>Forsyth Central High School</v>
      </c>
      <c r="E28" s="31" t="str">
        <f>[1]Grp_5!D15</f>
        <v>Cumming, Georgia, United States</v>
      </c>
      <c r="F28" s="34">
        <f>[1]Grp_5!E15</f>
        <v>233</v>
      </c>
      <c r="G28" s="19">
        <f>[1]Grp_5!F15</f>
        <v>112</v>
      </c>
      <c r="H28" s="37">
        <f>[1]Grp_5!G15</f>
        <v>128.53399999999999</v>
      </c>
      <c r="I28" s="38">
        <f>[1]Grp_5!H15</f>
        <v>79.373000000000005</v>
      </c>
      <c r="J28" s="20">
        <f>[1]Grp_5!I15</f>
        <v>73.420100000000005</v>
      </c>
      <c r="K28" s="20">
        <f>[1]Grp_5!J15</f>
        <v>112.77</v>
      </c>
      <c r="L28" s="20">
        <f>[1]Grp_5!K15</f>
        <v>19.854900000000001</v>
      </c>
      <c r="M28" s="20">
        <f>[1]Grp_5!L15</f>
        <v>128.53399999999999</v>
      </c>
      <c r="N28" s="20">
        <f>[1]Grp_5!M15</f>
        <v>48.115600000000001</v>
      </c>
      <c r="O28" s="20">
        <f>[1]Grp_5!N15</f>
        <v>0</v>
      </c>
      <c r="P28" s="20">
        <f>[1]Grp_5!O15</f>
        <v>0</v>
      </c>
      <c r="Q28" s="20">
        <f>[1]Grp_5!P15</f>
        <v>0</v>
      </c>
      <c r="R28" s="20">
        <f>[1]Grp_5!Q15</f>
        <v>0</v>
      </c>
      <c r="S28" s="21">
        <f>[1]Grp_5!R26</f>
        <v>0</v>
      </c>
      <c r="T28" s="9"/>
      <c r="U28" s="9"/>
      <c r="V28" s="10"/>
    </row>
    <row r="29" spans="1:22">
      <c r="A29" s="2">
        <v>36</v>
      </c>
      <c r="B29" s="17" t="str">
        <f>[1]Grp_5!A37</f>
        <v>2501B</v>
      </c>
      <c r="C29" s="30" t="str">
        <f>[1]Grp_5!B37</f>
        <v>Optimus Dime</v>
      </c>
      <c r="D29" s="18" t="str">
        <f>[1]Grp_5!C37</f>
        <v>Thomas Jefferson High School</v>
      </c>
      <c r="E29" s="31" t="str">
        <f>[1]Grp_5!D37</f>
        <v>Council Bluffs, Iowa, United States</v>
      </c>
      <c r="F29" s="34">
        <f>[1]Grp_5!E37</f>
        <v>320</v>
      </c>
      <c r="G29" s="19">
        <f>[1]Grp_5!F37</f>
        <v>165</v>
      </c>
      <c r="H29" s="37">
        <f>[1]Grp_5!G37</f>
        <v>125.633</v>
      </c>
      <c r="I29" s="38">
        <f>[1]Grp_5!H37</f>
        <v>125.633</v>
      </c>
      <c r="J29" s="20">
        <f>[1]Grp_5!I37</f>
        <v>115.10899999999999</v>
      </c>
      <c r="K29" s="20">
        <f>[1]Grp_5!J37</f>
        <v>124.054</v>
      </c>
      <c r="L29" s="20">
        <f>[1]Grp_5!K37</f>
        <v>96.656000000000006</v>
      </c>
      <c r="M29" s="20">
        <f>[1]Grp_5!L37</f>
        <v>73.591899999999995</v>
      </c>
      <c r="N29" s="20">
        <f>[1]Grp_5!M37</f>
        <v>103.133</v>
      </c>
      <c r="O29" s="20">
        <f>[1]Grp_5!N37</f>
        <v>85.756500000000003</v>
      </c>
      <c r="P29" s="20">
        <f>[1]Grp_5!O37</f>
        <v>60.847000000000001</v>
      </c>
      <c r="Q29" s="20">
        <f>[1]Grp_5!P37</f>
        <v>25.008400000000002</v>
      </c>
      <c r="R29" s="20">
        <f>[1]Grp_5!Q37</f>
        <v>62.213200000000001</v>
      </c>
      <c r="S29" s="21">
        <f>[1]Grp_5!R27</f>
        <v>0</v>
      </c>
      <c r="T29" s="9"/>
      <c r="U29" s="9"/>
      <c r="V29" s="10"/>
    </row>
    <row r="30" spans="1:22">
      <c r="A30" s="2">
        <v>75</v>
      </c>
      <c r="B30" s="17" t="str">
        <f>[1]Grp_5!A76</f>
        <v>7581H</v>
      </c>
      <c r="C30" s="30" t="str">
        <f>[1]Grp_5!B76</f>
        <v>Haslett VEX Raptors MSU</v>
      </c>
      <c r="D30" s="18" t="str">
        <f>[1]Grp_5!C76</f>
        <v>Michigan State University College of Engineering</v>
      </c>
      <c r="E30" s="31" t="str">
        <f>[1]Grp_5!D76</f>
        <v>East Lansing, Michigan, United States</v>
      </c>
      <c r="F30" s="34">
        <f>[1]Grp_5!E76</f>
        <v>218</v>
      </c>
      <c r="G30" s="19">
        <f>[1]Grp_5!F76</f>
        <v>116</v>
      </c>
      <c r="H30" s="37">
        <f>[1]Grp_5!G76</f>
        <v>124.845</v>
      </c>
      <c r="I30" s="38">
        <f>[1]Grp_5!H76</f>
        <v>124.845</v>
      </c>
      <c r="J30" s="20">
        <f>[1]Grp_5!I76</f>
        <v>78.569599999999994</v>
      </c>
      <c r="K30" s="20">
        <f>[1]Grp_5!J76</f>
        <v>53.203699999999998</v>
      </c>
      <c r="L30" s="20">
        <f>[1]Grp_5!K76</f>
        <v>57.938699999999997</v>
      </c>
      <c r="M30" s="20">
        <f>[1]Grp_5!L76</f>
        <v>72.085599999999999</v>
      </c>
      <c r="N30" s="20">
        <f>[1]Grp_5!M76</f>
        <v>0</v>
      </c>
      <c r="O30" s="20">
        <f>[1]Grp_5!N76</f>
        <v>0</v>
      </c>
      <c r="P30" s="20">
        <f>[1]Grp_5!O76</f>
        <v>0</v>
      </c>
      <c r="Q30" s="20">
        <f>[1]Grp_5!P76</f>
        <v>0</v>
      </c>
      <c r="R30" s="20">
        <f>[1]Grp_5!Q76</f>
        <v>0</v>
      </c>
      <c r="S30" s="21">
        <f>[1]Grp_5!R28</f>
        <v>0</v>
      </c>
      <c r="T30" s="9"/>
      <c r="U30" s="9"/>
      <c r="V30" s="10"/>
    </row>
    <row r="31" spans="1:22">
      <c r="A31" s="2">
        <v>10</v>
      </c>
      <c r="B31" s="17" t="str">
        <f>[1]Grp_5!A11</f>
        <v>323Z</v>
      </c>
      <c r="C31" s="30" t="str">
        <f>[1]Grp_5!B11</f>
        <v>Aftershock - ☣</v>
      </c>
      <c r="D31" s="18" t="str">
        <f>[1]Grp_5!C11</f>
        <v>Cornerstone Robotics North</v>
      </c>
      <c r="E31" s="31" t="str">
        <f>[1]Grp_5!D11</f>
        <v>Indianapolis, Indiana, United States</v>
      </c>
      <c r="F31" s="34">
        <f>[1]Grp_5!E11</f>
        <v>345</v>
      </c>
      <c r="G31" s="19">
        <f>[1]Grp_5!F11</f>
        <v>286</v>
      </c>
      <c r="H31" s="37">
        <f>[1]Grp_5!G11</f>
        <v>122.547</v>
      </c>
      <c r="I31" s="38">
        <f>[1]Grp_5!H11</f>
        <v>122.547</v>
      </c>
      <c r="J31" s="20">
        <f>[1]Grp_5!I11</f>
        <v>116.14100000000001</v>
      </c>
      <c r="K31" s="20">
        <f>[1]Grp_5!J11</f>
        <v>112.631</v>
      </c>
      <c r="L31" s="20">
        <f>[1]Grp_5!K11</f>
        <v>121.12</v>
      </c>
      <c r="M31" s="20">
        <f>[1]Grp_5!L11</f>
        <v>85.282499999999999</v>
      </c>
      <c r="N31" s="20">
        <f>[1]Grp_5!M11</f>
        <v>100.07599999999999</v>
      </c>
      <c r="O31" s="20">
        <f>[1]Grp_5!N11</f>
        <v>66.046499999999995</v>
      </c>
      <c r="P31" s="20">
        <f>[1]Grp_5!O11</f>
        <v>0</v>
      </c>
      <c r="Q31" s="20">
        <f>[1]Grp_5!P11</f>
        <v>0</v>
      </c>
      <c r="R31" s="20">
        <f>[1]Grp_5!Q11</f>
        <v>0</v>
      </c>
      <c r="S31" s="21">
        <f>[1]Grp_5!R29</f>
        <v>0</v>
      </c>
      <c r="T31" s="9"/>
      <c r="U31" s="9"/>
      <c r="V31" s="10"/>
    </row>
    <row r="32" spans="1:22">
      <c r="A32" s="2">
        <v>47</v>
      </c>
      <c r="B32" s="17" t="str">
        <f>[1]Grp_5!A48</f>
        <v>4154A</v>
      </c>
      <c r="C32" s="30" t="str">
        <f>[1]Grp_5!B48</f>
        <v>U.S.S.R.</v>
      </c>
      <c r="D32" s="18" t="str">
        <f>[1]Grp_5!C48</f>
        <v>University School of Nova Southeastern University</v>
      </c>
      <c r="E32" s="31" t="str">
        <f>[1]Grp_5!D48</f>
        <v>Fort Lauderdale, Florida, United States</v>
      </c>
      <c r="F32" s="34">
        <f>[1]Grp_5!E48</f>
        <v>281</v>
      </c>
      <c r="G32" s="19">
        <f>[1]Grp_5!F48</f>
        <v>150</v>
      </c>
      <c r="H32" s="37">
        <f>[1]Grp_5!G48</f>
        <v>122.53100000000001</v>
      </c>
      <c r="I32" s="38">
        <f>[1]Grp_5!H48</f>
        <v>69.838999999999999</v>
      </c>
      <c r="J32" s="20">
        <f>[1]Grp_5!I48</f>
        <v>114.85899999999999</v>
      </c>
      <c r="K32" s="20">
        <f>[1]Grp_5!J48</f>
        <v>122.53100000000001</v>
      </c>
      <c r="L32" s="20">
        <f>[1]Grp_5!K48</f>
        <v>48.1569</v>
      </c>
      <c r="M32" s="20">
        <f>[1]Grp_5!L48</f>
        <v>74.795500000000004</v>
      </c>
      <c r="N32" s="20">
        <f>[1]Grp_5!M48</f>
        <v>0</v>
      </c>
      <c r="O32" s="20">
        <f>[1]Grp_5!N48</f>
        <v>0</v>
      </c>
      <c r="P32" s="20">
        <f>[1]Grp_5!O48</f>
        <v>0</v>
      </c>
      <c r="Q32" s="20">
        <f>[1]Grp_5!P48</f>
        <v>0</v>
      </c>
      <c r="R32" s="20">
        <f>[1]Grp_5!Q48</f>
        <v>0</v>
      </c>
      <c r="S32" s="21">
        <f>[1]Grp_5!R30</f>
        <v>0</v>
      </c>
      <c r="T32" s="9"/>
      <c r="U32" s="9"/>
      <c r="V32" s="10"/>
    </row>
    <row r="33" spans="1:22">
      <c r="A33" s="2">
        <v>93</v>
      </c>
      <c r="B33" s="17" t="str">
        <f>[1]Grp_5!A94</f>
        <v>9541</v>
      </c>
      <c r="C33" s="30" t="str">
        <f>[1]Grp_5!B94</f>
        <v>C.H.E.S.S. Knights</v>
      </c>
      <c r="D33" s="18" t="str">
        <f>[1]Grp_5!C94</f>
        <v>Christian Home Educators of Sulphur Springs</v>
      </c>
      <c r="E33" s="31" t="str">
        <f>[1]Grp_5!D94</f>
        <v>Como, Texas, United States</v>
      </c>
      <c r="F33" s="34">
        <f>[1]Grp_5!E94</f>
        <v>215</v>
      </c>
      <c r="G33" s="19">
        <f>[1]Grp_5!F94</f>
        <v>231</v>
      </c>
      <c r="H33" s="37">
        <f>[1]Grp_5!G94</f>
        <v>121.13</v>
      </c>
      <c r="I33" s="38">
        <f>[1]Grp_5!H94</f>
        <v>55.247199999999999</v>
      </c>
      <c r="J33" s="20">
        <f>[1]Grp_5!I94</f>
        <v>87.430999999999997</v>
      </c>
      <c r="K33" s="20">
        <f>[1]Grp_5!J94</f>
        <v>92.304100000000005</v>
      </c>
      <c r="L33" s="20">
        <f>[1]Grp_5!K94</f>
        <v>121.13</v>
      </c>
      <c r="M33" s="20">
        <f>[1]Grp_5!L94</f>
        <v>110.43899999999999</v>
      </c>
      <c r="N33" s="20">
        <f>[1]Grp_5!M94</f>
        <v>0</v>
      </c>
      <c r="O33" s="20">
        <f>[1]Grp_5!N94</f>
        <v>0</v>
      </c>
      <c r="P33" s="20">
        <f>[1]Grp_5!O94</f>
        <v>0</v>
      </c>
      <c r="Q33" s="20">
        <f>[1]Grp_5!P94</f>
        <v>0</v>
      </c>
      <c r="R33" s="20">
        <f>[1]Grp_5!Q94</f>
        <v>0</v>
      </c>
      <c r="S33" s="21">
        <f>[1]Grp_5!R31</f>
        <v>0</v>
      </c>
      <c r="T33" s="9"/>
      <c r="U33" s="9"/>
      <c r="V33" s="10"/>
    </row>
    <row r="34" spans="1:22">
      <c r="A34" s="2">
        <v>24</v>
      </c>
      <c r="B34" s="17" t="str">
        <f>[1]Grp_5!A25</f>
        <v>1320A</v>
      </c>
      <c r="C34" s="30" t="str">
        <f>[1]Grp_5!B25</f>
        <v>Tucker High Robotigers</v>
      </c>
      <c r="D34" s="18" t="str">
        <f>[1]Grp_5!C25</f>
        <v>Tucker High School - DeKalb County School Sytem</v>
      </c>
      <c r="E34" s="31" t="str">
        <f>[1]Grp_5!D25</f>
        <v>Tucker, Georgia, United States</v>
      </c>
      <c r="F34" s="34">
        <f>[1]Grp_5!E25</f>
        <v>220</v>
      </c>
      <c r="G34" s="19">
        <f>[1]Grp_5!F25</f>
        <v>155</v>
      </c>
      <c r="H34" s="37">
        <f>[1]Grp_5!G25</f>
        <v>119.845</v>
      </c>
      <c r="I34" s="38">
        <f>[1]Grp_5!H25</f>
        <v>106.782</v>
      </c>
      <c r="J34" s="20">
        <f>[1]Grp_5!I25</f>
        <v>119.845</v>
      </c>
      <c r="K34" s="20">
        <f>[1]Grp_5!J25</f>
        <v>103.333</v>
      </c>
      <c r="L34" s="20">
        <f>[1]Grp_5!K25</f>
        <v>49.465200000000003</v>
      </c>
      <c r="M34" s="20">
        <f>[1]Grp_5!L25</f>
        <v>69.134799999999998</v>
      </c>
      <c r="N34" s="20">
        <f>[1]Grp_5!M25</f>
        <v>47.433399999999999</v>
      </c>
      <c r="O34" s="20">
        <f>[1]Grp_5!N25</f>
        <v>0</v>
      </c>
      <c r="P34" s="20">
        <f>[1]Grp_5!O25</f>
        <v>0</v>
      </c>
      <c r="Q34" s="20">
        <f>[1]Grp_5!P25</f>
        <v>0</v>
      </c>
      <c r="R34" s="20">
        <f>[1]Grp_5!Q25</f>
        <v>0</v>
      </c>
      <c r="S34" s="21">
        <f>[1]Grp_5!R32</f>
        <v>0</v>
      </c>
      <c r="T34" s="9"/>
      <c r="U34" s="9"/>
      <c r="V34" s="10"/>
    </row>
    <row r="35" spans="1:22">
      <c r="A35" s="2">
        <v>44</v>
      </c>
      <c r="B35" s="17" t="str">
        <f>[1]Grp_5!A45</f>
        <v>3921B</v>
      </c>
      <c r="C35" s="30" t="str">
        <f>[1]Grp_5!B45</f>
        <v>Martin II</v>
      </c>
      <c r="D35" s="18" t="str">
        <f>[1]Grp_5!C45</f>
        <v>Carroll County College And Career Academy</v>
      </c>
      <c r="E35" s="31" t="str">
        <f>[1]Grp_5!D45</f>
        <v>Carrollton, Georgia, United States</v>
      </c>
      <c r="F35" s="34">
        <f>[1]Grp_5!E45</f>
        <v>179</v>
      </c>
      <c r="G35" s="19">
        <f>[1]Grp_5!F45</f>
        <v>78</v>
      </c>
      <c r="H35" s="37">
        <f>[1]Grp_5!G45</f>
        <v>119.768</v>
      </c>
      <c r="I35" s="38">
        <f>[1]Grp_5!H45</f>
        <v>119.768</v>
      </c>
      <c r="J35" s="20">
        <f>[1]Grp_5!I45</f>
        <v>70.805499999999995</v>
      </c>
      <c r="K35" s="20">
        <f>[1]Grp_5!J45</f>
        <v>84.155799999999999</v>
      </c>
      <c r="L35" s="20">
        <f>[1]Grp_5!K45</f>
        <v>84.516499999999994</v>
      </c>
      <c r="M35" s="20">
        <f>[1]Grp_5!L45</f>
        <v>69.578000000000003</v>
      </c>
      <c r="N35" s="20">
        <f>[1]Grp_5!M45</f>
        <v>75.413399999999996</v>
      </c>
      <c r="O35" s="20">
        <f>[1]Grp_5!N45</f>
        <v>34.061199999999999</v>
      </c>
      <c r="P35" s="20">
        <f>[1]Grp_5!O45</f>
        <v>23.380299999999998</v>
      </c>
      <c r="Q35" s="20">
        <f>[1]Grp_5!P45</f>
        <v>24.623000000000001</v>
      </c>
      <c r="R35" s="20">
        <f>[1]Grp_5!Q45</f>
        <v>0</v>
      </c>
      <c r="S35" s="21">
        <f>[1]Grp_5!R33</f>
        <v>0</v>
      </c>
      <c r="T35" s="9"/>
      <c r="U35" s="9"/>
      <c r="V35" s="10"/>
    </row>
    <row r="36" spans="1:22">
      <c r="A36" s="45">
        <v>88</v>
      </c>
      <c r="B36" s="46" t="str">
        <f>[1]Grp_5!A89</f>
        <v>8900</v>
      </c>
      <c r="C36" s="47" t="str">
        <f>[1]Grp_5!B89</f>
        <v>Parallax</v>
      </c>
      <c r="D36" s="48" t="str">
        <f>[1]Grp_5!C89</f>
        <v>Phillips Academy Andover</v>
      </c>
      <c r="E36" s="49" t="str">
        <f>[1]Grp_5!D89</f>
        <v>Andover, Massachusetts, United States</v>
      </c>
      <c r="F36" s="50">
        <f>[1]Grp_5!E89</f>
        <v>287</v>
      </c>
      <c r="G36" s="51">
        <f>[1]Grp_5!F89</f>
        <v>228</v>
      </c>
      <c r="H36" s="52">
        <f>[1]Grp_5!G89</f>
        <v>119.614</v>
      </c>
      <c r="I36" s="53">
        <f>[1]Grp_5!H89</f>
        <v>70.974699999999999</v>
      </c>
      <c r="J36" s="54">
        <f>[1]Grp_5!I89</f>
        <v>100.672</v>
      </c>
      <c r="K36" s="54">
        <f>[1]Grp_5!J89</f>
        <v>119.614</v>
      </c>
      <c r="L36" s="54">
        <f>[1]Grp_5!K89</f>
        <v>85.615300000000005</v>
      </c>
      <c r="M36" s="54">
        <f>[1]Grp_5!L89</f>
        <v>24.953299999999999</v>
      </c>
      <c r="N36" s="54">
        <f>[1]Grp_5!M89</f>
        <v>0</v>
      </c>
      <c r="O36" s="54">
        <f>[1]Grp_5!N89</f>
        <v>0</v>
      </c>
      <c r="P36" s="54">
        <f>[1]Grp_5!O89</f>
        <v>0</v>
      </c>
      <c r="Q36" s="54">
        <f>[1]Grp_5!P89</f>
        <v>0</v>
      </c>
      <c r="R36" s="54">
        <f>[1]Grp_5!Q89</f>
        <v>0</v>
      </c>
      <c r="S36" s="55">
        <f>[1]Grp_5!R34</f>
        <v>0</v>
      </c>
      <c r="T36" s="9"/>
      <c r="U36" s="9"/>
      <c r="V36" s="10"/>
    </row>
    <row r="37" spans="1:22">
      <c r="A37" s="2">
        <v>73</v>
      </c>
      <c r="B37" s="17" t="str">
        <f>[1]Grp_5!A74</f>
        <v>7232J</v>
      </c>
      <c r="C37" s="30" t="str">
        <f>[1]Grp_5!B74</f>
        <v>Cyber Pirates</v>
      </c>
      <c r="D37" s="18" t="str">
        <f>[1]Grp_5!C74</f>
        <v>Belton High School</v>
      </c>
      <c r="E37" s="31" t="str">
        <f>[1]Grp_5!D74</f>
        <v>Belton, Missouri, United States</v>
      </c>
      <c r="F37" s="34">
        <f>[1]Grp_5!E74</f>
        <v>304</v>
      </c>
      <c r="G37" s="19">
        <f>[1]Grp_5!F74</f>
        <v>231</v>
      </c>
      <c r="H37" s="37">
        <f>[1]Grp_5!G74</f>
        <v>119.48399999999999</v>
      </c>
      <c r="I37" s="38">
        <f>[1]Grp_5!H74</f>
        <v>119.48399999999999</v>
      </c>
      <c r="J37" s="20">
        <f>[1]Grp_5!I74</f>
        <v>108.81100000000001</v>
      </c>
      <c r="K37" s="20">
        <f>[1]Grp_5!J74</f>
        <v>96.7102</v>
      </c>
      <c r="L37" s="20">
        <f>[1]Grp_5!K74</f>
        <v>111.992</v>
      </c>
      <c r="M37" s="20">
        <f>[1]Grp_5!L74</f>
        <v>80.602800000000002</v>
      </c>
      <c r="N37" s="20">
        <f>[1]Grp_5!M74</f>
        <v>42.9099</v>
      </c>
      <c r="O37" s="20">
        <f>[1]Grp_5!N74</f>
        <v>43.7333</v>
      </c>
      <c r="P37" s="20">
        <f>[1]Grp_5!O74</f>
        <v>39.051299999999998</v>
      </c>
      <c r="Q37" s="20">
        <f>[1]Grp_5!P74</f>
        <v>0</v>
      </c>
      <c r="R37" s="20">
        <f>[1]Grp_5!Q74</f>
        <v>0</v>
      </c>
      <c r="S37" s="21">
        <f>[1]Grp_5!R35</f>
        <v>0</v>
      </c>
      <c r="T37" s="9"/>
      <c r="U37" s="9"/>
      <c r="V37" s="10"/>
    </row>
    <row r="38" spans="1:22">
      <c r="A38" s="2">
        <v>34</v>
      </c>
      <c r="B38" s="17" t="str">
        <f>[1]Grp_5!A35</f>
        <v>2188A</v>
      </c>
      <c r="C38" s="30" t="str">
        <f>[1]Grp_5!B35</f>
        <v>Robosource.net</v>
      </c>
      <c r="D38" s="18" t="str">
        <f>[1]Grp_5!C35</f>
        <v>Independent</v>
      </c>
      <c r="E38" s="31" t="str">
        <f>[1]Grp_5!D35</f>
        <v>Oakville, Ontario, Canada</v>
      </c>
      <c r="F38" s="34">
        <f>[1]Grp_5!E35</f>
        <v>167</v>
      </c>
      <c r="G38" s="19">
        <f>[1]Grp_5!F35</f>
        <v>310</v>
      </c>
      <c r="H38" s="37">
        <f>[1]Grp_5!G35</f>
        <v>118.85599999999999</v>
      </c>
      <c r="I38" s="38">
        <f>[1]Grp_5!H35</f>
        <v>118.85599999999999</v>
      </c>
      <c r="J38" s="20">
        <f>[1]Grp_5!I35</f>
        <v>57.242199999999997</v>
      </c>
      <c r="K38" s="20">
        <f>[1]Grp_5!J35</f>
        <v>109.774</v>
      </c>
      <c r="L38" s="20">
        <f>[1]Grp_5!K35</f>
        <v>0</v>
      </c>
      <c r="M38" s="20">
        <f>[1]Grp_5!L35</f>
        <v>0</v>
      </c>
      <c r="N38" s="20">
        <f>[1]Grp_5!M35</f>
        <v>0</v>
      </c>
      <c r="O38" s="20">
        <f>[1]Grp_5!N35</f>
        <v>0</v>
      </c>
      <c r="P38" s="20">
        <f>[1]Grp_5!O35</f>
        <v>0</v>
      </c>
      <c r="Q38" s="20">
        <f>[1]Grp_5!P35</f>
        <v>0</v>
      </c>
      <c r="R38" s="20">
        <f>[1]Grp_5!Q35</f>
        <v>0</v>
      </c>
      <c r="S38" s="21">
        <f>[1]Grp_5!R36</f>
        <v>0</v>
      </c>
      <c r="T38" s="9"/>
      <c r="U38" s="9"/>
      <c r="V38" s="10"/>
    </row>
    <row r="39" spans="1:22">
      <c r="A39" s="2">
        <v>70</v>
      </c>
      <c r="B39" s="17" t="str">
        <f>[1]Grp_5!A71</f>
        <v>6862M</v>
      </c>
      <c r="C39" s="30" t="str">
        <f>[1]Grp_5!B71</f>
        <v>Team Comet Robotics Club</v>
      </c>
      <c r="D39" s="18" t="str">
        <f>[1]Grp_5!C71</f>
        <v>Team Comet Robotics Club</v>
      </c>
      <c r="E39" s="31" t="str">
        <f>[1]Grp_5!D71</f>
        <v>Marion, Ohio, United States</v>
      </c>
      <c r="F39" s="34">
        <f>[1]Grp_5!E71</f>
        <v>116</v>
      </c>
      <c r="G39" s="19">
        <f>[1]Grp_5!F71</f>
        <v>0</v>
      </c>
      <c r="H39" s="37">
        <f>[1]Grp_5!G71</f>
        <v>116.857</v>
      </c>
      <c r="I39" s="38">
        <f>[1]Grp_5!H71</f>
        <v>82.912300000000002</v>
      </c>
      <c r="J39" s="20">
        <f>[1]Grp_5!I71</f>
        <v>70.9358</v>
      </c>
      <c r="K39" s="20">
        <f>[1]Grp_5!J71</f>
        <v>77.244</v>
      </c>
      <c r="L39" s="20">
        <f>[1]Grp_5!K71</f>
        <v>116.857</v>
      </c>
      <c r="M39" s="20">
        <f>[1]Grp_5!L71</f>
        <v>64.251900000000006</v>
      </c>
      <c r="N39" s="20">
        <f>[1]Grp_5!M71</f>
        <v>69.460599999999999</v>
      </c>
      <c r="O39" s="20">
        <f>[1]Grp_5!N71</f>
        <v>61.224200000000003</v>
      </c>
      <c r="P39" s="20">
        <f>[1]Grp_5!O71</f>
        <v>57.125599999999999</v>
      </c>
      <c r="Q39" s="20">
        <f>[1]Grp_5!P71</f>
        <v>57.737000000000002</v>
      </c>
      <c r="R39" s="20">
        <f>[1]Grp_5!Q71</f>
        <v>0</v>
      </c>
      <c r="S39" s="21">
        <f>[1]Grp_5!R37</f>
        <v>36.749699999999997</v>
      </c>
      <c r="T39" s="9"/>
      <c r="U39" s="9"/>
      <c r="V39" s="10"/>
    </row>
    <row r="40" spans="1:22">
      <c r="A40" s="2">
        <v>2</v>
      </c>
      <c r="B40" s="17" t="str">
        <f>[1]Grp_5!A3</f>
        <v>35</v>
      </c>
      <c r="C40" s="30" t="str">
        <f>[1]Grp_5!B3</f>
        <v>Terminal Velocity</v>
      </c>
      <c r="D40" s="18" t="str">
        <f>[1]Grp_5!C3</f>
        <v>Cranbrook Schools</v>
      </c>
      <c r="E40" s="31" t="str">
        <f>[1]Grp_5!D3</f>
        <v>Bloomfield Hills, Michigan, United States</v>
      </c>
      <c r="F40" s="34">
        <f>[1]Grp_5!E3</f>
        <v>231</v>
      </c>
      <c r="G40" s="19">
        <f>[1]Grp_5!F3</f>
        <v>183</v>
      </c>
      <c r="H40" s="35">
        <f>[1]Grp_5!G3</f>
        <v>115.691</v>
      </c>
      <c r="I40" s="20">
        <f>[1]Grp_5!H3</f>
        <v>92.681100000000001</v>
      </c>
      <c r="J40" s="20">
        <f>[1]Grp_5!I3</f>
        <v>73.259600000000006</v>
      </c>
      <c r="K40" s="20">
        <f>[1]Grp_5!J3</f>
        <v>101.706</v>
      </c>
      <c r="L40" s="20">
        <f>[1]Grp_5!K3</f>
        <v>85.513900000000007</v>
      </c>
      <c r="M40" s="20">
        <f>[1]Grp_5!L3</f>
        <v>115.691</v>
      </c>
      <c r="N40" s="20">
        <f>[1]Grp_5!M3</f>
        <v>16.049700000000001</v>
      </c>
      <c r="O40" s="20">
        <f>[1]Grp_5!N3</f>
        <v>0</v>
      </c>
      <c r="P40" s="20">
        <f>[1]Grp_5!O3</f>
        <v>0</v>
      </c>
      <c r="Q40" s="20">
        <f>[1]Grp_5!P3</f>
        <v>0</v>
      </c>
      <c r="R40" s="20">
        <f>[1]Grp_5!Q3</f>
        <v>0</v>
      </c>
      <c r="S40" s="21">
        <f>[1]Grp_5!R38</f>
        <v>0</v>
      </c>
      <c r="T40" s="9"/>
      <c r="U40" s="9"/>
      <c r="V40" s="10"/>
    </row>
    <row r="41" spans="1:22">
      <c r="A41" s="2">
        <v>38</v>
      </c>
      <c r="B41" s="17" t="str">
        <f>[1]Grp_5!A39</f>
        <v>2719B</v>
      </c>
      <c r="C41" s="30" t="str">
        <f>[1]Grp_5!B39</f>
        <v>T.A.R.D.I.S.</v>
      </c>
      <c r="D41" s="18" t="str">
        <f>[1]Grp_5!C39</f>
        <v>Triton Central High School</v>
      </c>
      <c r="E41" s="31" t="str">
        <f>[1]Grp_5!D39</f>
        <v>Fairland, Indiana, United States</v>
      </c>
      <c r="F41" s="34">
        <f>[1]Grp_5!E39</f>
        <v>289</v>
      </c>
      <c r="G41" s="19">
        <f>[1]Grp_5!F39</f>
        <v>310</v>
      </c>
      <c r="H41" s="37">
        <f>[1]Grp_5!G39</f>
        <v>114.21</v>
      </c>
      <c r="I41" s="38">
        <f>[1]Grp_5!H39</f>
        <v>84.832400000000007</v>
      </c>
      <c r="J41" s="20">
        <f>[1]Grp_5!I39</f>
        <v>62.251600000000003</v>
      </c>
      <c r="K41" s="20">
        <f>[1]Grp_5!J39</f>
        <v>114.21</v>
      </c>
      <c r="L41" s="20">
        <f>[1]Grp_5!K39</f>
        <v>42.592599999999997</v>
      </c>
      <c r="M41" s="20">
        <f>[1]Grp_5!L39</f>
        <v>3.79731</v>
      </c>
      <c r="N41" s="20">
        <f>[1]Grp_5!M39</f>
        <v>19.578399999999998</v>
      </c>
      <c r="O41" s="20">
        <f>[1]Grp_5!N39</f>
        <v>25.552</v>
      </c>
      <c r="P41" s="20">
        <f>[1]Grp_5!O39</f>
        <v>15.0596</v>
      </c>
      <c r="Q41" s="20">
        <f>[1]Grp_5!P39</f>
        <v>0</v>
      </c>
      <c r="R41" s="20">
        <f>[1]Grp_5!Q39</f>
        <v>0</v>
      </c>
      <c r="S41" s="21">
        <f>[1]Grp_5!R39</f>
        <v>0</v>
      </c>
      <c r="T41" s="9"/>
      <c r="U41" s="9"/>
      <c r="V41" s="10"/>
    </row>
    <row r="42" spans="1:22">
      <c r="A42" s="2">
        <v>80</v>
      </c>
      <c r="B42" s="17" t="str">
        <f>[1]Grp_5!A81</f>
        <v>8000D</v>
      </c>
      <c r="C42" s="30" t="str">
        <f>[1]Grp_5!B81</f>
        <v>HRS Robohawks</v>
      </c>
      <c r="D42" s="18" t="str">
        <f>[1]Grp_5!C81</f>
        <v>Head-Royce School</v>
      </c>
      <c r="E42" s="31" t="str">
        <f>[1]Grp_5!D81</f>
        <v>Oakland, California, United States</v>
      </c>
      <c r="F42" s="34">
        <f>[1]Grp_5!E81</f>
        <v>140</v>
      </c>
      <c r="G42" s="19">
        <f>[1]Grp_5!F81</f>
        <v>140</v>
      </c>
      <c r="H42" s="37">
        <f>[1]Grp_5!G81</f>
        <v>113.867</v>
      </c>
      <c r="I42" s="38">
        <f>[1]Grp_5!H81</f>
        <v>91.684899999999999</v>
      </c>
      <c r="J42" s="20">
        <f>[1]Grp_5!I81</f>
        <v>113.867</v>
      </c>
      <c r="K42" s="20">
        <f>[1]Grp_5!J81</f>
        <v>52.571599999999997</v>
      </c>
      <c r="L42" s="20">
        <f>[1]Grp_5!K81</f>
        <v>80.444999999999993</v>
      </c>
      <c r="M42" s="20">
        <f>[1]Grp_5!L81</f>
        <v>102.31100000000001</v>
      </c>
      <c r="N42" s="20">
        <f>[1]Grp_5!M81</f>
        <v>45.436799999999998</v>
      </c>
      <c r="O42" s="20">
        <f>[1]Grp_5!N81</f>
        <v>61.555999999999997</v>
      </c>
      <c r="P42" s="20">
        <f>[1]Grp_5!O81</f>
        <v>85.3</v>
      </c>
      <c r="Q42" s="20">
        <f>[1]Grp_5!P81</f>
        <v>0</v>
      </c>
      <c r="R42" s="20">
        <f>[1]Grp_5!Q81</f>
        <v>0</v>
      </c>
      <c r="S42" s="21">
        <f>[1]Grp_5!R40</f>
        <v>0</v>
      </c>
      <c r="T42" s="9"/>
      <c r="U42" s="9"/>
      <c r="V42" s="10"/>
    </row>
    <row r="43" spans="1:22">
      <c r="A43" s="2">
        <v>28</v>
      </c>
      <c r="B43" s="17" t="str">
        <f>[1]Grp_5!A29</f>
        <v>1526B</v>
      </c>
      <c r="C43" s="30" t="str">
        <f>[1]Grp_5!B29</f>
        <v>DuPage-Kane STEM-VEX Robo</v>
      </c>
      <c r="D43" s="18" t="str">
        <f>[1]Grp_5!C29</f>
        <v>Bartlett High School</v>
      </c>
      <c r="E43" s="31" t="str">
        <f>[1]Grp_5!D29</f>
        <v>Bartlett, Illinois, United States</v>
      </c>
      <c r="F43" s="34">
        <f>[1]Grp_5!E29</f>
        <v>316</v>
      </c>
      <c r="G43" s="19">
        <f>[1]Grp_5!F29</f>
        <v>231</v>
      </c>
      <c r="H43" s="37">
        <f>[1]Grp_5!G29</f>
        <v>113.633</v>
      </c>
      <c r="I43" s="38">
        <f>[1]Grp_5!H29</f>
        <v>113.633</v>
      </c>
      <c r="J43" s="20">
        <f>[1]Grp_5!I29</f>
        <v>66.328900000000004</v>
      </c>
      <c r="K43" s="20">
        <f>[1]Grp_5!J29</f>
        <v>22.671099999999999</v>
      </c>
      <c r="L43" s="20">
        <f>[1]Grp_5!K29</f>
        <v>0</v>
      </c>
      <c r="M43" s="20">
        <f>[1]Grp_5!L29</f>
        <v>0</v>
      </c>
      <c r="N43" s="20">
        <f>[1]Grp_5!M29</f>
        <v>0</v>
      </c>
      <c r="O43" s="20">
        <f>[1]Grp_5!N29</f>
        <v>0</v>
      </c>
      <c r="P43" s="20">
        <f>[1]Grp_5!O29</f>
        <v>0</v>
      </c>
      <c r="Q43" s="20">
        <f>[1]Grp_5!P29</f>
        <v>0</v>
      </c>
      <c r="R43" s="20">
        <f>[1]Grp_5!Q29</f>
        <v>0</v>
      </c>
      <c r="S43" s="21">
        <f>[1]Grp_5!R41</f>
        <v>0</v>
      </c>
      <c r="T43" s="9"/>
      <c r="U43" s="9"/>
      <c r="V43" s="10"/>
    </row>
    <row r="44" spans="1:22">
      <c r="A44" s="2">
        <v>76</v>
      </c>
      <c r="B44" s="17" t="str">
        <f>[1]Grp_5!A77</f>
        <v>7682</v>
      </c>
      <c r="C44" s="30" t="str">
        <f>[1]Grp_5!B77</f>
        <v>Wingus &amp; Dingus</v>
      </c>
      <c r="D44" s="18" t="str">
        <f>[1]Grp_5!C77</f>
        <v>Wingus &amp; Dingus Robotics</v>
      </c>
      <c r="E44" s="31" t="str">
        <f>[1]Grp_5!D77</f>
        <v>Auckland, N/A, New Zealand</v>
      </c>
      <c r="F44" s="34">
        <f>[1]Grp_5!E77</f>
        <v>313</v>
      </c>
      <c r="G44" s="19">
        <f>[1]Grp_5!F77</f>
        <v>294</v>
      </c>
      <c r="H44" s="37">
        <f>[1]Grp_5!G77</f>
        <v>110.089</v>
      </c>
      <c r="I44" s="38">
        <f>[1]Grp_5!H77</f>
        <v>92.918599999999998</v>
      </c>
      <c r="J44" s="20">
        <f>[1]Grp_5!I77</f>
        <v>109.376</v>
      </c>
      <c r="K44" s="20">
        <f>[1]Grp_5!J77</f>
        <v>110.089</v>
      </c>
      <c r="L44" s="20">
        <f>[1]Grp_5!K77</f>
        <v>0</v>
      </c>
      <c r="M44" s="20">
        <f>[1]Grp_5!L77</f>
        <v>0</v>
      </c>
      <c r="N44" s="20">
        <f>[1]Grp_5!M77</f>
        <v>0</v>
      </c>
      <c r="O44" s="20">
        <f>[1]Grp_5!N77</f>
        <v>0</v>
      </c>
      <c r="P44" s="20">
        <f>[1]Grp_5!O77</f>
        <v>0</v>
      </c>
      <c r="Q44" s="20">
        <f>[1]Grp_5!P77</f>
        <v>0</v>
      </c>
      <c r="R44" s="20">
        <f>[1]Grp_5!Q77</f>
        <v>0</v>
      </c>
      <c r="S44" s="21">
        <f>[1]Grp_5!R42</f>
        <v>0</v>
      </c>
      <c r="T44" s="9"/>
      <c r="U44" s="9"/>
      <c r="V44" s="10"/>
    </row>
    <row r="45" spans="1:22">
      <c r="A45" s="2">
        <v>85</v>
      </c>
      <c r="B45" s="17" t="str">
        <f>[1]Grp_5!A86</f>
        <v>8659G</v>
      </c>
      <c r="C45" s="30" t="str">
        <f>[1]Grp_5!B86</f>
        <v>Binary Botz</v>
      </c>
      <c r="D45" s="18" t="str">
        <f>[1]Grp_5!C86</f>
        <v>Goose Creek High</v>
      </c>
      <c r="E45" s="31" t="str">
        <f>[1]Grp_5!D86</f>
        <v>GOOSE CREEK, South Carolina, United States</v>
      </c>
      <c r="F45" s="34">
        <f>[1]Grp_5!E86</f>
        <v>206</v>
      </c>
      <c r="G45" s="19">
        <f>[1]Grp_5!F86</f>
        <v>130</v>
      </c>
      <c r="H45" s="37">
        <f>[1]Grp_5!G86</f>
        <v>108.432</v>
      </c>
      <c r="I45" s="38">
        <f>[1]Grp_5!H86</f>
        <v>108.432</v>
      </c>
      <c r="J45" s="20">
        <f>[1]Grp_5!I86</f>
        <v>98.566999999999993</v>
      </c>
      <c r="K45" s="20">
        <f>[1]Grp_5!J86</f>
        <v>44.384500000000003</v>
      </c>
      <c r="L45" s="20">
        <f>[1]Grp_5!K86</f>
        <v>0</v>
      </c>
      <c r="M45" s="20">
        <f>[1]Grp_5!L86</f>
        <v>0</v>
      </c>
      <c r="N45" s="20">
        <f>[1]Grp_5!M86</f>
        <v>0</v>
      </c>
      <c r="O45" s="20">
        <f>[1]Grp_5!N86</f>
        <v>0</v>
      </c>
      <c r="P45" s="20">
        <f>[1]Grp_5!O86</f>
        <v>0</v>
      </c>
      <c r="Q45" s="20">
        <f>[1]Grp_5!P86</f>
        <v>0</v>
      </c>
      <c r="R45" s="20">
        <f>[1]Grp_5!Q86</f>
        <v>0</v>
      </c>
      <c r="S45" s="21">
        <f>[1]Grp_5!R43</f>
        <v>0</v>
      </c>
      <c r="T45" s="9"/>
      <c r="U45" s="9"/>
      <c r="V45" s="10"/>
    </row>
    <row r="46" spans="1:22">
      <c r="A46" s="2">
        <v>6</v>
      </c>
      <c r="B46" s="17" t="str">
        <f>[1]Grp_5!A7</f>
        <v>169E</v>
      </c>
      <c r="C46" s="30" t="str">
        <f>[1]Grp_5!B7</f>
        <v>The Cavalry</v>
      </c>
      <c r="D46" s="18" t="str">
        <f>[1]Grp_5!C7</f>
        <v>Haverford School Robotics</v>
      </c>
      <c r="E46" s="31" t="str">
        <f>[1]Grp_5!D7</f>
        <v>Haverford, Pennsylvania, United States</v>
      </c>
      <c r="F46" s="34">
        <f>[1]Grp_5!E7</f>
        <v>240</v>
      </c>
      <c r="G46" s="19">
        <f>[1]Grp_5!F7</f>
        <v>126</v>
      </c>
      <c r="H46" s="35">
        <f>[1]Grp_5!G7</f>
        <v>108.229</v>
      </c>
      <c r="I46" s="20">
        <f>[1]Grp_5!H7</f>
        <v>108.229</v>
      </c>
      <c r="J46" s="20">
        <f>[1]Grp_5!I7</f>
        <v>86.408100000000005</v>
      </c>
      <c r="K46" s="20">
        <f>[1]Grp_5!J7</f>
        <v>57.667000000000002</v>
      </c>
      <c r="L46" s="20">
        <f>[1]Grp_5!K7</f>
        <v>31.0595</v>
      </c>
      <c r="M46" s="20">
        <f>[1]Grp_5!L7</f>
        <v>-2.6130499999999999</v>
      </c>
      <c r="N46" s="20">
        <f>[1]Grp_5!M7</f>
        <v>16.224</v>
      </c>
      <c r="O46" s="20">
        <f>[1]Grp_5!N7</f>
        <v>0</v>
      </c>
      <c r="P46" s="20">
        <f>[1]Grp_5!O7</f>
        <v>0</v>
      </c>
      <c r="Q46" s="20">
        <f>[1]Grp_5!P7</f>
        <v>0</v>
      </c>
      <c r="R46" s="20">
        <f>[1]Grp_5!Q7</f>
        <v>0</v>
      </c>
      <c r="S46" s="21">
        <f>[1]Grp_5!R44</f>
        <v>0</v>
      </c>
      <c r="T46" s="9"/>
      <c r="U46" s="9"/>
      <c r="V46" s="10"/>
    </row>
    <row r="47" spans="1:22">
      <c r="A47" s="2">
        <v>4</v>
      </c>
      <c r="B47" s="17" t="str">
        <f>[1]Grp_5!A5</f>
        <v>66A</v>
      </c>
      <c r="C47" s="30" t="str">
        <f>[1]Grp_5!B5</f>
        <v>Real Steel</v>
      </c>
      <c r="D47" s="18" t="str">
        <f>[1]Grp_5!C5</f>
        <v xml:space="preserve"> Har-Ber Robotics</v>
      </c>
      <c r="E47" s="31" t="str">
        <f>[1]Grp_5!D5</f>
        <v>Springdale, Arkansas, United States</v>
      </c>
      <c r="F47" s="34">
        <f>[1]Grp_5!E5</f>
        <v>99</v>
      </c>
      <c r="G47" s="19">
        <f>[1]Grp_5!F5</f>
        <v>29</v>
      </c>
      <c r="H47" s="35">
        <f>[1]Grp_5!G5</f>
        <v>107.28</v>
      </c>
      <c r="I47" s="20">
        <f>[1]Grp_5!H5</f>
        <v>79.225300000000004</v>
      </c>
      <c r="J47" s="20">
        <f>[1]Grp_5!I5</f>
        <v>107.28</v>
      </c>
      <c r="K47" s="20">
        <f>[1]Grp_5!J5</f>
        <v>62.546100000000003</v>
      </c>
      <c r="L47" s="20">
        <f>[1]Grp_5!K5</f>
        <v>0</v>
      </c>
      <c r="M47" s="20">
        <f>[1]Grp_5!L5</f>
        <v>0</v>
      </c>
      <c r="N47" s="20">
        <f>[1]Grp_5!M5</f>
        <v>0</v>
      </c>
      <c r="O47" s="20">
        <f>[1]Grp_5!N5</f>
        <v>0</v>
      </c>
      <c r="P47" s="20">
        <f>[1]Grp_5!O5</f>
        <v>0</v>
      </c>
      <c r="Q47" s="20">
        <f>[1]Grp_5!P5</f>
        <v>0</v>
      </c>
      <c r="R47" s="20">
        <f>[1]Grp_5!Q5</f>
        <v>0</v>
      </c>
      <c r="S47" s="21">
        <f>[1]Grp_5!R45</f>
        <v>0</v>
      </c>
      <c r="T47" s="9"/>
      <c r="U47" s="9"/>
      <c r="V47" s="10"/>
    </row>
    <row r="48" spans="1:22">
      <c r="A48" s="2">
        <v>5</v>
      </c>
      <c r="B48" s="17" t="str">
        <f>[1]Grp_5!A6</f>
        <v>127A</v>
      </c>
      <c r="C48" s="30" t="str">
        <f>[1]Grp_5!B6</f>
        <v>Lemon Bots</v>
      </c>
      <c r="D48" s="18" t="str">
        <f>[1]Grp_5!C6</f>
        <v>Campo Verde High School</v>
      </c>
      <c r="E48" s="31" t="str">
        <f>[1]Grp_5!D6</f>
        <v>Gilbert, Arizona, United States</v>
      </c>
      <c r="F48" s="34">
        <f>[1]Grp_5!E6</f>
        <v>119</v>
      </c>
      <c r="G48" s="19">
        <f>[1]Grp_5!F6</f>
        <v>51</v>
      </c>
      <c r="H48" s="35">
        <f>[1]Grp_5!G6</f>
        <v>106.636</v>
      </c>
      <c r="I48" s="20">
        <f>[1]Grp_5!H6</f>
        <v>71.779300000000006</v>
      </c>
      <c r="J48" s="20">
        <f>[1]Grp_5!I6</f>
        <v>106.636</v>
      </c>
      <c r="K48" s="20">
        <f>[1]Grp_5!J6</f>
        <v>78.460300000000004</v>
      </c>
      <c r="L48" s="20">
        <f>[1]Grp_5!K6</f>
        <v>64.173299999999998</v>
      </c>
      <c r="M48" s="20">
        <f>[1]Grp_5!L6</f>
        <v>23.109500000000001</v>
      </c>
      <c r="N48" s="20">
        <f>[1]Grp_5!M6</f>
        <v>37.954099999999997</v>
      </c>
      <c r="O48" s="20">
        <f>[1]Grp_5!N6</f>
        <v>42.518300000000004</v>
      </c>
      <c r="P48" s="20">
        <f>[1]Grp_5!O6</f>
        <v>9.0685300000000009</v>
      </c>
      <c r="Q48" s="20">
        <f>[1]Grp_5!P6</f>
        <v>0</v>
      </c>
      <c r="R48" s="20">
        <f>[1]Grp_5!Q6</f>
        <v>0</v>
      </c>
      <c r="S48" s="21">
        <f>[1]Grp_5!R46</f>
        <v>0</v>
      </c>
      <c r="T48" s="9"/>
      <c r="U48" s="9"/>
      <c r="V48" s="10"/>
    </row>
    <row r="49" spans="1:22">
      <c r="A49" s="2">
        <v>69</v>
      </c>
      <c r="B49" s="17" t="str">
        <f>[1]Grp_5!A70</f>
        <v>6740A</v>
      </c>
      <c r="C49" s="30" t="str">
        <f>[1]Grp_5!B70</f>
        <v>Alvin</v>
      </c>
      <c r="D49" s="18" t="str">
        <f>[1]Grp_5!C70</f>
        <v>Team Alvin</v>
      </c>
      <c r="E49" s="31" t="str">
        <f>[1]Grp_5!D70</f>
        <v>Glen Allen, Virginia, United States</v>
      </c>
      <c r="F49" s="34">
        <f>[1]Grp_5!E70</f>
        <v>272</v>
      </c>
      <c r="G49" s="19">
        <f>[1]Grp_5!F70</f>
        <v>246</v>
      </c>
      <c r="H49" s="37">
        <f>[1]Grp_5!G70</f>
        <v>104.51600000000001</v>
      </c>
      <c r="I49" s="38">
        <f>[1]Grp_5!H70</f>
        <v>84.672499999999999</v>
      </c>
      <c r="J49" s="20">
        <f>[1]Grp_5!I70</f>
        <v>89.083299999999994</v>
      </c>
      <c r="K49" s="20">
        <f>[1]Grp_5!J70</f>
        <v>104.51600000000001</v>
      </c>
      <c r="L49" s="20">
        <f>[1]Grp_5!K70</f>
        <v>0</v>
      </c>
      <c r="M49" s="20">
        <f>[1]Grp_5!L70</f>
        <v>0</v>
      </c>
      <c r="N49" s="20">
        <f>[1]Grp_5!M70</f>
        <v>0</v>
      </c>
      <c r="O49" s="20">
        <f>[1]Grp_5!N70</f>
        <v>0</v>
      </c>
      <c r="P49" s="20">
        <f>[1]Grp_5!O70</f>
        <v>0</v>
      </c>
      <c r="Q49" s="20">
        <f>[1]Grp_5!P70</f>
        <v>0</v>
      </c>
      <c r="R49" s="20">
        <f>[1]Grp_5!Q70</f>
        <v>0</v>
      </c>
      <c r="S49" s="21">
        <f>[1]Grp_5!R47</f>
        <v>0</v>
      </c>
      <c r="T49" s="9"/>
      <c r="U49" s="9"/>
      <c r="V49" s="10"/>
    </row>
    <row r="50" spans="1:22">
      <c r="A50" s="2">
        <v>55</v>
      </c>
      <c r="B50" s="17" t="str">
        <f>[1]Grp_5!A56</f>
        <v>5194B</v>
      </c>
      <c r="C50" s="30" t="str">
        <f>[1]Grp_5!B56</f>
        <v>Volt Robotics</v>
      </c>
      <c r="D50" s="18" t="str">
        <f>[1]Grp_5!C56</f>
        <v>East Barnet School - UK</v>
      </c>
      <c r="E50" s="31" t="str">
        <f>[1]Grp_5!D56</f>
        <v>Barnet, Not Applicable or Not Listed, United Kingdom</v>
      </c>
      <c r="F50" s="34">
        <f>[1]Grp_5!E56</f>
        <v>0</v>
      </c>
      <c r="G50" s="19">
        <f>[1]Grp_5!F56</f>
        <v>127</v>
      </c>
      <c r="H50" s="37">
        <f>[1]Grp_5!G56</f>
        <v>104.315</v>
      </c>
      <c r="I50" s="38">
        <f>[1]Grp_5!H56</f>
        <v>36.2014</v>
      </c>
      <c r="J50" s="20">
        <f>[1]Grp_5!I56</f>
        <v>69.876400000000004</v>
      </c>
      <c r="K50" s="20">
        <f>[1]Grp_5!J56</f>
        <v>47.991500000000002</v>
      </c>
      <c r="L50" s="20">
        <f>[1]Grp_5!K56</f>
        <v>104.315</v>
      </c>
      <c r="M50" s="20">
        <f>[1]Grp_5!L56</f>
        <v>84.075699999999998</v>
      </c>
      <c r="N50" s="20">
        <f>[1]Grp_5!M56</f>
        <v>78.381399999999999</v>
      </c>
      <c r="O50" s="20">
        <f>[1]Grp_5!N56</f>
        <v>45.699100000000001</v>
      </c>
      <c r="P50" s="20">
        <f>[1]Grp_5!O56</f>
        <v>2.9764300000000001</v>
      </c>
      <c r="Q50" s="20">
        <f>[1]Grp_5!P56</f>
        <v>0</v>
      </c>
      <c r="R50" s="20">
        <f>[1]Grp_5!Q56</f>
        <v>0</v>
      </c>
      <c r="S50" s="21">
        <f>[1]Grp_5!R48</f>
        <v>0</v>
      </c>
      <c r="T50" s="9"/>
      <c r="U50" s="9"/>
      <c r="V50" s="10"/>
    </row>
    <row r="51" spans="1:22">
      <c r="A51" s="2">
        <v>25</v>
      </c>
      <c r="B51" s="17" t="str">
        <f>[1]Grp_5!A26</f>
        <v>1353A</v>
      </c>
      <c r="C51" s="30" t="str">
        <f>[1]Grp_5!B26</f>
        <v>Robodalers</v>
      </c>
      <c r="D51" s="18" t="str">
        <f>[1]Grp_5!C26</f>
        <v>Farmingdale High School</v>
      </c>
      <c r="E51" s="31" t="str">
        <f>[1]Grp_5!D26</f>
        <v>Farmingdale, New York, United States</v>
      </c>
      <c r="F51" s="34">
        <f>[1]Grp_5!E26</f>
        <v>243</v>
      </c>
      <c r="G51" s="19">
        <f>[1]Grp_5!F26</f>
        <v>136</v>
      </c>
      <c r="H51" s="37">
        <f>[1]Grp_5!G26</f>
        <v>103.46299999999999</v>
      </c>
      <c r="I51" s="38">
        <f>[1]Grp_5!H26</f>
        <v>103.46299999999999</v>
      </c>
      <c r="J51" s="20">
        <f>[1]Grp_5!I26</f>
        <v>80.349999999999994</v>
      </c>
      <c r="K51" s="20">
        <f>[1]Grp_5!J26</f>
        <v>91.954700000000003</v>
      </c>
      <c r="L51" s="20">
        <f>[1]Grp_5!K26</f>
        <v>83.2119</v>
      </c>
      <c r="M51" s="20">
        <f>[1]Grp_5!L26</f>
        <v>6.4713700000000003</v>
      </c>
      <c r="N51" s="20">
        <f>[1]Grp_5!M26</f>
        <v>15.527200000000001</v>
      </c>
      <c r="O51" s="20">
        <f>[1]Grp_5!N26</f>
        <v>0</v>
      </c>
      <c r="P51" s="20">
        <f>[1]Grp_5!O26</f>
        <v>0</v>
      </c>
      <c r="Q51" s="20">
        <f>[1]Grp_5!P26</f>
        <v>0</v>
      </c>
      <c r="R51" s="20">
        <f>[1]Grp_5!Q26</f>
        <v>0</v>
      </c>
      <c r="S51" s="21">
        <f>[1]Grp_5!R49</f>
        <v>0</v>
      </c>
      <c r="T51" s="9"/>
      <c r="U51" s="9"/>
      <c r="V51" s="10"/>
    </row>
    <row r="52" spans="1:22">
      <c r="A52" s="2">
        <v>29</v>
      </c>
      <c r="B52" s="17" t="str">
        <f>[1]Grp_5!A30</f>
        <v>1588</v>
      </c>
      <c r="C52" s="30" t="str">
        <f>[1]Grp_5!B30</f>
        <v>Sideways Minds</v>
      </c>
      <c r="D52" s="18" t="str">
        <f>[1]Grp_5!C30</f>
        <v>Wood River High School</v>
      </c>
      <c r="E52" s="31" t="str">
        <f>[1]Grp_5!D30</f>
        <v>Hailey, Idaho, United States</v>
      </c>
      <c r="F52" s="34">
        <f>[1]Grp_5!E30</f>
        <v>122</v>
      </c>
      <c r="G52" s="19">
        <f>[1]Grp_5!F30</f>
        <v>0</v>
      </c>
      <c r="H52" s="37">
        <f>[1]Grp_5!G30</f>
        <v>103.292</v>
      </c>
      <c r="I52" s="38">
        <f>[1]Grp_5!H30</f>
        <v>95.759799999999998</v>
      </c>
      <c r="J52" s="20">
        <f>[1]Grp_5!I30</f>
        <v>102.164</v>
      </c>
      <c r="K52" s="20">
        <f>[1]Grp_5!J30</f>
        <v>76.584999999999994</v>
      </c>
      <c r="L52" s="20">
        <f>[1]Grp_5!K30</f>
        <v>103.292</v>
      </c>
      <c r="M52" s="20">
        <f>[1]Grp_5!L30</f>
        <v>47.695599999999999</v>
      </c>
      <c r="N52" s="20">
        <f>[1]Grp_5!M30</f>
        <v>49.120399999999997</v>
      </c>
      <c r="O52" s="20">
        <f>[1]Grp_5!N30</f>
        <v>0</v>
      </c>
      <c r="P52" s="20">
        <f>[1]Grp_5!O30</f>
        <v>0</v>
      </c>
      <c r="Q52" s="20">
        <f>[1]Grp_5!P30</f>
        <v>0</v>
      </c>
      <c r="R52" s="20">
        <f>[1]Grp_5!Q30</f>
        <v>0</v>
      </c>
      <c r="S52" s="21">
        <f>[1]Grp_5!R50</f>
        <v>0</v>
      </c>
      <c r="T52" s="9"/>
      <c r="U52" s="9"/>
      <c r="V52" s="10"/>
    </row>
    <row r="53" spans="1:22">
      <c r="A53" s="2">
        <v>60</v>
      </c>
      <c r="B53" s="17" t="str">
        <f>[1]Grp_5!A61</f>
        <v>5772B</v>
      </c>
      <c r="C53" s="30" t="str">
        <f>[1]Grp_5!B61</f>
        <v>Eaglebots</v>
      </c>
      <c r="D53" s="18" t="str">
        <f>[1]Grp_5!C61</f>
        <v>The Harker School</v>
      </c>
      <c r="E53" s="31" t="str">
        <f>[1]Grp_5!D61</f>
        <v>Santa Clara, California, United States</v>
      </c>
      <c r="F53" s="34">
        <f>[1]Grp_5!E61</f>
        <v>68</v>
      </c>
      <c r="G53" s="19">
        <f>[1]Grp_5!F61</f>
        <v>311</v>
      </c>
      <c r="H53" s="37">
        <f>[1]Grp_5!G61</f>
        <v>103.187</v>
      </c>
      <c r="I53" s="38">
        <f>[1]Grp_5!H61</f>
        <v>73.071200000000005</v>
      </c>
      <c r="J53" s="20">
        <f>[1]Grp_5!I61</f>
        <v>69.942499999999995</v>
      </c>
      <c r="K53" s="20">
        <f>[1]Grp_5!J61</f>
        <v>75.437100000000001</v>
      </c>
      <c r="L53" s="20">
        <f>[1]Grp_5!K61</f>
        <v>103.187</v>
      </c>
      <c r="M53" s="20">
        <f>[1]Grp_5!L61</f>
        <v>26.689699999999998</v>
      </c>
      <c r="N53" s="20">
        <f>[1]Grp_5!M61</f>
        <v>0</v>
      </c>
      <c r="O53" s="20">
        <f>[1]Grp_5!N61</f>
        <v>0</v>
      </c>
      <c r="P53" s="20">
        <f>[1]Grp_5!O61</f>
        <v>0</v>
      </c>
      <c r="Q53" s="20">
        <f>[1]Grp_5!P61</f>
        <v>0</v>
      </c>
      <c r="R53" s="20">
        <f>[1]Grp_5!Q61</f>
        <v>0</v>
      </c>
      <c r="S53" s="21">
        <f>[1]Grp_5!R51</f>
        <v>0</v>
      </c>
      <c r="T53" s="9"/>
      <c r="U53" s="9"/>
      <c r="V53" s="10"/>
    </row>
    <row r="54" spans="1:22">
      <c r="A54" s="2">
        <v>56</v>
      </c>
      <c r="B54" s="17" t="str">
        <f>[1]Grp_5!A57</f>
        <v>5327B</v>
      </c>
      <c r="C54" s="30" t="str">
        <f>[1]Grp_5!B57</f>
        <v>Gael Force</v>
      </c>
      <c r="D54" s="18" t="str">
        <f>[1]Grp_5!C57</f>
        <v>Dublin High School</v>
      </c>
      <c r="E54" s="31" t="str">
        <f>[1]Grp_5!D57</f>
        <v>Dublin, California, United States</v>
      </c>
      <c r="F54" s="34">
        <f>[1]Grp_5!E57</f>
        <v>303</v>
      </c>
      <c r="G54" s="19">
        <f>[1]Grp_5!F57</f>
        <v>241</v>
      </c>
      <c r="H54" s="37">
        <f>[1]Grp_5!G57</f>
        <v>102.292</v>
      </c>
      <c r="I54" s="38">
        <f>[1]Grp_5!H57</f>
        <v>102.292</v>
      </c>
      <c r="J54" s="20">
        <f>[1]Grp_5!I57</f>
        <v>76.584299999999999</v>
      </c>
      <c r="K54" s="20">
        <f>[1]Grp_5!J57</f>
        <v>53.794400000000003</v>
      </c>
      <c r="L54" s="20">
        <f>[1]Grp_5!K57</f>
        <v>73.699700000000007</v>
      </c>
      <c r="M54" s="20">
        <f>[1]Grp_5!L57</f>
        <v>41.072699999999998</v>
      </c>
      <c r="N54" s="20">
        <f>[1]Grp_5!M57</f>
        <v>80.063699999999997</v>
      </c>
      <c r="O54" s="20">
        <f>[1]Grp_5!N57</f>
        <v>42.133499999999998</v>
      </c>
      <c r="P54" s="20">
        <f>[1]Grp_5!O57</f>
        <v>0</v>
      </c>
      <c r="Q54" s="20">
        <f>[1]Grp_5!P57</f>
        <v>0</v>
      </c>
      <c r="R54" s="20">
        <f>[1]Grp_5!Q57</f>
        <v>0</v>
      </c>
      <c r="S54" s="21">
        <f>[1]Grp_5!R52</f>
        <v>0</v>
      </c>
      <c r="T54" s="9"/>
      <c r="U54" s="9"/>
      <c r="V54" s="10"/>
    </row>
    <row r="55" spans="1:22">
      <c r="A55" s="2">
        <v>57</v>
      </c>
      <c r="B55" s="17" t="str">
        <f>[1]Grp_5!A58</f>
        <v>5408X</v>
      </c>
      <c r="C55" s="30" t="str">
        <f>[1]Grp_5!B58</f>
        <v>Sachse HAX</v>
      </c>
      <c r="D55" s="18" t="str">
        <f>[1]Grp_5!C58</f>
        <v>Sachse High School</v>
      </c>
      <c r="E55" s="31" t="str">
        <f>[1]Grp_5!D58</f>
        <v>Sachse, Texas, United States</v>
      </c>
      <c r="F55" s="34">
        <f>[1]Grp_5!E58</f>
        <v>222</v>
      </c>
      <c r="G55" s="19">
        <f>[1]Grp_5!F58</f>
        <v>263</v>
      </c>
      <c r="H55" s="37">
        <f>[1]Grp_5!G58</f>
        <v>100.703</v>
      </c>
      <c r="I55" s="38">
        <f>[1]Grp_5!H58</f>
        <v>100.703</v>
      </c>
      <c r="J55" s="20">
        <f>[1]Grp_5!I58</f>
        <v>81.694999999999993</v>
      </c>
      <c r="K55" s="20">
        <f>[1]Grp_5!J58</f>
        <v>52.994</v>
      </c>
      <c r="L55" s="20">
        <f>[1]Grp_5!K58</f>
        <v>50.581400000000002</v>
      </c>
      <c r="M55" s="20">
        <f>[1]Grp_5!L58</f>
        <v>1.74901</v>
      </c>
      <c r="N55" s="20">
        <f>[1]Grp_5!M58</f>
        <v>0</v>
      </c>
      <c r="O55" s="20">
        <f>[1]Grp_5!N58</f>
        <v>0</v>
      </c>
      <c r="P55" s="20">
        <f>[1]Grp_5!O58</f>
        <v>0</v>
      </c>
      <c r="Q55" s="20">
        <f>[1]Grp_5!P58</f>
        <v>0</v>
      </c>
      <c r="R55" s="20">
        <f>[1]Grp_5!Q58</f>
        <v>0</v>
      </c>
      <c r="S55" s="21">
        <f>[1]Grp_5!R53</f>
        <v>0</v>
      </c>
      <c r="T55" s="9"/>
      <c r="U55" s="9"/>
      <c r="V55" s="10"/>
    </row>
    <row r="56" spans="1:22">
      <c r="A56" s="2">
        <v>74</v>
      </c>
      <c r="B56" s="17" t="str">
        <f>[1]Grp_5!A75</f>
        <v>7386A</v>
      </c>
      <c r="C56" s="30" t="str">
        <f>[1]Grp_5!B75</f>
        <v>EMSch AT UESTC A</v>
      </c>
      <c r="D56" s="18" t="str">
        <f>[1]Grp_5!C75</f>
        <v>The Experimental High School Attached To UESTC</v>
      </c>
      <c r="E56" s="31" t="str">
        <f>[1]Grp_5!D75</f>
        <v>chengdu, Not Applicable or Not Listed, China</v>
      </c>
      <c r="F56" s="34">
        <f>[1]Grp_5!E75</f>
        <v>267</v>
      </c>
      <c r="G56" s="19">
        <f>[1]Grp_5!F75</f>
        <v>0</v>
      </c>
      <c r="H56" s="37">
        <f>[1]Grp_5!G75</f>
        <v>100.145</v>
      </c>
      <c r="I56" s="38">
        <f>[1]Grp_5!H75</f>
        <v>100.145</v>
      </c>
      <c r="J56" s="20">
        <f>[1]Grp_5!I75</f>
        <v>0</v>
      </c>
      <c r="K56" s="20">
        <f>[1]Grp_5!J75</f>
        <v>0</v>
      </c>
      <c r="L56" s="20">
        <f>[1]Grp_5!K75</f>
        <v>0</v>
      </c>
      <c r="M56" s="20">
        <f>[1]Grp_5!L75</f>
        <v>0</v>
      </c>
      <c r="N56" s="20">
        <f>[1]Grp_5!M75</f>
        <v>0</v>
      </c>
      <c r="O56" s="20">
        <f>[1]Grp_5!N75</f>
        <v>0</v>
      </c>
      <c r="P56" s="20">
        <f>[1]Grp_5!O75</f>
        <v>0</v>
      </c>
      <c r="Q56" s="20">
        <f>[1]Grp_5!P75</f>
        <v>0</v>
      </c>
      <c r="R56" s="20">
        <f>[1]Grp_5!Q75</f>
        <v>0</v>
      </c>
      <c r="S56" s="21">
        <f>[1]Grp_5!R54</f>
        <v>0</v>
      </c>
      <c r="T56" s="9"/>
      <c r="U56" s="9"/>
      <c r="V56" s="10"/>
    </row>
    <row r="57" spans="1:22">
      <c r="A57" s="2">
        <v>35</v>
      </c>
      <c r="B57" s="17" t="str">
        <f>[1]Grp_5!A36</f>
        <v>2382A</v>
      </c>
      <c r="C57" s="30" t="str">
        <f>[1]Grp_5!B36</f>
        <v>Redemption Robotics</v>
      </c>
      <c r="D57" s="18" t="str">
        <f>[1]Grp_5!C36</f>
        <v>Friends</v>
      </c>
      <c r="E57" s="31" t="str">
        <f>[1]Grp_5!D36</f>
        <v>Dorado, Not Applicable or Not Listed, Puerto Rico</v>
      </c>
      <c r="F57" s="34">
        <f>[1]Grp_5!E36</f>
        <v>150</v>
      </c>
      <c r="G57" s="19">
        <f>[1]Grp_5!F36</f>
        <v>121</v>
      </c>
      <c r="H57" s="37">
        <f>[1]Grp_5!G36</f>
        <v>99.6524</v>
      </c>
      <c r="I57" s="38">
        <f>[1]Grp_5!H36</f>
        <v>99.6524</v>
      </c>
      <c r="J57" s="20">
        <f>[1]Grp_5!I36</f>
        <v>77.943299999999994</v>
      </c>
      <c r="K57" s="20">
        <f>[1]Grp_5!J36</f>
        <v>43.973500000000001</v>
      </c>
      <c r="L57" s="20">
        <f>[1]Grp_5!K36</f>
        <v>0</v>
      </c>
      <c r="M57" s="20">
        <f>[1]Grp_5!L36</f>
        <v>0</v>
      </c>
      <c r="N57" s="20">
        <f>[1]Grp_5!M36</f>
        <v>0</v>
      </c>
      <c r="O57" s="20">
        <f>[1]Grp_5!N36</f>
        <v>0</v>
      </c>
      <c r="P57" s="20">
        <f>[1]Grp_5!O36</f>
        <v>0</v>
      </c>
      <c r="Q57" s="20">
        <f>[1]Grp_5!P36</f>
        <v>0</v>
      </c>
      <c r="R57" s="20">
        <f>[1]Grp_5!Q36</f>
        <v>0</v>
      </c>
      <c r="S57" s="21">
        <f>[1]Grp_5!R55</f>
        <v>0</v>
      </c>
      <c r="T57" s="9"/>
      <c r="U57" s="9"/>
      <c r="V57" s="10"/>
    </row>
    <row r="58" spans="1:22">
      <c r="A58" s="2">
        <v>86</v>
      </c>
      <c r="B58" s="17" t="str">
        <f>[1]Grp_5!A87</f>
        <v>8739A</v>
      </c>
      <c r="C58" s="30" t="str">
        <f>[1]Grp_5!B87</f>
        <v>A. Robot. lagos de Moreno</v>
      </c>
      <c r="D58" s="18" t="str">
        <f>[1]Grp_5!C87</f>
        <v>ACADEMIA DE ROBOTICA DE LAGO DE MORENO</v>
      </c>
      <c r="E58" s="31" t="str">
        <f>[1]Grp_5!D87</f>
        <v>LAGOS DE MORENO, Jalisco, Mexico</v>
      </c>
      <c r="F58" s="34">
        <f>[1]Grp_5!E87</f>
        <v>0</v>
      </c>
      <c r="G58" s="19">
        <f>[1]Grp_5!F87</f>
        <v>0</v>
      </c>
      <c r="H58" s="37">
        <f>[1]Grp_5!G87</f>
        <v>99.167299999999997</v>
      </c>
      <c r="I58" s="38">
        <f>[1]Grp_5!H87</f>
        <v>87.85</v>
      </c>
      <c r="J58" s="20">
        <f>[1]Grp_5!I87</f>
        <v>95.264899999999997</v>
      </c>
      <c r="K58" s="20">
        <f>[1]Grp_5!J87</f>
        <v>97.072500000000005</v>
      </c>
      <c r="L58" s="20">
        <f>[1]Grp_5!K87</f>
        <v>99.167299999999997</v>
      </c>
      <c r="M58" s="20">
        <f>[1]Grp_5!L87</f>
        <v>63.256700000000002</v>
      </c>
      <c r="N58" s="20">
        <f>[1]Grp_5!M87</f>
        <v>15.509</v>
      </c>
      <c r="O58" s="20">
        <f>[1]Grp_5!N87</f>
        <v>68.3292</v>
      </c>
      <c r="P58" s="20">
        <f>[1]Grp_5!O87</f>
        <v>0</v>
      </c>
      <c r="Q58" s="20">
        <f>[1]Grp_5!P87</f>
        <v>0</v>
      </c>
      <c r="R58" s="20">
        <f>[1]Grp_5!Q87</f>
        <v>0</v>
      </c>
      <c r="S58" s="21">
        <f>[1]Grp_5!R56</f>
        <v>0</v>
      </c>
      <c r="T58" s="9"/>
      <c r="U58" s="9"/>
      <c r="V58" s="10"/>
    </row>
    <row r="59" spans="1:22">
      <c r="A59" s="2">
        <v>58</v>
      </c>
      <c r="B59" s="17" t="str">
        <f>[1]Grp_5!A59</f>
        <v>5482B</v>
      </c>
      <c r="C59" s="30" t="str">
        <f>[1]Grp_5!B59</f>
        <v>CECyTEH Huejutla 2</v>
      </c>
      <c r="D59" s="18" t="str">
        <f>[1]Grp_5!C59</f>
        <v>CECyTEH Plantel Huejutla</v>
      </c>
      <c r="E59" s="31" t="str">
        <f>[1]Grp_5!D59</f>
        <v>Huejutla de Reyes, Hgo., Hidalgo, Mexico</v>
      </c>
      <c r="F59" s="34">
        <f>[1]Grp_5!E59</f>
        <v>0</v>
      </c>
      <c r="G59" s="19">
        <f>[1]Grp_5!F59</f>
        <v>0</v>
      </c>
      <c r="H59" s="37">
        <f>[1]Grp_5!G59</f>
        <v>98.714200000000005</v>
      </c>
      <c r="I59" s="38">
        <f>[1]Grp_5!H59</f>
        <v>98.714200000000005</v>
      </c>
      <c r="J59" s="20">
        <f>[1]Grp_5!I59</f>
        <v>22.026499999999999</v>
      </c>
      <c r="K59" s="20">
        <f>[1]Grp_5!J59</f>
        <v>18.474599999999999</v>
      </c>
      <c r="L59" s="20">
        <f>[1]Grp_5!K59</f>
        <v>0</v>
      </c>
      <c r="M59" s="20">
        <f>[1]Grp_5!L59</f>
        <v>0</v>
      </c>
      <c r="N59" s="20">
        <f>[1]Grp_5!M59</f>
        <v>0</v>
      </c>
      <c r="O59" s="20">
        <f>[1]Grp_5!N59</f>
        <v>0</v>
      </c>
      <c r="P59" s="20">
        <f>[1]Grp_5!O59</f>
        <v>0</v>
      </c>
      <c r="Q59" s="20">
        <f>[1]Grp_5!P59</f>
        <v>0</v>
      </c>
      <c r="R59" s="20">
        <f>[1]Grp_5!Q59</f>
        <v>0</v>
      </c>
      <c r="S59" s="21">
        <f>[1]Grp_5!R57</f>
        <v>0</v>
      </c>
      <c r="T59" s="9"/>
      <c r="U59" s="9"/>
      <c r="V59" s="10"/>
    </row>
    <row r="60" spans="1:22">
      <c r="A60" s="2">
        <v>15</v>
      </c>
      <c r="B60" s="17" t="str">
        <f>[1]Grp_5!A16</f>
        <v>628A</v>
      </c>
      <c r="C60" s="30" t="str">
        <f>[1]Grp_5!B16</f>
        <v>Monroe Engineering</v>
      </c>
      <c r="D60" s="18" t="str">
        <f>[1]Grp_5!C16</f>
        <v>James Monroe High School //////////////// Engineering and Design</v>
      </c>
      <c r="E60" s="31" t="str">
        <f>[1]Grp_5!D16</f>
        <v>North Hills, California, United States</v>
      </c>
      <c r="F60" s="34">
        <f>[1]Grp_5!E16</f>
        <v>147</v>
      </c>
      <c r="G60" s="19">
        <f>[1]Grp_5!F16</f>
        <v>147</v>
      </c>
      <c r="H60" s="37">
        <f>[1]Grp_5!G16</f>
        <v>97.646900000000002</v>
      </c>
      <c r="I60" s="38">
        <f>[1]Grp_5!H16</f>
        <v>97.646900000000002</v>
      </c>
      <c r="J60" s="20">
        <f>[1]Grp_5!I16</f>
        <v>19.026199999999999</v>
      </c>
      <c r="K60" s="20">
        <f>[1]Grp_5!J16</f>
        <v>48.345100000000002</v>
      </c>
      <c r="L60" s="20">
        <f>[1]Grp_5!K16</f>
        <v>0</v>
      </c>
      <c r="M60" s="20">
        <f>[1]Grp_5!L16</f>
        <v>0</v>
      </c>
      <c r="N60" s="20">
        <f>[1]Grp_5!M16</f>
        <v>0</v>
      </c>
      <c r="O60" s="20">
        <f>[1]Grp_5!N16</f>
        <v>0</v>
      </c>
      <c r="P60" s="20">
        <f>[1]Grp_5!O16</f>
        <v>0</v>
      </c>
      <c r="Q60" s="20">
        <f>[1]Grp_5!P16</f>
        <v>0</v>
      </c>
      <c r="R60" s="20">
        <f>[1]Grp_5!Q16</f>
        <v>0</v>
      </c>
      <c r="S60" s="21">
        <f>[1]Grp_5!R58</f>
        <v>0</v>
      </c>
      <c r="T60" s="9"/>
      <c r="U60" s="9"/>
      <c r="V60" s="10"/>
    </row>
    <row r="61" spans="1:22">
      <c r="A61" s="2">
        <v>51</v>
      </c>
      <c r="B61" s="17" t="str">
        <f>[1]Grp_5!A52</f>
        <v>4805X</v>
      </c>
      <c r="C61" s="30" t="str">
        <f>[1]Grp_5!B52</f>
        <v>A3RC</v>
      </c>
      <c r="D61" s="18" t="str">
        <f>[1]Grp_5!C52</f>
        <v>Marion Harding High School</v>
      </c>
      <c r="E61" s="31" t="str">
        <f>[1]Grp_5!D52</f>
        <v>Marion, Ohio, United States</v>
      </c>
      <c r="F61" s="34">
        <f>[1]Grp_5!E52</f>
        <v>50</v>
      </c>
      <c r="G61" s="19">
        <f>[1]Grp_5!F52</f>
        <v>156</v>
      </c>
      <c r="H61" s="37">
        <f>[1]Grp_5!G52</f>
        <v>95.649799999999999</v>
      </c>
      <c r="I61" s="38">
        <f>[1]Grp_5!H52</f>
        <v>60.1434</v>
      </c>
      <c r="J61" s="20">
        <f>[1]Grp_5!I52</f>
        <v>91.475700000000003</v>
      </c>
      <c r="K61" s="20">
        <f>[1]Grp_5!J52</f>
        <v>76.920199999999994</v>
      </c>
      <c r="L61" s="20">
        <f>[1]Grp_5!K52</f>
        <v>88.535899999999998</v>
      </c>
      <c r="M61" s="20">
        <f>[1]Grp_5!L52</f>
        <v>0</v>
      </c>
      <c r="N61" s="20">
        <f>[1]Grp_5!M52</f>
        <v>95.649799999999999</v>
      </c>
      <c r="O61" s="20">
        <f>[1]Grp_5!N52</f>
        <v>92.502700000000004</v>
      </c>
      <c r="P61" s="20">
        <f>[1]Grp_5!O52</f>
        <v>80.721599999999995</v>
      </c>
      <c r="Q61" s="20">
        <f>[1]Grp_5!P52</f>
        <v>70.895200000000003</v>
      </c>
      <c r="R61" s="20">
        <f>[1]Grp_5!Q52</f>
        <v>0</v>
      </c>
      <c r="S61" s="21">
        <f>[1]Grp_5!R59</f>
        <v>0</v>
      </c>
      <c r="T61" s="9"/>
      <c r="U61" s="9"/>
      <c r="V61" s="10"/>
    </row>
    <row r="62" spans="1:22">
      <c r="A62" s="2">
        <v>63</v>
      </c>
      <c r="B62" s="17" t="str">
        <f>[1]Grp_5!A64</f>
        <v>6008Z</v>
      </c>
      <c r="C62" s="30" t="str">
        <f>[1]Grp_5!B64</f>
        <v>The Blind Squirrels</v>
      </c>
      <c r="D62" s="18" t="str">
        <f>[1]Grp_5!C64</f>
        <v>North Union High School</v>
      </c>
      <c r="E62" s="31" t="str">
        <f>[1]Grp_5!D64</f>
        <v>Richwood, Ohio, United States</v>
      </c>
      <c r="F62" s="34">
        <f>[1]Grp_5!E64</f>
        <v>148</v>
      </c>
      <c r="G62" s="19">
        <f>[1]Grp_5!F64</f>
        <v>131</v>
      </c>
      <c r="H62" s="37">
        <f>[1]Grp_5!G64</f>
        <v>94.8429</v>
      </c>
      <c r="I62" s="38">
        <f>[1]Grp_5!H64</f>
        <v>76.9953</v>
      </c>
      <c r="J62" s="20">
        <f>[1]Grp_5!I64</f>
        <v>53.464199999999998</v>
      </c>
      <c r="K62" s="20">
        <f>[1]Grp_5!J64</f>
        <v>63.664900000000003</v>
      </c>
      <c r="L62" s="20">
        <f>[1]Grp_5!K64</f>
        <v>59.2898</v>
      </c>
      <c r="M62" s="20">
        <f>[1]Grp_5!L64</f>
        <v>32.318399999999997</v>
      </c>
      <c r="N62" s="20">
        <f>[1]Grp_5!M64</f>
        <v>94.8429</v>
      </c>
      <c r="O62" s="20">
        <f>[1]Grp_5!N64</f>
        <v>56.127000000000002</v>
      </c>
      <c r="P62" s="20">
        <f>[1]Grp_5!O64</f>
        <v>0</v>
      </c>
      <c r="Q62" s="20">
        <f>[1]Grp_5!P64</f>
        <v>31.688199999999998</v>
      </c>
      <c r="R62" s="20">
        <f>[1]Grp_5!Q64</f>
        <v>12.5595</v>
      </c>
      <c r="S62" s="21">
        <f>[1]Grp_5!R60</f>
        <v>0</v>
      </c>
      <c r="T62" s="9"/>
      <c r="U62" s="9"/>
      <c r="V62" s="10"/>
    </row>
    <row r="63" spans="1:22">
      <c r="A63" s="2">
        <v>98</v>
      </c>
      <c r="B63" s="17" t="str">
        <f>[1]Grp_5!A99</f>
        <v>99153K</v>
      </c>
      <c r="C63" s="30" t="str">
        <f>[1]Grp_5!B99</f>
        <v>CECYT No. 6 Chihuahua</v>
      </c>
      <c r="D63" s="18" t="str">
        <f>[1]Grp_5!C99</f>
        <v>COLEG. DE EST. CIENT. Y TECNOLOG DE CHIHUAHUA</v>
      </c>
      <c r="E63" s="31" t="str">
        <f>[1]Grp_5!D99</f>
        <v>CHIHUAHUA, Chihuahua, Mexico</v>
      </c>
      <c r="F63" s="34">
        <f>[1]Grp_5!E99</f>
        <v>111</v>
      </c>
      <c r="G63" s="19">
        <f>[1]Grp_5!F99</f>
        <v>5</v>
      </c>
      <c r="H63" s="37">
        <f>[1]Grp_5!G99</f>
        <v>92.955200000000005</v>
      </c>
      <c r="I63" s="38">
        <f>[1]Grp_5!H99</f>
        <v>77.945499999999996</v>
      </c>
      <c r="J63" s="20">
        <f>[1]Grp_5!I99</f>
        <v>92.955200000000005</v>
      </c>
      <c r="K63" s="20">
        <f>[1]Grp_5!J99</f>
        <v>70.780299999999997</v>
      </c>
      <c r="L63" s="20">
        <f>[1]Grp_5!K99</f>
        <v>0</v>
      </c>
      <c r="M63" s="20">
        <f>[1]Grp_5!L99</f>
        <v>0</v>
      </c>
      <c r="N63" s="20">
        <f>[1]Grp_5!M99</f>
        <v>0</v>
      </c>
      <c r="O63" s="20">
        <f>[1]Grp_5!N99</f>
        <v>0</v>
      </c>
      <c r="P63" s="20">
        <f>[1]Grp_5!O99</f>
        <v>0</v>
      </c>
      <c r="Q63" s="20">
        <f>[1]Grp_5!P99</f>
        <v>0</v>
      </c>
      <c r="R63" s="20">
        <f>[1]Grp_5!Q99</f>
        <v>0</v>
      </c>
      <c r="S63" s="21">
        <f>[1]Grp_5!R61</f>
        <v>0</v>
      </c>
      <c r="T63" s="9"/>
      <c r="U63" s="9"/>
      <c r="V63" s="10"/>
    </row>
    <row r="64" spans="1:22">
      <c r="A64" s="2">
        <v>62</v>
      </c>
      <c r="B64" s="17" t="str">
        <f>[1]Grp_5!A63</f>
        <v>5839B</v>
      </c>
      <c r="C64" s="30" t="str">
        <f>[1]Grp_5!B63</f>
        <v>Tech 2</v>
      </c>
      <c r="D64" s="18" t="str">
        <f>[1]Grp_5!C63</f>
        <v>Eastern Technical High School</v>
      </c>
      <c r="E64" s="31" t="str">
        <f>[1]Grp_5!D63</f>
        <v>Baltimore, Maryland, United States</v>
      </c>
      <c r="F64" s="34">
        <f>[1]Grp_5!E63</f>
        <v>320</v>
      </c>
      <c r="G64" s="19">
        <f>[1]Grp_5!F63</f>
        <v>151</v>
      </c>
      <c r="H64" s="37">
        <f>[1]Grp_5!G63</f>
        <v>87.242400000000004</v>
      </c>
      <c r="I64" s="38">
        <f>[1]Grp_5!H63</f>
        <v>87.242400000000004</v>
      </c>
      <c r="J64" s="20">
        <f>[1]Grp_5!I63</f>
        <v>81.780900000000003</v>
      </c>
      <c r="K64" s="20">
        <f>[1]Grp_5!J63</f>
        <v>63.026499999999999</v>
      </c>
      <c r="L64" s="20">
        <f>[1]Grp_5!K63</f>
        <v>78.753500000000003</v>
      </c>
      <c r="M64" s="20">
        <f>[1]Grp_5!L63</f>
        <v>52.0122</v>
      </c>
      <c r="N64" s="20">
        <f>[1]Grp_5!M63</f>
        <v>64.7333</v>
      </c>
      <c r="O64" s="20">
        <f>[1]Grp_5!N63</f>
        <v>80.849800000000002</v>
      </c>
      <c r="P64" s="20">
        <f>[1]Grp_5!O63</f>
        <v>60.362900000000003</v>
      </c>
      <c r="Q64" s="20">
        <f>[1]Grp_5!P63</f>
        <v>0</v>
      </c>
      <c r="R64" s="20">
        <f>[1]Grp_5!Q63</f>
        <v>0</v>
      </c>
      <c r="S64" s="21">
        <f>[1]Grp_5!R62</f>
        <v>0</v>
      </c>
      <c r="T64" s="9"/>
      <c r="U64" s="9"/>
      <c r="V64" s="10"/>
    </row>
    <row r="65" spans="1:22">
      <c r="A65" s="2">
        <v>64</v>
      </c>
      <c r="B65" s="17" t="str">
        <f>[1]Grp_5!A65</f>
        <v>6053C</v>
      </c>
      <c r="C65" s="30" t="str">
        <f>[1]Grp_5!B65</f>
        <v>Systematic Chaos</v>
      </c>
      <c r="D65" s="18" t="str">
        <f>[1]Grp_5!C65</f>
        <v>Highgate School</v>
      </c>
      <c r="E65" s="31" t="str">
        <f>[1]Grp_5!D65</f>
        <v>London, N/A, United Kingdom</v>
      </c>
      <c r="F65" s="34">
        <f>[1]Grp_5!E65</f>
        <v>199</v>
      </c>
      <c r="G65" s="19">
        <f>[1]Grp_5!F65</f>
        <v>0</v>
      </c>
      <c r="H65" s="37">
        <f>[1]Grp_5!G65</f>
        <v>86.161199999999994</v>
      </c>
      <c r="I65" s="38">
        <f>[1]Grp_5!H65</f>
        <v>20.985399999999998</v>
      </c>
      <c r="J65" s="20">
        <f>[1]Grp_5!I65</f>
        <v>29.690100000000001</v>
      </c>
      <c r="K65" s="20">
        <f>[1]Grp_5!J65</f>
        <v>86.161199999999994</v>
      </c>
      <c r="L65" s="20">
        <f>[1]Grp_5!K65</f>
        <v>12.873699999999999</v>
      </c>
      <c r="M65" s="20">
        <f>[1]Grp_5!L65</f>
        <v>49.776000000000003</v>
      </c>
      <c r="N65" s="20">
        <f>[1]Grp_5!M65</f>
        <v>44.407299999999999</v>
      </c>
      <c r="O65" s="20">
        <f>[1]Grp_5!N65</f>
        <v>54.924399999999999</v>
      </c>
      <c r="P65" s="20">
        <f>[1]Grp_5!O65</f>
        <v>25.079799999999999</v>
      </c>
      <c r="Q65" s="20">
        <f>[1]Grp_5!P65</f>
        <v>0</v>
      </c>
      <c r="R65" s="20">
        <f>[1]Grp_5!Q65</f>
        <v>0</v>
      </c>
      <c r="S65" s="21">
        <f>[1]Grp_5!R63</f>
        <v>0</v>
      </c>
      <c r="T65" s="9"/>
      <c r="U65" s="9"/>
      <c r="V65" s="10"/>
    </row>
    <row r="66" spans="1:22">
      <c r="A66" s="2">
        <v>96</v>
      </c>
      <c r="B66" s="17" t="str">
        <f>[1]Grp_5!A97</f>
        <v>9964S</v>
      </c>
      <c r="C66" s="30" t="str">
        <f>[1]Grp_5!B97</f>
        <v>Bender</v>
      </c>
      <c r="D66" s="18" t="str">
        <f>[1]Grp_5!C97</f>
        <v>Stone Bridge High School</v>
      </c>
      <c r="E66" s="31" t="str">
        <f>[1]Grp_5!D97</f>
        <v>Ashburn, Virginia, United States</v>
      </c>
      <c r="F66" s="34">
        <f>[1]Grp_5!E97</f>
        <v>133</v>
      </c>
      <c r="G66" s="19">
        <f>[1]Grp_5!F97</f>
        <v>107</v>
      </c>
      <c r="H66" s="37">
        <f>[1]Grp_5!G97</f>
        <v>86.028599999999997</v>
      </c>
      <c r="I66" s="38">
        <f>[1]Grp_5!H97</f>
        <v>86.028599999999997</v>
      </c>
      <c r="J66" s="20">
        <f>[1]Grp_5!I97</f>
        <v>34.927</v>
      </c>
      <c r="K66" s="20">
        <f>[1]Grp_5!J97</f>
        <v>14.9811</v>
      </c>
      <c r="L66" s="20">
        <f>[1]Grp_5!K97</f>
        <v>0</v>
      </c>
      <c r="M66" s="20">
        <f>[1]Grp_5!L97</f>
        <v>0</v>
      </c>
      <c r="N66" s="20">
        <f>[1]Grp_5!M97</f>
        <v>0</v>
      </c>
      <c r="O66" s="20">
        <f>[1]Grp_5!N97</f>
        <v>0</v>
      </c>
      <c r="P66" s="20">
        <f>[1]Grp_5!O97</f>
        <v>0</v>
      </c>
      <c r="Q66" s="20">
        <f>[1]Grp_5!P97</f>
        <v>0</v>
      </c>
      <c r="R66" s="20">
        <f>[1]Grp_5!Q97</f>
        <v>0</v>
      </c>
      <c r="S66" s="21">
        <f>[1]Grp_5!R64</f>
        <v>17.246700000000001</v>
      </c>
      <c r="T66" s="9"/>
      <c r="U66" s="9"/>
      <c r="V66" s="10"/>
    </row>
    <row r="67" spans="1:22">
      <c r="A67" s="2">
        <v>92</v>
      </c>
      <c r="B67" s="17" t="str">
        <f>[1]Grp_5!A93</f>
        <v>9421</v>
      </c>
      <c r="C67" s="30" t="str">
        <f>[1]Grp_5!B93</f>
        <v>Triple Threat</v>
      </c>
      <c r="D67" s="18" t="str">
        <f>[1]Grp_5!C93</f>
        <v>Framingham High School</v>
      </c>
      <c r="E67" s="31" t="str">
        <f>[1]Grp_5!D93</f>
        <v>Framingham, Massachusetts, United States</v>
      </c>
      <c r="F67" s="34">
        <f>[1]Grp_5!E93</f>
        <v>225</v>
      </c>
      <c r="G67" s="19">
        <f>[1]Grp_5!F93</f>
        <v>147</v>
      </c>
      <c r="H67" s="37">
        <f>[1]Grp_5!G93</f>
        <v>85.816699999999997</v>
      </c>
      <c r="I67" s="38">
        <f>[1]Grp_5!H93</f>
        <v>85.816699999999997</v>
      </c>
      <c r="J67" s="20">
        <f>[1]Grp_5!I93</f>
        <v>73.719099999999997</v>
      </c>
      <c r="K67" s="20">
        <f>[1]Grp_5!J93</f>
        <v>72.901799999999994</v>
      </c>
      <c r="L67" s="20">
        <f>[1]Grp_5!K93</f>
        <v>45.982199999999999</v>
      </c>
      <c r="M67" s="20">
        <f>[1]Grp_5!L93</f>
        <v>35.690600000000003</v>
      </c>
      <c r="N67" s="20">
        <f>[1]Grp_5!M93</f>
        <v>45.247</v>
      </c>
      <c r="O67" s="20">
        <f>[1]Grp_5!N93</f>
        <v>0</v>
      </c>
      <c r="P67" s="20">
        <f>[1]Grp_5!O93</f>
        <v>0</v>
      </c>
      <c r="Q67" s="20">
        <f>[1]Grp_5!P93</f>
        <v>0</v>
      </c>
      <c r="R67" s="20">
        <f>[1]Grp_5!Q93</f>
        <v>0</v>
      </c>
      <c r="S67" s="21">
        <f>[1]Grp_5!R65</f>
        <v>0</v>
      </c>
      <c r="T67" s="9"/>
      <c r="U67" s="9"/>
      <c r="V67" s="10"/>
    </row>
    <row r="68" spans="1:22">
      <c r="A68" s="2">
        <v>31</v>
      </c>
      <c r="B68" s="17" t="str">
        <f>[1]Grp_5!A32</f>
        <v>1925E</v>
      </c>
      <c r="C68" s="30" t="str">
        <f>[1]Grp_5!B32</f>
        <v>COBACH</v>
      </c>
      <c r="D68" s="18" t="str">
        <f>[1]Grp_5!C32</f>
        <v>COBACH CHIHUAHUA</v>
      </c>
      <c r="E68" s="31" t="str">
        <f>[1]Grp_5!D32</f>
        <v>chihuahua, Chihuahua, Mexico</v>
      </c>
      <c r="F68" s="34">
        <f>[1]Grp_5!E32</f>
        <v>0</v>
      </c>
      <c r="G68" s="19">
        <f>[1]Grp_5!F32</f>
        <v>0</v>
      </c>
      <c r="H68" s="37">
        <f>[1]Grp_5!G32</f>
        <v>84.709100000000007</v>
      </c>
      <c r="I68" s="38">
        <f>[1]Grp_5!H32</f>
        <v>84.709100000000007</v>
      </c>
      <c r="J68" s="20">
        <f>[1]Grp_5!I32</f>
        <v>78.248900000000006</v>
      </c>
      <c r="K68" s="20">
        <f>[1]Grp_5!J32</f>
        <v>0</v>
      </c>
      <c r="L68" s="20">
        <f>[1]Grp_5!K32</f>
        <v>0</v>
      </c>
      <c r="M68" s="20">
        <f>[1]Grp_5!L32</f>
        <v>0</v>
      </c>
      <c r="N68" s="20">
        <f>[1]Grp_5!M32</f>
        <v>0</v>
      </c>
      <c r="O68" s="20">
        <f>[1]Grp_5!N32</f>
        <v>0</v>
      </c>
      <c r="P68" s="20">
        <f>[1]Grp_5!O32</f>
        <v>0</v>
      </c>
      <c r="Q68" s="20">
        <f>[1]Grp_5!P32</f>
        <v>0</v>
      </c>
      <c r="R68" s="20">
        <f>[1]Grp_5!Q32</f>
        <v>0</v>
      </c>
      <c r="S68" s="21">
        <f>[1]Grp_5!R66</f>
        <v>0</v>
      </c>
      <c r="T68" s="9"/>
      <c r="U68" s="9"/>
      <c r="V68" s="10"/>
    </row>
    <row r="69" spans="1:22">
      <c r="A69" s="2">
        <v>65</v>
      </c>
      <c r="B69" s="17" t="str">
        <f>[1]Grp_5!A66</f>
        <v>6135D</v>
      </c>
      <c r="C69" s="30" t="str">
        <f>[1]Grp_5!B66</f>
        <v>CHHS Bruins D</v>
      </c>
      <c r="D69" s="18" t="str">
        <f>[1]Grp_5!C66</f>
        <v>Central Hardin High School PLTW</v>
      </c>
      <c r="E69" s="31" t="str">
        <f>[1]Grp_5!D66</f>
        <v>Cecilia, Kentucky, United States</v>
      </c>
      <c r="F69" s="34">
        <f>[1]Grp_5!E66</f>
        <v>127</v>
      </c>
      <c r="G69" s="19">
        <f>[1]Grp_5!F66</f>
        <v>78</v>
      </c>
      <c r="H69" s="37">
        <f>[1]Grp_5!G66</f>
        <v>81.403899999999993</v>
      </c>
      <c r="I69" s="38">
        <f>[1]Grp_5!H66</f>
        <v>60.366300000000003</v>
      </c>
      <c r="J69" s="20">
        <f>[1]Grp_5!I66</f>
        <v>63.011299999999999</v>
      </c>
      <c r="K69" s="20">
        <f>[1]Grp_5!J66</f>
        <v>32.430599999999998</v>
      </c>
      <c r="L69" s="20">
        <f>[1]Grp_5!K66</f>
        <v>40.133800000000001</v>
      </c>
      <c r="M69" s="20">
        <f>[1]Grp_5!L66</f>
        <v>44.636800000000001</v>
      </c>
      <c r="N69" s="20">
        <f>[1]Grp_5!M66</f>
        <v>80.373699999999999</v>
      </c>
      <c r="O69" s="20">
        <f>[1]Grp_5!N66</f>
        <v>81.403899999999993</v>
      </c>
      <c r="P69" s="20">
        <f>[1]Grp_5!O66</f>
        <v>0</v>
      </c>
      <c r="Q69" s="20">
        <f>[1]Grp_5!P66</f>
        <v>0</v>
      </c>
      <c r="R69" s="20">
        <f>[1]Grp_5!Q66</f>
        <v>0</v>
      </c>
      <c r="S69" s="21">
        <f>[1]Grp_5!R67</f>
        <v>0</v>
      </c>
      <c r="T69" s="9"/>
      <c r="U69" s="9"/>
      <c r="V69" s="10"/>
    </row>
    <row r="70" spans="1:22">
      <c r="A70" s="2">
        <v>17</v>
      </c>
      <c r="B70" s="17" t="str">
        <f>[1]Grp_5!A18</f>
        <v>817C</v>
      </c>
      <c r="C70" s="30" t="str">
        <f>[1]Grp_5!B18</f>
        <v>Sparticles: JOHN C TEAM!!</v>
      </c>
      <c r="D70" s="18" t="str">
        <f>[1]Grp_5!C18</f>
        <v>East Longmeadow High School</v>
      </c>
      <c r="E70" s="31" t="str">
        <f>[1]Grp_5!D18</f>
        <v>East Longmeadow, Massachusetts, United States</v>
      </c>
      <c r="F70" s="34">
        <f>[1]Grp_5!E18</f>
        <v>238</v>
      </c>
      <c r="G70" s="19">
        <f>[1]Grp_5!F18</f>
        <v>180</v>
      </c>
      <c r="H70" s="37">
        <f>[1]Grp_5!G18</f>
        <v>81.350099999999998</v>
      </c>
      <c r="I70" s="38">
        <f>[1]Grp_5!H18</f>
        <v>81.350099999999998</v>
      </c>
      <c r="J70" s="20">
        <f>[1]Grp_5!I18</f>
        <v>57.065800000000003</v>
      </c>
      <c r="K70" s="20">
        <f>[1]Grp_5!J18</f>
        <v>63.778500000000001</v>
      </c>
      <c r="L70" s="20">
        <f>[1]Grp_5!K18</f>
        <v>63.881999999999998</v>
      </c>
      <c r="M70" s="20">
        <f>[1]Grp_5!L18</f>
        <v>0</v>
      </c>
      <c r="N70" s="20">
        <f>[1]Grp_5!M18</f>
        <v>0</v>
      </c>
      <c r="O70" s="20">
        <f>[1]Grp_5!N18</f>
        <v>0</v>
      </c>
      <c r="P70" s="20">
        <f>[1]Grp_5!O18</f>
        <v>0</v>
      </c>
      <c r="Q70" s="20">
        <f>[1]Grp_5!P18</f>
        <v>0</v>
      </c>
      <c r="R70" s="20">
        <f>[1]Grp_5!Q18</f>
        <v>0</v>
      </c>
      <c r="S70" s="21">
        <f>[1]Grp_5!R68</f>
        <v>0</v>
      </c>
      <c r="T70" s="9"/>
      <c r="U70" s="9"/>
      <c r="V70" s="10"/>
    </row>
    <row r="71" spans="1:22">
      <c r="A71" s="2">
        <v>78</v>
      </c>
      <c r="B71" s="17" t="str">
        <f>[1]Grp_5!A79</f>
        <v>7870B</v>
      </c>
      <c r="C71" s="30" t="str">
        <f>[1]Grp_5!B79</f>
        <v>Rockn' Robots</v>
      </c>
      <c r="D71" s="18" t="str">
        <f>[1]Grp_5!C79</f>
        <v>Coronado High School</v>
      </c>
      <c r="E71" s="31" t="str">
        <f>[1]Grp_5!D79</f>
        <v>Henderson, Nevada, United States</v>
      </c>
      <c r="F71" s="34">
        <f>[1]Grp_5!E79</f>
        <v>81</v>
      </c>
      <c r="G71" s="19">
        <f>[1]Grp_5!F79</f>
        <v>0</v>
      </c>
      <c r="H71" s="37">
        <f>[1]Grp_5!G79</f>
        <v>80.517499999999998</v>
      </c>
      <c r="I71" s="38">
        <f>[1]Grp_5!H79</f>
        <v>80.517499999999998</v>
      </c>
      <c r="J71" s="20">
        <f>[1]Grp_5!I79</f>
        <v>5.0417399999999999</v>
      </c>
      <c r="K71" s="20">
        <f>[1]Grp_5!J79</f>
        <v>-6.1968500000000004</v>
      </c>
      <c r="L71" s="20">
        <f>[1]Grp_5!K79</f>
        <v>0</v>
      </c>
      <c r="M71" s="20">
        <f>[1]Grp_5!L79</f>
        <v>0</v>
      </c>
      <c r="N71" s="20">
        <f>[1]Grp_5!M79</f>
        <v>0</v>
      </c>
      <c r="O71" s="20">
        <f>[1]Grp_5!N79</f>
        <v>0</v>
      </c>
      <c r="P71" s="20">
        <f>[1]Grp_5!O79</f>
        <v>0</v>
      </c>
      <c r="Q71" s="20">
        <f>[1]Grp_5!P79</f>
        <v>0</v>
      </c>
      <c r="R71" s="20">
        <f>[1]Grp_5!Q79</f>
        <v>0</v>
      </c>
      <c r="S71" s="21">
        <f>[1]Grp_5!R69</f>
        <v>0</v>
      </c>
      <c r="T71" s="9"/>
      <c r="U71" s="9"/>
      <c r="V71" s="10"/>
    </row>
    <row r="72" spans="1:22">
      <c r="A72" s="2">
        <v>30</v>
      </c>
      <c r="B72" s="17" t="str">
        <f>[1]Grp_5!A31</f>
        <v>1750</v>
      </c>
      <c r="C72" s="30" t="str">
        <f>[1]Grp_5!B31</f>
        <v>Thunderstorm Robotics</v>
      </c>
      <c r="D72" s="18" t="str">
        <f>[1]Grp_5!C31</f>
        <v>Thunderstorm Robotics</v>
      </c>
      <c r="E72" s="31" t="str">
        <f>[1]Grp_5!D31</f>
        <v>Stillwater, Oklahoma, United States</v>
      </c>
      <c r="F72" s="34">
        <f>[1]Grp_5!E31</f>
        <v>0</v>
      </c>
      <c r="G72" s="19">
        <f>[1]Grp_5!F31</f>
        <v>0</v>
      </c>
      <c r="H72" s="37">
        <f>[1]Grp_5!G31</f>
        <v>80.271000000000001</v>
      </c>
      <c r="I72" s="38">
        <f>[1]Grp_5!H31</f>
        <v>60.142200000000003</v>
      </c>
      <c r="J72" s="20">
        <f>[1]Grp_5!I31</f>
        <v>80.271000000000001</v>
      </c>
      <c r="K72" s="20">
        <f>[1]Grp_5!J31</f>
        <v>73.493399999999994</v>
      </c>
      <c r="L72" s="20">
        <f>[1]Grp_5!K31</f>
        <v>33.240299999999998</v>
      </c>
      <c r="M72" s="20">
        <f>[1]Grp_5!L31</f>
        <v>18.136399999999998</v>
      </c>
      <c r="N72" s="20">
        <f>[1]Grp_5!M31</f>
        <v>0</v>
      </c>
      <c r="O72" s="20">
        <f>[1]Grp_5!N31</f>
        <v>0</v>
      </c>
      <c r="P72" s="20">
        <f>[1]Grp_5!O31</f>
        <v>0</v>
      </c>
      <c r="Q72" s="20">
        <f>[1]Grp_5!P31</f>
        <v>0</v>
      </c>
      <c r="R72" s="20">
        <f>[1]Grp_5!Q31</f>
        <v>0</v>
      </c>
      <c r="S72" s="21">
        <f>[1]Grp_5!R70</f>
        <v>0</v>
      </c>
      <c r="T72" s="9"/>
      <c r="U72" s="9"/>
      <c r="V72" s="10"/>
    </row>
    <row r="73" spans="1:22">
      <c r="A73" s="2">
        <v>94</v>
      </c>
      <c r="B73" s="17" t="str">
        <f>[1]Grp_5!A95</f>
        <v>9708</v>
      </c>
      <c r="C73" s="30" t="str">
        <f>[1]Grp_5!B95</f>
        <v>Six Sigma Robotics</v>
      </c>
      <c r="D73" s="18" t="str">
        <f>[1]Grp_5!C95</f>
        <v>Middlesex County Academy</v>
      </c>
      <c r="E73" s="31" t="str">
        <f>[1]Grp_5!D95</f>
        <v>Edison, New Jersey, United States</v>
      </c>
      <c r="F73" s="34">
        <f>[1]Grp_5!E95</f>
        <v>125</v>
      </c>
      <c r="G73" s="19">
        <f>[1]Grp_5!F95</f>
        <v>83</v>
      </c>
      <c r="H73" s="37">
        <f>[1]Grp_5!G95</f>
        <v>79.156199999999998</v>
      </c>
      <c r="I73" s="38">
        <f>[1]Grp_5!H95</f>
        <v>79.156199999999998</v>
      </c>
      <c r="J73" s="20">
        <f>[1]Grp_5!I95</f>
        <v>60.394399999999997</v>
      </c>
      <c r="K73" s="20">
        <f>[1]Grp_5!J95</f>
        <v>52.395299999999999</v>
      </c>
      <c r="L73" s="20">
        <f>[1]Grp_5!K95</f>
        <v>55.260100000000001</v>
      </c>
      <c r="M73" s="20">
        <f>[1]Grp_5!L95</f>
        <v>16.066600000000001</v>
      </c>
      <c r="N73" s="20">
        <f>[1]Grp_5!M95</f>
        <v>0</v>
      </c>
      <c r="O73" s="20">
        <f>[1]Grp_5!N95</f>
        <v>0</v>
      </c>
      <c r="P73" s="20">
        <f>[1]Grp_5!O95</f>
        <v>0</v>
      </c>
      <c r="Q73" s="20">
        <f>[1]Grp_5!P95</f>
        <v>0</v>
      </c>
      <c r="R73" s="20">
        <f>[1]Grp_5!Q95</f>
        <v>0</v>
      </c>
      <c r="S73" s="21">
        <f>[1]Grp_5!R71</f>
        <v>0</v>
      </c>
      <c r="T73" s="9"/>
      <c r="U73" s="9"/>
      <c r="V73" s="10"/>
    </row>
    <row r="74" spans="1:22">
      <c r="A74" s="2">
        <v>49</v>
      </c>
      <c r="B74" s="17" t="str">
        <f>[1]Grp_5!A50</f>
        <v>4448A</v>
      </c>
      <c r="C74" s="30" t="str">
        <f>[1]Grp_5!B50</f>
        <v>RLF Eagles</v>
      </c>
      <c r="D74" s="18" t="str">
        <f>[1]Grp_5!C50</f>
        <v>Lafayette High School</v>
      </c>
      <c r="E74" s="31" t="str">
        <f>[1]Grp_5!D50</f>
        <v>Red Lake Falls, Minnesota, United States</v>
      </c>
      <c r="F74" s="34">
        <f>[1]Grp_5!E50</f>
        <v>101</v>
      </c>
      <c r="G74" s="19">
        <f>[1]Grp_5!F50</f>
        <v>130</v>
      </c>
      <c r="H74" s="37">
        <f>[1]Grp_5!G50</f>
        <v>78.748099999999994</v>
      </c>
      <c r="I74" s="38">
        <f>[1]Grp_5!H50</f>
        <v>78.748099999999994</v>
      </c>
      <c r="J74" s="20">
        <f>[1]Grp_5!I50</f>
        <v>47.892499999999998</v>
      </c>
      <c r="K74" s="20">
        <f>[1]Grp_5!J50</f>
        <v>23.707899999999999</v>
      </c>
      <c r="L74" s="20">
        <f>[1]Grp_5!K50</f>
        <v>0</v>
      </c>
      <c r="M74" s="20">
        <f>[1]Grp_5!L50</f>
        <v>0</v>
      </c>
      <c r="N74" s="20">
        <f>[1]Grp_5!M50</f>
        <v>0</v>
      </c>
      <c r="O74" s="20">
        <f>[1]Grp_5!N50</f>
        <v>0</v>
      </c>
      <c r="P74" s="20">
        <f>[1]Grp_5!O50</f>
        <v>0</v>
      </c>
      <c r="Q74" s="20">
        <f>[1]Grp_5!P50</f>
        <v>0</v>
      </c>
      <c r="R74" s="20">
        <f>[1]Grp_5!Q50</f>
        <v>0</v>
      </c>
      <c r="S74" s="21">
        <f>[1]Grp_5!R72</f>
        <v>0</v>
      </c>
      <c r="T74" s="9"/>
      <c r="U74" s="9"/>
      <c r="V74" s="10"/>
    </row>
    <row r="75" spans="1:22">
      <c r="A75" s="2">
        <v>42</v>
      </c>
      <c r="B75" s="17" t="str">
        <f>[1]Grp_5!A43</f>
        <v>3314E</v>
      </c>
      <c r="C75" s="30" t="str">
        <f>[1]Grp_5!B43</f>
        <v>RoboPi</v>
      </c>
      <c r="D75" s="18" t="str">
        <f>[1]Grp_5!C43</f>
        <v>PACE</v>
      </c>
      <c r="E75" s="31" t="str">
        <f>[1]Grp_5!D43</f>
        <v>Richmond Hill, Ontario, Canada</v>
      </c>
      <c r="F75" s="34">
        <f>[1]Grp_5!E43</f>
        <v>213</v>
      </c>
      <c r="G75" s="19">
        <f>[1]Grp_5!F43</f>
        <v>294</v>
      </c>
      <c r="H75" s="37">
        <f>[1]Grp_5!G43</f>
        <v>75.259200000000007</v>
      </c>
      <c r="I75" s="38">
        <f>[1]Grp_5!H43</f>
        <v>69.329599999999999</v>
      </c>
      <c r="J75" s="20">
        <f>[1]Grp_5!I43</f>
        <v>75.259200000000007</v>
      </c>
      <c r="K75" s="20">
        <f>[1]Grp_5!J43</f>
        <v>65.828800000000001</v>
      </c>
      <c r="L75" s="20">
        <f>[1]Grp_5!K43</f>
        <v>34.058</v>
      </c>
      <c r="M75" s="20">
        <f>[1]Grp_5!L43</f>
        <v>0</v>
      </c>
      <c r="N75" s="20">
        <f>[1]Grp_5!M43</f>
        <v>0</v>
      </c>
      <c r="O75" s="20">
        <f>[1]Grp_5!N43</f>
        <v>0</v>
      </c>
      <c r="P75" s="20">
        <f>[1]Grp_5!O43</f>
        <v>0</v>
      </c>
      <c r="Q75" s="20">
        <f>[1]Grp_5!P43</f>
        <v>0</v>
      </c>
      <c r="R75" s="20">
        <f>[1]Grp_5!Q43</f>
        <v>0</v>
      </c>
      <c r="S75" s="21">
        <f>[1]Grp_5!R73</f>
        <v>0</v>
      </c>
      <c r="T75" s="9"/>
      <c r="U75" s="9"/>
      <c r="V75" s="10"/>
    </row>
    <row r="76" spans="1:22">
      <c r="A76" s="2">
        <v>72</v>
      </c>
      <c r="B76" s="17" t="str">
        <f>[1]Grp_5!A73</f>
        <v>7110E</v>
      </c>
      <c r="C76" s="30" t="str">
        <f>[1]Grp_5!B73</f>
        <v>Fired Up!</v>
      </c>
      <c r="D76" s="18" t="str">
        <f>[1]Grp_5!C73</f>
        <v>Carroll Senior High School</v>
      </c>
      <c r="E76" s="31" t="str">
        <f>[1]Grp_5!D73</f>
        <v>Southlake, Texas, United States</v>
      </c>
      <c r="F76" s="34">
        <f>[1]Grp_5!E73</f>
        <v>0</v>
      </c>
      <c r="G76" s="19">
        <f>[1]Grp_5!F73</f>
        <v>70</v>
      </c>
      <c r="H76" s="37">
        <f>[1]Grp_5!G73</f>
        <v>74.135099999999994</v>
      </c>
      <c r="I76" s="38">
        <f>[1]Grp_5!H73</f>
        <v>74.135099999999994</v>
      </c>
      <c r="J76" s="20">
        <f>[1]Grp_5!I73</f>
        <v>27.159800000000001</v>
      </c>
      <c r="K76" s="20">
        <f>[1]Grp_5!J73</f>
        <v>70.953299999999999</v>
      </c>
      <c r="L76" s="20">
        <f>[1]Grp_5!K73</f>
        <v>13.7067</v>
      </c>
      <c r="M76" s="20">
        <f>[1]Grp_5!L73</f>
        <v>3.4537800000000001</v>
      </c>
      <c r="N76" s="20">
        <f>[1]Grp_5!M73</f>
        <v>0</v>
      </c>
      <c r="O76" s="20">
        <f>[1]Grp_5!N73</f>
        <v>0</v>
      </c>
      <c r="P76" s="20">
        <f>[1]Grp_5!O73</f>
        <v>0</v>
      </c>
      <c r="Q76" s="20">
        <f>[1]Grp_5!P73</f>
        <v>0</v>
      </c>
      <c r="R76" s="20">
        <f>[1]Grp_5!Q73</f>
        <v>0</v>
      </c>
      <c r="S76" s="21">
        <f>[1]Grp_5!R74</f>
        <v>0</v>
      </c>
      <c r="T76" s="9"/>
      <c r="U76" s="9"/>
      <c r="V76" s="10"/>
    </row>
    <row r="77" spans="1:22">
      <c r="A77" s="2">
        <v>61</v>
      </c>
      <c r="B77" s="17" t="str">
        <f>[1]Grp_5!A62</f>
        <v>5776Y</v>
      </c>
      <c r="C77" s="30" t="str">
        <f>[1]Grp_5!B62</f>
        <v>DVHS Robotics</v>
      </c>
      <c r="D77" s="18" t="str">
        <f>[1]Grp_5!C62</f>
        <v>Dougherty Valley High School</v>
      </c>
      <c r="E77" s="31" t="str">
        <f>[1]Grp_5!D62</f>
        <v>San Ramon, California, United States</v>
      </c>
      <c r="F77" s="34">
        <f>[1]Grp_5!E62</f>
        <v>274</v>
      </c>
      <c r="G77" s="19">
        <f>[1]Grp_5!F62</f>
        <v>118</v>
      </c>
      <c r="H77" s="37">
        <f>[1]Grp_5!G62</f>
        <v>73.846000000000004</v>
      </c>
      <c r="I77" s="38">
        <f>[1]Grp_5!H62</f>
        <v>73.846000000000004</v>
      </c>
      <c r="J77" s="20">
        <f>[1]Grp_5!I62</f>
        <v>28.787299999999998</v>
      </c>
      <c r="K77" s="20">
        <f>[1]Grp_5!J62</f>
        <v>58.964799999999997</v>
      </c>
      <c r="L77" s="20">
        <f>[1]Grp_5!K62</f>
        <v>18.7075</v>
      </c>
      <c r="M77" s="20">
        <f>[1]Grp_5!L62</f>
        <v>41.877499999999998</v>
      </c>
      <c r="N77" s="20">
        <f>[1]Grp_5!M62</f>
        <v>52.064500000000002</v>
      </c>
      <c r="O77" s="20">
        <f>[1]Grp_5!N62</f>
        <v>0</v>
      </c>
      <c r="P77" s="20">
        <f>[1]Grp_5!O62</f>
        <v>0</v>
      </c>
      <c r="Q77" s="20">
        <f>[1]Grp_5!P62</f>
        <v>0</v>
      </c>
      <c r="R77" s="20">
        <f>[1]Grp_5!Q62</f>
        <v>0</v>
      </c>
      <c r="S77" s="21">
        <f>[1]Grp_5!R75</f>
        <v>0</v>
      </c>
      <c r="T77" s="9"/>
      <c r="U77" s="9"/>
      <c r="V77" s="10"/>
    </row>
    <row r="78" spans="1:22">
      <c r="A78" s="2">
        <v>9</v>
      </c>
      <c r="B78" s="17" t="str">
        <f>[1]Grp_5!A10</f>
        <v>255B</v>
      </c>
      <c r="C78" s="30" t="str">
        <f>[1]Grp_5!B10</f>
        <v>VEXtreme Team B</v>
      </c>
      <c r="D78" s="18" t="str">
        <f>[1]Grp_5!C10</f>
        <v>Norristown Area School District</v>
      </c>
      <c r="E78" s="31" t="str">
        <f>[1]Grp_5!D10</f>
        <v>Norristown, Pennsylvania, United States</v>
      </c>
      <c r="F78" s="34">
        <f>[1]Grp_5!E10</f>
        <v>81</v>
      </c>
      <c r="G78" s="19">
        <f>[1]Grp_5!F10</f>
        <v>0</v>
      </c>
      <c r="H78" s="35">
        <f>[1]Grp_5!G10</f>
        <v>72.439700000000002</v>
      </c>
      <c r="I78" s="20">
        <f>[1]Grp_5!H10</f>
        <v>45.700400000000002</v>
      </c>
      <c r="J78" s="20">
        <f>[1]Grp_5!I10</f>
        <v>72.439700000000002</v>
      </c>
      <c r="K78" s="20">
        <f>[1]Grp_5!J10</f>
        <v>5.8385699999999998</v>
      </c>
      <c r="L78" s="20">
        <f>[1]Grp_5!K10</f>
        <v>23.230499999999999</v>
      </c>
      <c r="M78" s="20">
        <f>[1]Grp_5!L10</f>
        <v>20.273900000000001</v>
      </c>
      <c r="N78" s="20">
        <f>[1]Grp_5!M10</f>
        <v>0</v>
      </c>
      <c r="O78" s="20">
        <f>[1]Grp_5!N10</f>
        <v>14.2349</v>
      </c>
      <c r="P78" s="20">
        <f>[1]Grp_5!O10</f>
        <v>0</v>
      </c>
      <c r="Q78" s="20">
        <f>[1]Grp_5!P10</f>
        <v>0</v>
      </c>
      <c r="R78" s="20">
        <f>[1]Grp_5!Q10</f>
        <v>0</v>
      </c>
      <c r="S78" s="21">
        <f>[1]Grp_5!R76</f>
        <v>0</v>
      </c>
      <c r="T78" s="9"/>
      <c r="U78" s="9"/>
      <c r="V78" s="10"/>
    </row>
    <row r="79" spans="1:22">
      <c r="A79" s="2">
        <v>12</v>
      </c>
      <c r="B79" s="17" t="str">
        <f>[1]Grp_5!A13</f>
        <v>400R</v>
      </c>
      <c r="C79" s="30" t="str">
        <f>[1]Grp_5!B13</f>
        <v>Galveston I.S.D. Robotics</v>
      </c>
      <c r="D79" s="18" t="str">
        <f>[1]Grp_5!C13</f>
        <v>Galveston I.S.D. Robotics</v>
      </c>
      <c r="E79" s="31" t="str">
        <f>[1]Grp_5!D13</f>
        <v>Galveston, Texas, United States</v>
      </c>
      <c r="F79" s="34">
        <f>[1]Grp_5!E13</f>
        <v>0</v>
      </c>
      <c r="G79" s="19">
        <f>[1]Grp_5!F13</f>
        <v>0</v>
      </c>
      <c r="H79" s="37">
        <f>[1]Grp_5!G13</f>
        <v>72.279899999999998</v>
      </c>
      <c r="I79" s="38">
        <f>[1]Grp_5!H13</f>
        <v>56.136400000000002</v>
      </c>
      <c r="J79" s="20">
        <f>[1]Grp_5!I13</f>
        <v>72.279899999999998</v>
      </c>
      <c r="K79" s="20">
        <f>[1]Grp_5!J13</f>
        <v>0</v>
      </c>
      <c r="L79" s="20">
        <f>[1]Grp_5!K13</f>
        <v>0</v>
      </c>
      <c r="M79" s="20">
        <f>[1]Grp_5!L13</f>
        <v>0</v>
      </c>
      <c r="N79" s="20">
        <f>[1]Grp_5!M13</f>
        <v>0</v>
      </c>
      <c r="O79" s="20">
        <f>[1]Grp_5!N13</f>
        <v>0</v>
      </c>
      <c r="P79" s="20">
        <f>[1]Grp_5!O13</f>
        <v>0</v>
      </c>
      <c r="Q79" s="20">
        <f>[1]Grp_5!P13</f>
        <v>0</v>
      </c>
      <c r="R79" s="20">
        <f>[1]Grp_5!Q13</f>
        <v>0</v>
      </c>
      <c r="S79" s="21">
        <f>[1]Grp_5!R77</f>
        <v>0</v>
      </c>
      <c r="T79" s="9"/>
      <c r="U79" s="9"/>
      <c r="V79" s="10"/>
    </row>
    <row r="80" spans="1:22">
      <c r="A80" s="2">
        <v>13</v>
      </c>
      <c r="B80" s="17" t="str">
        <f>[1]Grp_5!A14</f>
        <v>507B</v>
      </c>
      <c r="C80" s="30" t="str">
        <f>[1]Grp_5!B14</f>
        <v>Mustang Robotics</v>
      </c>
      <c r="D80" s="18" t="str">
        <f>[1]Grp_5!C14</f>
        <v>Otay Ranch High School</v>
      </c>
      <c r="E80" s="31" t="str">
        <f>[1]Grp_5!D14</f>
        <v>Chula Vista, California, United States</v>
      </c>
      <c r="F80" s="34">
        <f>[1]Grp_5!E14</f>
        <v>84</v>
      </c>
      <c r="G80" s="19">
        <f>[1]Grp_5!F14</f>
        <v>0</v>
      </c>
      <c r="H80" s="37">
        <f>[1]Grp_5!G14</f>
        <v>72.224299999999999</v>
      </c>
      <c r="I80" s="38">
        <f>[1]Grp_5!H14</f>
        <v>43.481699999999996</v>
      </c>
      <c r="J80" s="20">
        <f>[1]Grp_5!I14</f>
        <v>72.224299999999999</v>
      </c>
      <c r="K80" s="20">
        <f>[1]Grp_5!J14</f>
        <v>52.571800000000003</v>
      </c>
      <c r="L80" s="20">
        <f>[1]Grp_5!K14</f>
        <v>45.7898</v>
      </c>
      <c r="M80" s="20">
        <f>[1]Grp_5!L14</f>
        <v>22.748200000000001</v>
      </c>
      <c r="N80" s="20">
        <f>[1]Grp_5!M14</f>
        <v>0</v>
      </c>
      <c r="O80" s="20">
        <f>[1]Grp_5!N14</f>
        <v>0</v>
      </c>
      <c r="P80" s="20">
        <f>[1]Grp_5!O14</f>
        <v>0</v>
      </c>
      <c r="Q80" s="20">
        <f>[1]Grp_5!P14</f>
        <v>0</v>
      </c>
      <c r="R80" s="20">
        <f>[1]Grp_5!Q14</f>
        <v>0</v>
      </c>
      <c r="S80" s="21">
        <f>[1]Grp_5!R78</f>
        <v>0</v>
      </c>
      <c r="T80" s="9"/>
      <c r="U80" s="9"/>
      <c r="V80" s="10"/>
    </row>
    <row r="81" spans="1:22">
      <c r="A81" s="2">
        <v>52</v>
      </c>
      <c r="B81" s="17" t="str">
        <f>[1]Grp_5!A53</f>
        <v>4828F</v>
      </c>
      <c r="C81" s="30" t="str">
        <f>[1]Grp_5!B53</f>
        <v>BrewTech Robotics - F</v>
      </c>
      <c r="D81" s="18" t="str">
        <f>[1]Grp_5!C53</f>
        <v>Brewbaker Technology Magnet High School</v>
      </c>
      <c r="E81" s="31" t="str">
        <f>[1]Grp_5!D53</f>
        <v>Montgomery, Alabama, United States</v>
      </c>
      <c r="F81" s="34">
        <f>[1]Grp_5!E53</f>
        <v>96</v>
      </c>
      <c r="G81" s="19">
        <f>[1]Grp_5!F53</f>
        <v>83</v>
      </c>
      <c r="H81" s="37">
        <f>[1]Grp_5!G53</f>
        <v>71.496600000000001</v>
      </c>
      <c r="I81" s="38">
        <f>[1]Grp_5!H53</f>
        <v>71.496600000000001</v>
      </c>
      <c r="J81" s="20">
        <f>[1]Grp_5!I53</f>
        <v>63.491399999999999</v>
      </c>
      <c r="K81" s="20">
        <f>[1]Grp_5!J53</f>
        <v>48.560699999999997</v>
      </c>
      <c r="L81" s="20">
        <f>[1]Grp_5!K53</f>
        <v>33.567599999999999</v>
      </c>
      <c r="M81" s="20">
        <f>[1]Grp_5!L53</f>
        <v>0</v>
      </c>
      <c r="N81" s="20">
        <f>[1]Grp_5!M53</f>
        <v>0</v>
      </c>
      <c r="O81" s="20">
        <f>[1]Grp_5!N53</f>
        <v>0</v>
      </c>
      <c r="P81" s="20">
        <f>[1]Grp_5!O53</f>
        <v>0</v>
      </c>
      <c r="Q81" s="20">
        <f>[1]Grp_5!P53</f>
        <v>0</v>
      </c>
      <c r="R81" s="20">
        <f>[1]Grp_5!Q53</f>
        <v>0</v>
      </c>
      <c r="S81" s="21">
        <f>[1]Grp_5!R79</f>
        <v>0</v>
      </c>
      <c r="T81" s="9"/>
      <c r="U81" s="9"/>
      <c r="V81" s="10"/>
    </row>
    <row r="82" spans="1:22">
      <c r="A82" s="2">
        <v>48</v>
      </c>
      <c r="B82" s="17" t="str">
        <f>[1]Grp_5!A49</f>
        <v>4306A</v>
      </c>
      <c r="C82" s="30" t="str">
        <f>[1]Grp_5!B49</f>
        <v>Sheikh Abdullah 1</v>
      </c>
      <c r="D82" s="18" t="str">
        <f>[1]Grp_5!C49</f>
        <v>Sheikh Abdullah bin Isa Al Khalifa Secondary Schoo</v>
      </c>
      <c r="E82" s="31" t="str">
        <f>[1]Grp_5!D49</f>
        <v>Isa Town, Not Applicable or Not Listed, Bahrain</v>
      </c>
      <c r="F82" s="34">
        <f>[1]Grp_5!E49</f>
        <v>0</v>
      </c>
      <c r="G82" s="19">
        <f>[1]Grp_5!F49</f>
        <v>0</v>
      </c>
      <c r="H82" s="37">
        <f>[1]Grp_5!G49</f>
        <v>70.214799999999997</v>
      </c>
      <c r="I82" s="38">
        <f>[1]Grp_5!H49</f>
        <v>70.214799999999997</v>
      </c>
      <c r="J82" s="20">
        <f>[1]Grp_5!I49</f>
        <v>0</v>
      </c>
      <c r="K82" s="20">
        <f>[1]Grp_5!J49</f>
        <v>0</v>
      </c>
      <c r="L82" s="20">
        <f>[1]Grp_5!K49</f>
        <v>0</v>
      </c>
      <c r="M82" s="20">
        <f>[1]Grp_5!L49</f>
        <v>0</v>
      </c>
      <c r="N82" s="20">
        <f>[1]Grp_5!M49</f>
        <v>0</v>
      </c>
      <c r="O82" s="20">
        <f>[1]Grp_5!N49</f>
        <v>0</v>
      </c>
      <c r="P82" s="20">
        <f>[1]Grp_5!O49</f>
        <v>0</v>
      </c>
      <c r="Q82" s="20">
        <f>[1]Grp_5!P49</f>
        <v>0</v>
      </c>
      <c r="R82" s="20">
        <f>[1]Grp_5!Q49</f>
        <v>0</v>
      </c>
      <c r="S82" s="21">
        <f>[1]Grp_5!R80</f>
        <v>0</v>
      </c>
      <c r="T82" s="9"/>
      <c r="U82" s="9"/>
      <c r="V82" s="10"/>
    </row>
    <row r="83" spans="1:22">
      <c r="A83" s="2">
        <v>68</v>
      </c>
      <c r="B83" s="17" t="str">
        <f>[1]Grp_5!A69</f>
        <v>6596</v>
      </c>
      <c r="C83" s="30" t="str">
        <f>[1]Grp_5!B69</f>
        <v>Vexponential Potential</v>
      </c>
      <c r="D83" s="18" t="str">
        <f>[1]Grp_5!C69</f>
        <v>Clear Lake Area Robotics</v>
      </c>
      <c r="E83" s="31" t="str">
        <f>[1]Grp_5!D69</f>
        <v>Houston, Texas, United States</v>
      </c>
      <c r="F83" s="34">
        <f>[1]Grp_5!E69</f>
        <v>44</v>
      </c>
      <c r="G83" s="19">
        <f>[1]Grp_5!F69</f>
        <v>19</v>
      </c>
      <c r="H83" s="37">
        <f>[1]Grp_5!G69</f>
        <v>68.897800000000004</v>
      </c>
      <c r="I83" s="38">
        <f>[1]Grp_5!H69</f>
        <v>19.116900000000001</v>
      </c>
      <c r="J83" s="20">
        <f>[1]Grp_5!I69</f>
        <v>39.7849</v>
      </c>
      <c r="K83" s="20">
        <f>[1]Grp_5!J69</f>
        <v>27.472999999999999</v>
      </c>
      <c r="L83" s="20">
        <f>[1]Grp_5!K69</f>
        <v>68.897800000000004</v>
      </c>
      <c r="M83" s="20">
        <f>[1]Grp_5!L69</f>
        <v>43.137999999999998</v>
      </c>
      <c r="N83" s="20">
        <f>[1]Grp_5!M69</f>
        <v>0</v>
      </c>
      <c r="O83" s="20">
        <f>[1]Grp_5!N69</f>
        <v>0</v>
      </c>
      <c r="P83" s="20">
        <f>[1]Grp_5!O69</f>
        <v>0</v>
      </c>
      <c r="Q83" s="20">
        <f>[1]Grp_5!P69</f>
        <v>0</v>
      </c>
      <c r="R83" s="20">
        <f>[1]Grp_5!Q69</f>
        <v>0</v>
      </c>
      <c r="S83" s="21">
        <f>[1]Grp_5!R81</f>
        <v>0</v>
      </c>
      <c r="T83" s="9"/>
      <c r="U83" s="9"/>
      <c r="V83" s="10"/>
    </row>
    <row r="84" spans="1:22">
      <c r="A84" s="2">
        <v>8</v>
      </c>
      <c r="B84" s="17" t="str">
        <f>[1]Grp_5!A9</f>
        <v>231D</v>
      </c>
      <c r="C84" s="30" t="str">
        <f>[1]Grp_5!B9</f>
        <v>PASADENA ISD ROBOTICS</v>
      </c>
      <c r="D84" s="18" t="str">
        <f>[1]Grp_5!C9</f>
        <v>PASADENA ISD ROBOTICS</v>
      </c>
      <c r="E84" s="31" t="str">
        <f>[1]Grp_5!D9</f>
        <v>HOUSTON, Texas, United States</v>
      </c>
      <c r="F84" s="34">
        <f>[1]Grp_5!E9</f>
        <v>272</v>
      </c>
      <c r="G84" s="19">
        <f>[1]Grp_5!F9</f>
        <v>122</v>
      </c>
      <c r="H84" s="35">
        <f>[1]Grp_5!G9</f>
        <v>66.249799999999993</v>
      </c>
      <c r="I84" s="20">
        <f>[1]Grp_5!H9</f>
        <v>44.858800000000002</v>
      </c>
      <c r="J84" s="20">
        <f>[1]Grp_5!I9</f>
        <v>60.775500000000001</v>
      </c>
      <c r="K84" s="20">
        <f>[1]Grp_5!J9</f>
        <v>60.488799999999998</v>
      </c>
      <c r="L84" s="20">
        <f>[1]Grp_5!K9</f>
        <v>56.035600000000002</v>
      </c>
      <c r="M84" s="20">
        <f>[1]Grp_5!L9</f>
        <v>66.249799999999993</v>
      </c>
      <c r="N84" s="20">
        <f>[1]Grp_5!M9</f>
        <v>36.658700000000003</v>
      </c>
      <c r="O84" s="20">
        <f>[1]Grp_5!N9</f>
        <v>32.572600000000001</v>
      </c>
      <c r="P84" s="20">
        <f>[1]Grp_5!O9</f>
        <v>0</v>
      </c>
      <c r="Q84" s="20">
        <f>[1]Grp_5!P9</f>
        <v>0</v>
      </c>
      <c r="R84" s="20">
        <f>[1]Grp_5!Q9</f>
        <v>0</v>
      </c>
      <c r="S84" s="21">
        <f>[1]Grp_5!R82</f>
        <v>0</v>
      </c>
      <c r="T84" s="9"/>
      <c r="U84" s="9"/>
      <c r="V84" s="10"/>
    </row>
    <row r="85" spans="1:22">
      <c r="A85" s="2">
        <v>87</v>
      </c>
      <c r="B85" s="17" t="str">
        <f>[1]Grp_5!A88</f>
        <v>8787C</v>
      </c>
      <c r="C85" s="30" t="str">
        <f>[1]Grp_5!B88</f>
        <v>Lady Troopers</v>
      </c>
      <c r="D85" s="18" t="str">
        <f>[1]Grp_5!C88</f>
        <v>Eastwood High School</v>
      </c>
      <c r="E85" s="31" t="str">
        <f>[1]Grp_5!D88</f>
        <v>El Paso, Texas, United States</v>
      </c>
      <c r="F85" s="34">
        <f>[1]Grp_5!E88</f>
        <v>64</v>
      </c>
      <c r="G85" s="19">
        <f>[1]Grp_5!F88</f>
        <v>7</v>
      </c>
      <c r="H85" s="37">
        <f>[1]Grp_5!G88</f>
        <v>56.727899999999998</v>
      </c>
      <c r="I85" s="38">
        <f>[1]Grp_5!H88</f>
        <v>34.218299999999999</v>
      </c>
      <c r="J85" s="20">
        <f>[1]Grp_5!I88</f>
        <v>56.727899999999998</v>
      </c>
      <c r="K85" s="20">
        <f>[1]Grp_5!J88</f>
        <v>18.040600000000001</v>
      </c>
      <c r="L85" s="20">
        <f>[1]Grp_5!K88</f>
        <v>0</v>
      </c>
      <c r="M85" s="20">
        <f>[1]Grp_5!L88</f>
        <v>0</v>
      </c>
      <c r="N85" s="20">
        <f>[1]Grp_5!M88</f>
        <v>0</v>
      </c>
      <c r="O85" s="20">
        <f>[1]Grp_5!N88</f>
        <v>0</v>
      </c>
      <c r="P85" s="20">
        <f>[1]Grp_5!O88</f>
        <v>0</v>
      </c>
      <c r="Q85" s="20">
        <f>[1]Grp_5!P88</f>
        <v>0</v>
      </c>
      <c r="R85" s="20">
        <f>[1]Grp_5!Q88</f>
        <v>0</v>
      </c>
      <c r="S85" s="21">
        <f>[1]Grp_5!R83</f>
        <v>0</v>
      </c>
      <c r="T85" s="9"/>
      <c r="U85" s="9"/>
      <c r="V85" s="10"/>
    </row>
    <row r="86" spans="1:22">
      <c r="A86" s="2">
        <v>23</v>
      </c>
      <c r="B86" s="17" t="str">
        <f>[1]Grp_5!A24</f>
        <v>1138G</v>
      </c>
      <c r="C86" s="30" t="str">
        <f>[1]Grp_5!B24</f>
        <v>Eagle Engineering</v>
      </c>
      <c r="D86" s="18" t="str">
        <f>[1]Grp_5!C24</f>
        <v>Chaminade College Preparatory</v>
      </c>
      <c r="E86" s="31" t="str">
        <f>[1]Grp_5!D24</f>
        <v>West Hills, California, United States</v>
      </c>
      <c r="F86" s="34">
        <f>[1]Grp_5!E24</f>
        <v>96</v>
      </c>
      <c r="G86" s="19">
        <f>[1]Grp_5!F24</f>
        <v>70</v>
      </c>
      <c r="H86" s="37">
        <f>[1]Grp_5!G24</f>
        <v>56.688899999999997</v>
      </c>
      <c r="I86" s="38">
        <f>[1]Grp_5!H24</f>
        <v>42.701900000000002</v>
      </c>
      <c r="J86" s="20">
        <f>[1]Grp_5!I24</f>
        <v>46.104999999999997</v>
      </c>
      <c r="K86" s="20">
        <f>[1]Grp_5!J24</f>
        <v>54.456600000000002</v>
      </c>
      <c r="L86" s="20">
        <f>[1]Grp_5!K24</f>
        <v>56.688899999999997</v>
      </c>
      <c r="M86" s="20">
        <f>[1]Grp_5!L24</f>
        <v>19.660799999999998</v>
      </c>
      <c r="N86" s="20">
        <f>[1]Grp_5!M24</f>
        <v>11.702</v>
      </c>
      <c r="O86" s="20">
        <f>[1]Grp_5!N24</f>
        <v>0</v>
      </c>
      <c r="P86" s="20">
        <f>[1]Grp_5!O24</f>
        <v>0</v>
      </c>
      <c r="Q86" s="20">
        <f>[1]Grp_5!P24</f>
        <v>0</v>
      </c>
      <c r="R86" s="20">
        <f>[1]Grp_5!Q24</f>
        <v>0</v>
      </c>
      <c r="S86" s="21">
        <f>[1]Grp_5!R84</f>
        <v>0</v>
      </c>
      <c r="T86" s="9"/>
      <c r="U86" s="9"/>
      <c r="V86" s="10"/>
    </row>
    <row r="87" spans="1:22">
      <c r="A87" s="2">
        <v>83</v>
      </c>
      <c r="B87" s="17" t="str">
        <f>[1]Grp_5!A84</f>
        <v>8430</v>
      </c>
      <c r="C87" s="30" t="str">
        <f>[1]Grp_5!B84</f>
        <v>DandyHighRobot</v>
      </c>
      <c r="D87" s="18" t="str">
        <f>[1]Grp_5!C84</f>
        <v>Dandenong High School</v>
      </c>
      <c r="E87" s="31" t="str">
        <f>[1]Grp_5!D84</f>
        <v>Dandenong, N/A, Australia</v>
      </c>
      <c r="F87" s="34">
        <f>[1]Grp_5!E84</f>
        <v>0</v>
      </c>
      <c r="G87" s="19">
        <f>[1]Grp_5!F84</f>
        <v>0</v>
      </c>
      <c r="H87" s="37">
        <f>[1]Grp_5!G84</f>
        <v>56.165799999999997</v>
      </c>
      <c r="I87" s="38">
        <f>[1]Grp_5!H84</f>
        <v>56.165799999999997</v>
      </c>
      <c r="J87" s="20">
        <f>[1]Grp_5!I84</f>
        <v>0</v>
      </c>
      <c r="K87" s="20">
        <f>[1]Grp_5!J84</f>
        <v>0</v>
      </c>
      <c r="L87" s="20">
        <f>[1]Grp_5!K84</f>
        <v>0</v>
      </c>
      <c r="M87" s="20">
        <f>[1]Grp_5!L84</f>
        <v>0</v>
      </c>
      <c r="N87" s="20">
        <f>[1]Grp_5!M84</f>
        <v>0</v>
      </c>
      <c r="O87" s="20">
        <f>[1]Grp_5!N84</f>
        <v>0</v>
      </c>
      <c r="P87" s="20">
        <f>[1]Grp_5!O84</f>
        <v>0</v>
      </c>
      <c r="Q87" s="20">
        <f>[1]Grp_5!P84</f>
        <v>0</v>
      </c>
      <c r="R87" s="20">
        <f>[1]Grp_5!Q84</f>
        <v>0</v>
      </c>
      <c r="S87" s="21">
        <f>[1]Grp_5!R85</f>
        <v>0</v>
      </c>
      <c r="T87" s="9"/>
      <c r="U87" s="9"/>
      <c r="V87" s="10"/>
    </row>
    <row r="88" spans="1:22">
      <c r="A88" s="2">
        <v>66</v>
      </c>
      <c r="B88" s="17" t="str">
        <f>[1]Grp_5!A67</f>
        <v>6264D</v>
      </c>
      <c r="C88" s="30" t="str">
        <f>[1]Grp_5!B67</f>
        <v>The Shawkbots</v>
      </c>
      <c r="D88" s="18" t="str">
        <f>[1]Grp_5!C67</f>
        <v>Shawnigan Lake School</v>
      </c>
      <c r="E88" s="31" t="str">
        <f>[1]Grp_5!D67</f>
        <v>Shawnigan Lake, British Columbia, Canada</v>
      </c>
      <c r="F88" s="34">
        <f>[1]Grp_5!E67</f>
        <v>0</v>
      </c>
      <c r="G88" s="19">
        <f>[1]Grp_5!F67</f>
        <v>0</v>
      </c>
      <c r="H88" s="37">
        <f>[1]Grp_5!G67</f>
        <v>55.161499999999997</v>
      </c>
      <c r="I88" s="38">
        <f>[1]Grp_5!H67</f>
        <v>54.993899999999996</v>
      </c>
      <c r="J88" s="20">
        <f>[1]Grp_5!I67</f>
        <v>50.992400000000004</v>
      </c>
      <c r="K88" s="20">
        <f>[1]Grp_5!J67</f>
        <v>19.098700000000001</v>
      </c>
      <c r="L88" s="20">
        <f>[1]Grp_5!K67</f>
        <v>55.161499999999997</v>
      </c>
      <c r="M88" s="20">
        <f>[1]Grp_5!L67</f>
        <v>7.7772399999999999</v>
      </c>
      <c r="N88" s="20">
        <f>[1]Grp_5!M67</f>
        <v>0</v>
      </c>
      <c r="O88" s="20">
        <f>[1]Grp_5!N67</f>
        <v>0</v>
      </c>
      <c r="P88" s="20">
        <f>[1]Grp_5!O67</f>
        <v>0</v>
      </c>
      <c r="Q88" s="20">
        <f>[1]Grp_5!P67</f>
        <v>0</v>
      </c>
      <c r="R88" s="20">
        <f>[1]Grp_5!Q67</f>
        <v>0</v>
      </c>
      <c r="S88" s="21">
        <f>[1]Grp_5!R86</f>
        <v>0</v>
      </c>
      <c r="T88" s="9"/>
      <c r="U88" s="9"/>
      <c r="V88" s="10"/>
    </row>
    <row r="89" spans="1:22">
      <c r="A89" s="2">
        <v>40</v>
      </c>
      <c r="B89" s="17" t="str">
        <f>[1]Grp_5!A41</f>
        <v>3046</v>
      </c>
      <c r="C89" s="30" t="str">
        <f>[1]Grp_5!B41</f>
        <v>TheRoboAzTechs</v>
      </c>
      <c r="D89" s="18" t="str">
        <f>[1]Grp_5!C41</f>
        <v>El Dorado High School</v>
      </c>
      <c r="E89" s="31" t="str">
        <f>[1]Grp_5!D41</f>
        <v>El Paso, Texas, United States</v>
      </c>
      <c r="F89" s="34">
        <f>[1]Grp_5!E41</f>
        <v>56</v>
      </c>
      <c r="G89" s="19">
        <f>[1]Grp_5!F41</f>
        <v>39</v>
      </c>
      <c r="H89" s="37">
        <f>[1]Grp_5!G41</f>
        <v>51.838000000000001</v>
      </c>
      <c r="I89" s="38">
        <f>[1]Grp_5!H41</f>
        <v>51.838000000000001</v>
      </c>
      <c r="J89" s="20">
        <f>[1]Grp_5!I41</f>
        <v>40.587200000000003</v>
      </c>
      <c r="K89" s="20">
        <f>[1]Grp_5!J41</f>
        <v>41.2226</v>
      </c>
      <c r="L89" s="20">
        <f>[1]Grp_5!K41</f>
        <v>0</v>
      </c>
      <c r="M89" s="20">
        <f>[1]Grp_5!L41</f>
        <v>0</v>
      </c>
      <c r="N89" s="20">
        <f>[1]Grp_5!M41</f>
        <v>0</v>
      </c>
      <c r="O89" s="20">
        <f>[1]Grp_5!N41</f>
        <v>0</v>
      </c>
      <c r="P89" s="20">
        <f>[1]Grp_5!O41</f>
        <v>0</v>
      </c>
      <c r="Q89" s="20">
        <f>[1]Grp_5!P41</f>
        <v>0</v>
      </c>
      <c r="R89" s="20">
        <f>[1]Grp_5!Q41</f>
        <v>0</v>
      </c>
      <c r="S89" s="21">
        <f>[1]Grp_5!R87</f>
        <v>0</v>
      </c>
      <c r="T89" s="9"/>
      <c r="U89" s="9"/>
      <c r="V89" s="10"/>
    </row>
    <row r="90" spans="1:22">
      <c r="A90" s="2">
        <v>71</v>
      </c>
      <c r="B90" s="17" t="str">
        <f>[1]Grp_5!A72</f>
        <v>6953B</v>
      </c>
      <c r="C90" s="30" t="str">
        <f>[1]Grp_5!B72</f>
        <v>PULGAS</v>
      </c>
      <c r="D90" s="18" t="str">
        <f>[1]Grp_5!C72</f>
        <v>Cecytech 22 Ricardo Flores Magon</v>
      </c>
      <c r="E90" s="31" t="str">
        <f>[1]Grp_5!D72</f>
        <v>Tuxtla Gutiérrez, Chiapas, Mexico</v>
      </c>
      <c r="F90" s="34">
        <f>[1]Grp_5!E72</f>
        <v>0</v>
      </c>
      <c r="G90" s="19">
        <f>[1]Grp_5!F72</f>
        <v>0</v>
      </c>
      <c r="H90" s="37">
        <f>[1]Grp_5!G72</f>
        <v>49.804099999999998</v>
      </c>
      <c r="I90" s="38">
        <f>[1]Grp_5!H72</f>
        <v>26.170999999999999</v>
      </c>
      <c r="J90" s="20">
        <f>[1]Grp_5!I72</f>
        <v>49.804099999999998</v>
      </c>
      <c r="K90" s="20">
        <f>[1]Grp_5!J72</f>
        <v>0</v>
      </c>
      <c r="L90" s="20">
        <f>[1]Grp_5!K72</f>
        <v>0</v>
      </c>
      <c r="M90" s="20">
        <f>[1]Grp_5!L72</f>
        <v>0</v>
      </c>
      <c r="N90" s="20">
        <f>[1]Grp_5!M72</f>
        <v>0</v>
      </c>
      <c r="O90" s="20">
        <f>[1]Grp_5!N72</f>
        <v>0</v>
      </c>
      <c r="P90" s="20">
        <f>[1]Grp_5!O72</f>
        <v>0</v>
      </c>
      <c r="Q90" s="20">
        <f>[1]Grp_5!P72</f>
        <v>0</v>
      </c>
      <c r="R90" s="20">
        <f>[1]Grp_5!Q72</f>
        <v>0</v>
      </c>
      <c r="S90" s="21">
        <f>[1]Grp_5!R88</f>
        <v>0</v>
      </c>
      <c r="T90" s="9"/>
      <c r="U90" s="9"/>
      <c r="V90" s="10"/>
    </row>
    <row r="91" spans="1:22">
      <c r="A91" s="2">
        <v>16</v>
      </c>
      <c r="B91" s="17" t="str">
        <f>[1]Grp_5!A17</f>
        <v>699Z</v>
      </c>
      <c r="C91" s="30" t="str">
        <f>[1]Grp_5!B17</f>
        <v>Zaptors</v>
      </c>
      <c r="D91" s="18" t="str">
        <f>[1]Grp_5!C17</f>
        <v>Thomas A. Edison CTE High School</v>
      </c>
      <c r="E91" s="31" t="str">
        <f>[1]Grp_5!D17</f>
        <v>Jamaica, New York, United States</v>
      </c>
      <c r="F91" s="34">
        <f>[1]Grp_5!E17</f>
        <v>120</v>
      </c>
      <c r="G91" s="19">
        <f>[1]Grp_5!F17</f>
        <v>155</v>
      </c>
      <c r="H91" s="37">
        <f>[1]Grp_5!G17</f>
        <v>40.259700000000002</v>
      </c>
      <c r="I91" s="38">
        <f>[1]Grp_5!H17</f>
        <v>40.259700000000002</v>
      </c>
      <c r="J91" s="20">
        <f>[1]Grp_5!I17</f>
        <v>8.9104700000000001</v>
      </c>
      <c r="K91" s="20">
        <f>[1]Grp_5!J17</f>
        <v>18.790600000000001</v>
      </c>
      <c r="L91" s="20">
        <f>[1]Grp_5!K17</f>
        <v>6.6982299999999997</v>
      </c>
      <c r="M91" s="20">
        <f>[1]Grp_5!L17</f>
        <v>0.28383999999999998</v>
      </c>
      <c r="N91" s="20">
        <f>[1]Grp_5!M17</f>
        <v>0</v>
      </c>
      <c r="O91" s="20">
        <f>[1]Grp_5!N17</f>
        <v>0</v>
      </c>
      <c r="P91" s="20">
        <f>[1]Grp_5!O17</f>
        <v>0</v>
      </c>
      <c r="Q91" s="20">
        <f>[1]Grp_5!P17</f>
        <v>0</v>
      </c>
      <c r="R91" s="20">
        <f>[1]Grp_5!Q17</f>
        <v>0</v>
      </c>
      <c r="S91" s="21">
        <f>[1]Grp_5!R89</f>
        <v>0</v>
      </c>
      <c r="T91" s="9"/>
      <c r="U91" s="9"/>
      <c r="V91" s="10"/>
    </row>
    <row r="92" spans="1:22">
      <c r="A92" s="2">
        <v>89</v>
      </c>
      <c r="B92" s="17" t="str">
        <f>[1]Grp_5!A90</f>
        <v>9020</v>
      </c>
      <c r="C92" s="30" t="str">
        <f>[1]Grp_5!B90</f>
        <v>Cape Henlopen</v>
      </c>
      <c r="D92" s="18" t="str">
        <f>[1]Grp_5!C90</f>
        <v>Cape Henlopen High School</v>
      </c>
      <c r="E92" s="31" t="str">
        <f>[1]Grp_5!D90</f>
        <v>Lewes, Delaware, United States</v>
      </c>
      <c r="F92" s="34">
        <f>[1]Grp_5!E90</f>
        <v>32</v>
      </c>
      <c r="G92" s="19">
        <f>[1]Grp_5!F90</f>
        <v>6</v>
      </c>
      <c r="H92" s="37">
        <f>[1]Grp_5!G90</f>
        <v>38.782200000000003</v>
      </c>
      <c r="I92" s="38">
        <f>[1]Grp_5!H90</f>
        <v>38.782200000000003</v>
      </c>
      <c r="J92" s="20">
        <f>[1]Grp_5!I90</f>
        <v>0</v>
      </c>
      <c r="K92" s="20">
        <f>[1]Grp_5!J90</f>
        <v>0</v>
      </c>
      <c r="L92" s="20">
        <f>[1]Grp_5!K90</f>
        <v>0</v>
      </c>
      <c r="M92" s="20">
        <f>[1]Grp_5!L90</f>
        <v>0</v>
      </c>
      <c r="N92" s="20">
        <f>[1]Grp_5!M90</f>
        <v>0</v>
      </c>
      <c r="O92" s="20">
        <f>[1]Grp_5!N90</f>
        <v>0</v>
      </c>
      <c r="P92" s="20">
        <f>[1]Grp_5!O90</f>
        <v>0</v>
      </c>
      <c r="Q92" s="20">
        <f>[1]Grp_5!P90</f>
        <v>0</v>
      </c>
      <c r="R92" s="20">
        <f>[1]Grp_5!Q90</f>
        <v>0</v>
      </c>
      <c r="S92" s="21">
        <f>[1]Grp_5!R90</f>
        <v>0</v>
      </c>
      <c r="T92" s="9"/>
      <c r="U92" s="9"/>
      <c r="V92" s="10"/>
    </row>
    <row r="93" spans="1:22">
      <c r="A93" s="2">
        <v>43</v>
      </c>
      <c r="B93" s="17" t="str">
        <f>[1]Grp_5!A44</f>
        <v>3631A</v>
      </c>
      <c r="C93" s="30" t="str">
        <f>[1]Grp_5!B44</f>
        <v>Collierville Illuminati</v>
      </c>
      <c r="D93" s="18" t="str">
        <f>[1]Grp_5!C44</f>
        <v>Collierville High School</v>
      </c>
      <c r="E93" s="31" t="str">
        <f>[1]Grp_5!D44</f>
        <v>Collierville, Tennessee, United States</v>
      </c>
      <c r="F93" s="34">
        <f>[1]Grp_5!E44</f>
        <v>22</v>
      </c>
      <c r="G93" s="19">
        <f>[1]Grp_5!F44</f>
        <v>2</v>
      </c>
      <c r="H93" s="37">
        <f>[1]Grp_5!G44</f>
        <v>38.447099999999999</v>
      </c>
      <c r="I93" s="38">
        <f>[1]Grp_5!H44</f>
        <v>38.447099999999999</v>
      </c>
      <c r="J93" s="20">
        <f>[1]Grp_5!I44</f>
        <v>35.570599999999999</v>
      </c>
      <c r="K93" s="20">
        <f>[1]Grp_5!J44</f>
        <v>12.9533</v>
      </c>
      <c r="L93" s="20">
        <f>[1]Grp_5!K44</f>
        <v>0</v>
      </c>
      <c r="M93" s="20">
        <f>[1]Grp_5!L44</f>
        <v>0</v>
      </c>
      <c r="N93" s="20">
        <f>[1]Grp_5!M44</f>
        <v>0</v>
      </c>
      <c r="O93" s="20">
        <f>[1]Grp_5!N44</f>
        <v>0</v>
      </c>
      <c r="P93" s="20">
        <f>[1]Grp_5!O44</f>
        <v>0</v>
      </c>
      <c r="Q93" s="20">
        <f>[1]Grp_5!P44</f>
        <v>0</v>
      </c>
      <c r="R93" s="20">
        <f>[1]Grp_5!Q44</f>
        <v>0</v>
      </c>
      <c r="S93" s="21">
        <f>[1]Grp_5!R91</f>
        <v>0</v>
      </c>
      <c r="T93" s="9"/>
      <c r="U93" s="9"/>
      <c r="V93" s="10"/>
    </row>
    <row r="94" spans="1:22">
      <c r="A94" s="2">
        <v>27</v>
      </c>
      <c r="B94" s="17" t="str">
        <f>[1]Grp_5!A28</f>
        <v>1460J</v>
      </c>
      <c r="C94" s="30" t="str">
        <f>[1]Grp_5!B28</f>
        <v>Zeus</v>
      </c>
      <c r="D94" s="18" t="str">
        <f>[1]Grp_5!C28</f>
        <v>Sandy Robotics Club</v>
      </c>
      <c r="E94" s="31" t="str">
        <f>[1]Grp_5!D28</f>
        <v>Sandy, Oregon, United States</v>
      </c>
      <c r="F94" s="34">
        <f>[1]Grp_5!E28</f>
        <v>131</v>
      </c>
      <c r="G94" s="19">
        <f>[1]Grp_5!F28</f>
        <v>223</v>
      </c>
      <c r="H94" s="37">
        <f>[1]Grp_5!G28</f>
        <v>34.622</v>
      </c>
      <c r="I94" s="38">
        <f>[1]Grp_5!H28</f>
        <v>17.127800000000001</v>
      </c>
      <c r="J94" s="20">
        <f>[1]Grp_5!I28</f>
        <v>29.273800000000001</v>
      </c>
      <c r="K94" s="20">
        <f>[1]Grp_5!J28</f>
        <v>34.622</v>
      </c>
      <c r="L94" s="20">
        <f>[1]Grp_5!K28</f>
        <v>29.892800000000001</v>
      </c>
      <c r="M94" s="20">
        <f>[1]Grp_5!L28</f>
        <v>19.0318</v>
      </c>
      <c r="N94" s="20">
        <f>[1]Grp_5!M28</f>
        <v>0</v>
      </c>
      <c r="O94" s="20">
        <f>[1]Grp_5!N28</f>
        <v>0</v>
      </c>
      <c r="P94" s="20">
        <f>[1]Grp_5!O28</f>
        <v>0</v>
      </c>
      <c r="Q94" s="20">
        <f>[1]Grp_5!P28</f>
        <v>0</v>
      </c>
      <c r="R94" s="20">
        <f>[1]Grp_5!Q28</f>
        <v>0</v>
      </c>
      <c r="S94" s="21">
        <f>[1]Grp_5!R92</f>
        <v>0</v>
      </c>
      <c r="T94" s="9"/>
      <c r="U94" s="9"/>
      <c r="V94" s="10"/>
    </row>
    <row r="95" spans="1:22">
      <c r="A95" s="2">
        <v>81</v>
      </c>
      <c r="B95" s="17" t="str">
        <f>[1]Grp_5!A82</f>
        <v>8059D</v>
      </c>
      <c r="C95" s="30" t="str">
        <f>[1]Grp_5!B82</f>
        <v>Blank.</v>
      </c>
      <c r="D95" s="18" t="str">
        <f>[1]Grp_5!C82</f>
        <v>Anglo-Chinese School (Independent)</v>
      </c>
      <c r="E95" s="31" t="str">
        <f>[1]Grp_5!D82</f>
        <v>Singapore, Not Applicable or Not Listed, Singapore</v>
      </c>
      <c r="F95" s="34">
        <f>[1]Grp_5!E82</f>
        <v>0</v>
      </c>
      <c r="G95" s="19">
        <f>[1]Grp_5!F82</f>
        <v>330</v>
      </c>
      <c r="H95" s="37">
        <f>[1]Grp_5!G82</f>
        <v>29.282299999999999</v>
      </c>
      <c r="I95" s="38">
        <f>[1]Grp_5!H82</f>
        <v>29.282299999999999</v>
      </c>
      <c r="J95" s="20">
        <f>[1]Grp_5!I82</f>
        <v>0</v>
      </c>
      <c r="K95" s="20">
        <f>[1]Grp_5!J82</f>
        <v>0</v>
      </c>
      <c r="L95" s="20">
        <f>[1]Grp_5!K82</f>
        <v>0</v>
      </c>
      <c r="M95" s="20">
        <f>[1]Grp_5!L82</f>
        <v>0</v>
      </c>
      <c r="N95" s="20">
        <f>[1]Grp_5!M82</f>
        <v>0</v>
      </c>
      <c r="O95" s="20">
        <f>[1]Grp_5!N82</f>
        <v>0</v>
      </c>
      <c r="P95" s="20">
        <f>[1]Grp_5!O82</f>
        <v>0</v>
      </c>
      <c r="Q95" s="20">
        <f>[1]Grp_5!P82</f>
        <v>0</v>
      </c>
      <c r="R95" s="20">
        <f>[1]Grp_5!Q82</f>
        <v>0</v>
      </c>
      <c r="S95" s="21">
        <f>[1]Grp_5!R93</f>
        <v>0</v>
      </c>
      <c r="T95" s="9"/>
      <c r="U95" s="9"/>
      <c r="V95" s="10"/>
    </row>
    <row r="96" spans="1:22">
      <c r="A96" s="2">
        <v>59</v>
      </c>
      <c r="B96" s="17" t="str">
        <f>[1]Grp_5!A60</f>
        <v>5606A</v>
      </c>
      <c r="C96" s="30" t="str">
        <f>[1]Grp_5!B60</f>
        <v>SKARO FAHS</v>
      </c>
      <c r="D96" s="18" t="str">
        <f>[1]Grp_5!C60</f>
        <v>Feilding High School</v>
      </c>
      <c r="E96" s="31" t="str">
        <f>[1]Grp_5!D60</f>
        <v>Feilding, Not Applicable or Not Listed, New Zealand</v>
      </c>
      <c r="F96" s="34">
        <f>[1]Grp_5!E60</f>
        <v>77</v>
      </c>
      <c r="G96" s="19">
        <f>[1]Grp_5!F60</f>
        <v>39</v>
      </c>
      <c r="H96" s="37">
        <f>[1]Grp_5!G60</f>
        <v>27.256399999999999</v>
      </c>
      <c r="I96" s="38">
        <f>[1]Grp_5!H60</f>
        <v>27.256399999999999</v>
      </c>
      <c r="J96" s="20">
        <f>[1]Grp_5!I60</f>
        <v>0</v>
      </c>
      <c r="K96" s="20">
        <f>[1]Grp_5!J60</f>
        <v>0</v>
      </c>
      <c r="L96" s="20">
        <f>[1]Grp_5!K60</f>
        <v>0</v>
      </c>
      <c r="M96" s="20">
        <f>[1]Grp_5!L60</f>
        <v>0</v>
      </c>
      <c r="N96" s="20">
        <f>[1]Grp_5!M60</f>
        <v>0</v>
      </c>
      <c r="O96" s="20">
        <f>[1]Grp_5!N60</f>
        <v>0</v>
      </c>
      <c r="P96" s="20">
        <f>[1]Grp_5!O60</f>
        <v>0</v>
      </c>
      <c r="Q96" s="20">
        <f>[1]Grp_5!P60</f>
        <v>0</v>
      </c>
      <c r="R96" s="20">
        <f>[1]Grp_5!Q60</f>
        <v>0</v>
      </c>
      <c r="S96" s="21">
        <f>[1]Grp_5!R94</f>
        <v>0</v>
      </c>
      <c r="T96" s="9"/>
      <c r="U96" s="9"/>
      <c r="V96" s="10"/>
    </row>
    <row r="97" spans="1:22">
      <c r="A97" s="2">
        <v>3</v>
      </c>
      <c r="B97" s="17" t="str">
        <f>[1]Grp_5!A4</f>
        <v>56B</v>
      </c>
      <c r="C97" s="30" t="str">
        <f>[1]Grp_5!B4</f>
        <v>Cape Robotics B</v>
      </c>
      <c r="D97" s="18" t="str">
        <f>[1]Grp_5!C4</f>
        <v>Cape Elizabeth High School</v>
      </c>
      <c r="E97" s="31" t="str">
        <f>[1]Grp_5!D4</f>
        <v>Cape Elizabeth, Maine, United States</v>
      </c>
      <c r="F97" s="34">
        <f>[1]Grp_5!E4</f>
        <v>17</v>
      </c>
      <c r="G97" s="19">
        <f>[1]Grp_5!F4</f>
        <v>15</v>
      </c>
      <c r="H97" s="35">
        <f>[1]Grp_5!G4</f>
        <v>18.670100000000001</v>
      </c>
      <c r="I97" s="20">
        <f>[1]Grp_5!H4</f>
        <v>18.670100000000001</v>
      </c>
      <c r="J97" s="20">
        <f>[1]Grp_5!I4</f>
        <v>6.32334</v>
      </c>
      <c r="K97" s="20">
        <f>[1]Grp_5!J4</f>
        <v>9.5600299999999994</v>
      </c>
      <c r="L97" s="20">
        <f>[1]Grp_5!K4</f>
        <v>0</v>
      </c>
      <c r="M97" s="20">
        <f>[1]Grp_5!L4</f>
        <v>0</v>
      </c>
      <c r="N97" s="20">
        <f>[1]Grp_5!M4</f>
        <v>0</v>
      </c>
      <c r="O97" s="20">
        <f>[1]Grp_5!N4</f>
        <v>0</v>
      </c>
      <c r="P97" s="20">
        <f>[1]Grp_5!O4</f>
        <v>0</v>
      </c>
      <c r="Q97" s="20">
        <f>[1]Grp_5!P4</f>
        <v>0</v>
      </c>
      <c r="R97" s="20">
        <f>[1]Grp_5!Q4</f>
        <v>0</v>
      </c>
      <c r="S97" s="21">
        <f>[1]Grp_5!R95</f>
        <v>0</v>
      </c>
      <c r="T97" s="9"/>
      <c r="U97" s="9"/>
      <c r="V97" s="10"/>
    </row>
    <row r="98" spans="1:22">
      <c r="A98" s="2">
        <v>41</v>
      </c>
      <c r="B98" s="17" t="str">
        <f>[1]Grp_5!A42</f>
        <v>3285D</v>
      </c>
      <c r="C98" s="30" t="str">
        <f>[1]Grp_5!B42</f>
        <v>West China Team</v>
      </c>
      <c r="D98" s="18" t="str">
        <f>[1]Grp_5!C42</f>
        <v>West China Team</v>
      </c>
      <c r="E98" s="31" t="str">
        <f>[1]Grp_5!D42</f>
        <v>Xi'an, N/A, China</v>
      </c>
      <c r="F98" s="34">
        <f>[1]Grp_5!E42</f>
        <v>0</v>
      </c>
      <c r="G98" s="19">
        <f>[1]Grp_5!F42</f>
        <v>356</v>
      </c>
      <c r="H98" s="37">
        <f>[1]Grp_5!G42</f>
        <v>0</v>
      </c>
      <c r="I98" s="38">
        <f>[1]Grp_5!H42</f>
        <v>0</v>
      </c>
      <c r="J98" s="20">
        <f>[1]Grp_5!I42</f>
        <v>0</v>
      </c>
      <c r="K98" s="20">
        <f>[1]Grp_5!J42</f>
        <v>0</v>
      </c>
      <c r="L98" s="20">
        <f>[1]Grp_5!K42</f>
        <v>0</v>
      </c>
      <c r="M98" s="20">
        <f>[1]Grp_5!L42</f>
        <v>0</v>
      </c>
      <c r="N98" s="20">
        <f>[1]Grp_5!M42</f>
        <v>0</v>
      </c>
      <c r="O98" s="20">
        <f>[1]Grp_5!N42</f>
        <v>0</v>
      </c>
      <c r="P98" s="20">
        <f>[1]Grp_5!O42</f>
        <v>0</v>
      </c>
      <c r="Q98" s="20">
        <f>[1]Grp_5!P42</f>
        <v>0</v>
      </c>
      <c r="R98" s="20">
        <f>[1]Grp_5!Q42</f>
        <v>0</v>
      </c>
      <c r="S98" s="21">
        <f>[1]Grp_5!R96</f>
        <v>0</v>
      </c>
      <c r="T98" s="9"/>
      <c r="U98" s="9"/>
      <c r="V98" s="10"/>
    </row>
    <row r="99" spans="1:22">
      <c r="A99" s="2">
        <v>33</v>
      </c>
      <c r="B99" s="17" t="str">
        <f>[1]Grp_5!A34</f>
        <v>2131C</v>
      </c>
      <c r="C99" s="30" t="str">
        <f>[1]Grp_5!B34</f>
        <v>Starfox</v>
      </c>
      <c r="D99" s="18" t="str">
        <f>[1]Grp_5!C34</f>
        <v>Davis High School</v>
      </c>
      <c r="E99" s="31" t="str">
        <f>[1]Grp_5!D34</f>
        <v>Kaysville, Utah, United States</v>
      </c>
      <c r="F99" s="34">
        <f>[1]Grp_5!E34</f>
        <v>0</v>
      </c>
      <c r="G99" s="19">
        <f>[1]Grp_5!F34</f>
        <v>0</v>
      </c>
      <c r="H99" s="37">
        <f>[1]Grp_5!G34</f>
        <v>0</v>
      </c>
      <c r="I99" s="38">
        <f>[1]Grp_5!H34</f>
        <v>0</v>
      </c>
      <c r="J99" s="20">
        <f>[1]Grp_5!I34</f>
        <v>0</v>
      </c>
      <c r="K99" s="20">
        <f>[1]Grp_5!J34</f>
        <v>0</v>
      </c>
      <c r="L99" s="20">
        <f>[1]Grp_5!K34</f>
        <v>0</v>
      </c>
      <c r="M99" s="20">
        <f>[1]Grp_5!L34</f>
        <v>0</v>
      </c>
      <c r="N99" s="20">
        <f>[1]Grp_5!M34</f>
        <v>0</v>
      </c>
      <c r="O99" s="20">
        <f>[1]Grp_5!N34</f>
        <v>0</v>
      </c>
      <c r="P99" s="20">
        <f>[1]Grp_5!O34</f>
        <v>0</v>
      </c>
      <c r="Q99" s="20">
        <f>[1]Grp_5!P34</f>
        <v>0</v>
      </c>
      <c r="R99" s="20">
        <f>[1]Grp_5!Q34</f>
        <v>0</v>
      </c>
      <c r="S99" s="21">
        <f>[1]Grp_5!R97</f>
        <v>0</v>
      </c>
      <c r="T99" s="9"/>
      <c r="U99" s="9"/>
      <c r="V99" s="10"/>
    </row>
    <row r="100" spans="1:22">
      <c r="A100" s="2">
        <v>77</v>
      </c>
      <c r="B100" s="17" t="str">
        <f>[1]Grp_5!A78</f>
        <v>7797C</v>
      </c>
      <c r="C100" s="30" t="str">
        <f>[1]Grp_5!B78</f>
        <v>SH Zhabei STYC C</v>
      </c>
      <c r="D100" s="18" t="str">
        <f>[1]Grp_5!C78</f>
        <v>Shanghai Zhabei Science Technology Youth Center</v>
      </c>
      <c r="E100" s="31" t="str">
        <f>[1]Grp_5!D78</f>
        <v>Shanghai, Not Applicable or Not Listed, China</v>
      </c>
      <c r="F100" s="34">
        <f>[1]Grp_5!E78</f>
        <v>0</v>
      </c>
      <c r="G100" s="19">
        <f>[1]Grp_5!F78</f>
        <v>0</v>
      </c>
      <c r="H100" s="37">
        <f>[1]Grp_5!G78</f>
        <v>0</v>
      </c>
      <c r="I100" s="38">
        <f>[1]Grp_5!H78</f>
        <v>0</v>
      </c>
      <c r="J100" s="20">
        <f>[1]Grp_5!I78</f>
        <v>0</v>
      </c>
      <c r="K100" s="20">
        <f>[1]Grp_5!J78</f>
        <v>0</v>
      </c>
      <c r="L100" s="20">
        <f>[1]Grp_5!K78</f>
        <v>0</v>
      </c>
      <c r="M100" s="20">
        <f>[1]Grp_5!L78</f>
        <v>0</v>
      </c>
      <c r="N100" s="20">
        <f>[1]Grp_5!M78</f>
        <v>0</v>
      </c>
      <c r="O100" s="20">
        <f>[1]Grp_5!N78</f>
        <v>0</v>
      </c>
      <c r="P100" s="20">
        <f>[1]Grp_5!O78</f>
        <v>0</v>
      </c>
      <c r="Q100" s="20">
        <f>[1]Grp_5!P78</f>
        <v>0</v>
      </c>
      <c r="R100" s="20">
        <f>[1]Grp_5!Q78</f>
        <v>0</v>
      </c>
      <c r="S100" s="21">
        <f>[1]Grp_5!R98</f>
        <v>0</v>
      </c>
      <c r="T100" s="9"/>
      <c r="U100" s="9"/>
      <c r="V100" s="10"/>
    </row>
    <row r="101" spans="1:22">
      <c r="A101" s="2">
        <v>82</v>
      </c>
      <c r="B101" s="17" t="str">
        <f>[1]Grp_5!A83</f>
        <v>8176A</v>
      </c>
      <c r="C101" s="30" t="str">
        <f>[1]Grp_5!B83</f>
        <v>NJ Jinling HS A</v>
      </c>
      <c r="D101" s="18" t="str">
        <f>[1]Grp_5!C83</f>
        <v>Nanjing Jinling High School</v>
      </c>
      <c r="E101" s="31" t="str">
        <f>[1]Grp_5!D83</f>
        <v>Nanjing, Not Applicable or Not Listed, China</v>
      </c>
      <c r="F101" s="34">
        <f>[1]Grp_5!E83</f>
        <v>0</v>
      </c>
      <c r="G101" s="19">
        <f>[1]Grp_5!F83</f>
        <v>0</v>
      </c>
      <c r="H101" s="37">
        <f>[1]Grp_5!G83</f>
        <v>0</v>
      </c>
      <c r="I101" s="38">
        <f>[1]Grp_5!H83</f>
        <v>0</v>
      </c>
      <c r="J101" s="20">
        <f>[1]Grp_5!I83</f>
        <v>0</v>
      </c>
      <c r="K101" s="20">
        <f>[1]Grp_5!J83</f>
        <v>0</v>
      </c>
      <c r="L101" s="20">
        <f>[1]Grp_5!K83</f>
        <v>0</v>
      </c>
      <c r="M101" s="20">
        <f>[1]Grp_5!L83</f>
        <v>0</v>
      </c>
      <c r="N101" s="20">
        <f>[1]Grp_5!M83</f>
        <v>0</v>
      </c>
      <c r="O101" s="20">
        <f>[1]Grp_5!N83</f>
        <v>0</v>
      </c>
      <c r="P101" s="20">
        <f>[1]Grp_5!O83</f>
        <v>0</v>
      </c>
      <c r="Q101" s="20">
        <f>[1]Grp_5!P83</f>
        <v>0</v>
      </c>
      <c r="R101" s="20">
        <f>[1]Grp_5!Q83</f>
        <v>0</v>
      </c>
      <c r="S101" s="21">
        <f>[1]Grp_5!R99</f>
        <v>0</v>
      </c>
      <c r="T101" s="9"/>
      <c r="U101" s="9"/>
      <c r="V101" s="10"/>
    </row>
    <row r="102" spans="1:22">
      <c r="A102" s="2">
        <v>99</v>
      </c>
      <c r="B102" s="22" t="str">
        <f>[1]Grp_5!A100</f>
        <v>99679J</v>
      </c>
      <c r="C102" s="32" t="str">
        <f>[1]Grp_5!B100</f>
        <v>UNITY</v>
      </c>
      <c r="D102" s="23" t="str">
        <f>[1]Grp_5!C100</f>
        <v>David Karam Educational Center</v>
      </c>
      <c r="E102" s="33" t="str">
        <f>[1]Grp_5!D100</f>
        <v>Beirut, N/A, Lebanon</v>
      </c>
      <c r="F102" s="36">
        <f>[1]Grp_5!E100</f>
        <v>0</v>
      </c>
      <c r="G102" s="24">
        <f>[1]Grp_5!F100</f>
        <v>0</v>
      </c>
      <c r="H102" s="39">
        <f>[1]Grp_5!G100</f>
        <v>0</v>
      </c>
      <c r="I102" s="40">
        <f>[1]Grp_5!H100</f>
        <v>0</v>
      </c>
      <c r="J102" s="25">
        <f>[1]Grp_5!I100</f>
        <v>0</v>
      </c>
      <c r="K102" s="25">
        <f>[1]Grp_5!J100</f>
        <v>0</v>
      </c>
      <c r="L102" s="25">
        <f>[1]Grp_5!K100</f>
        <v>0</v>
      </c>
      <c r="M102" s="25">
        <f>[1]Grp_5!L100</f>
        <v>0</v>
      </c>
      <c r="N102" s="25">
        <f>[1]Grp_5!M100</f>
        <v>0</v>
      </c>
      <c r="O102" s="25">
        <f>[1]Grp_5!N100</f>
        <v>0</v>
      </c>
      <c r="P102" s="25">
        <f>[1]Grp_5!O100</f>
        <v>0</v>
      </c>
      <c r="Q102" s="25">
        <f>[1]Grp_5!P100</f>
        <v>0</v>
      </c>
      <c r="R102" s="25">
        <f>[1]Grp_5!Q100</f>
        <v>0</v>
      </c>
      <c r="S102" s="26">
        <f>[1]Grp_5!R100</f>
        <v>0</v>
      </c>
      <c r="T102" s="9"/>
      <c r="U102" s="9"/>
      <c r="V102" s="10"/>
    </row>
    <row r="103" spans="1:22">
      <c r="A103" s="2">
        <v>100</v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2"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2"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6:21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6:21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6:21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6:21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6:21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6:21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6:21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6:21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6:21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6:21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6:21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6:21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6:21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6:21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6:21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6:21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6:21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6:21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6:21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6:21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6:21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6:21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6:21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6:21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6:21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6:21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6:21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6:21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6:21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6:21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6:21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6:21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6:21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6:21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6:21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6:21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6:21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6:21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6:21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6:21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6:21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6:21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6:21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6:21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6:21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6:21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6:21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6:21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6:21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6:21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6:21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6:21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6:21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6:21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6:21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6:21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6:21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6:21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6:21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6:21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6:21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6:21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6:21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6:21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6:21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6:21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6:21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6:21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6:21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6:21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6:21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6:21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6:21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6:21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6:21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6:21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6:21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6:21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6:21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6:21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6:21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6:21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6:21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6:21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6:21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6:21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6:21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6:21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6:21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6:21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6:21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6:21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6:21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6:21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6:21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6:21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6:21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6:21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6:21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6:21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6:21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6:21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6:21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6:21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6:21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6:21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6:21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6:21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6:21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6:21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6:21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6:21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6:21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6:21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6:21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6:21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6:21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6:21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6:21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6:21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6:21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6:21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6:21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6:21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6:21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6:21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6:21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6:21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6:21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6:21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6:21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6:21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6:21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  <row r="246" spans="6:21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</row>
    <row r="247" spans="6:21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</row>
    <row r="248" spans="6:21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</row>
    <row r="249" spans="6:21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</row>
    <row r="250" spans="6:21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</row>
    <row r="251" spans="6:21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</row>
    <row r="252" spans="6:21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</row>
    <row r="253" spans="6:21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</row>
    <row r="254" spans="6:21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</row>
    <row r="255" spans="6:21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</row>
    <row r="256" spans="6:21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</row>
    <row r="257" spans="6:21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</row>
    <row r="258" spans="6:21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</row>
    <row r="259" spans="6:21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</row>
    <row r="260" spans="6:21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</row>
    <row r="261" spans="6:21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</row>
    <row r="262" spans="6:21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</row>
    <row r="263" spans="6:21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</row>
    <row r="264" spans="6:21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</row>
    <row r="265" spans="6:21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</row>
    <row r="266" spans="6:21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</row>
    <row r="267" spans="6:21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</row>
    <row r="268" spans="6:21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</row>
    <row r="269" spans="6:21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</row>
    <row r="270" spans="6:21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</row>
    <row r="271" spans="6:21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</row>
    <row r="272" spans="6:21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</row>
    <row r="273" spans="6:21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</row>
    <row r="274" spans="6:21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</row>
    <row r="275" spans="6:21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</row>
    <row r="276" spans="6:21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</row>
    <row r="277" spans="6:21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</row>
    <row r="278" spans="6:21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</row>
    <row r="279" spans="6:21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</row>
    <row r="280" spans="6:21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</row>
    <row r="281" spans="6:21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</row>
    <row r="282" spans="6:21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</row>
    <row r="283" spans="6:21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</row>
    <row r="284" spans="6:21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</row>
    <row r="285" spans="6:21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</row>
    <row r="286" spans="6:21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</row>
    <row r="287" spans="6:21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</row>
    <row r="288" spans="6:21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</row>
    <row r="289" spans="6:21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</row>
    <row r="290" spans="6:21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</row>
    <row r="291" spans="6:21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</row>
    <row r="292" spans="6:21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</row>
    <row r="293" spans="6:21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</row>
    <row r="294" spans="6:21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</row>
    <row r="295" spans="6:21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</row>
    <row r="296" spans="6:21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</row>
    <row r="297" spans="6:21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</row>
    <row r="298" spans="6:21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</row>
    <row r="299" spans="6:21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</row>
    <row r="300" spans="6:21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</row>
    <row r="301" spans="6:21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</row>
    <row r="302" spans="6:21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</row>
    <row r="303" spans="6:21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</row>
    <row r="304" spans="6:21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</row>
    <row r="305" spans="6:21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</row>
    <row r="306" spans="6:21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</row>
    <row r="307" spans="6:21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</row>
    <row r="308" spans="6:21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</row>
    <row r="309" spans="6:21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</row>
    <row r="310" spans="6:21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</row>
    <row r="311" spans="6:21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</row>
    <row r="312" spans="6:21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</row>
    <row r="313" spans="6:21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</row>
    <row r="314" spans="6:21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</row>
    <row r="315" spans="6:21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</row>
    <row r="316" spans="6:21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</row>
    <row r="317" spans="6:21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</row>
    <row r="318" spans="6:21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</row>
    <row r="319" spans="6:21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</row>
    <row r="320" spans="6:21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</row>
    <row r="321" spans="6:21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</row>
    <row r="322" spans="6:21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</row>
    <row r="323" spans="6:21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</row>
    <row r="324" spans="6:21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</row>
    <row r="325" spans="6:21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</row>
    <row r="326" spans="6:21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</row>
    <row r="327" spans="6:21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</row>
    <row r="328" spans="6:21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</row>
    <row r="329" spans="6:21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</row>
    <row r="330" spans="6:21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</row>
    <row r="331" spans="6:21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</row>
    <row r="332" spans="6:21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</row>
    <row r="333" spans="6:21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</row>
    <row r="334" spans="6:21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</row>
    <row r="335" spans="6:21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</row>
    <row r="336" spans="6:21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</row>
    <row r="337" spans="6:21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</row>
    <row r="338" spans="6:21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</row>
    <row r="339" spans="6:21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</row>
    <row r="340" spans="6:21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</row>
    <row r="341" spans="6:21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</row>
    <row r="342" spans="6:21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</row>
    <row r="343" spans="6:21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</row>
    <row r="344" spans="6:21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</row>
    <row r="345" spans="6:21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</row>
    <row r="346" spans="6:21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</row>
    <row r="347" spans="6:21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</row>
    <row r="348" spans="6:21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</row>
    <row r="349" spans="6:21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</row>
    <row r="350" spans="6:21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</row>
    <row r="351" spans="6:21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</row>
    <row r="352" spans="6:21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</row>
    <row r="353" spans="6:21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</row>
    <row r="354" spans="6:21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</row>
    <row r="355" spans="6:21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</row>
    <row r="356" spans="6:21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</row>
    <row r="357" spans="6:21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</row>
    <row r="358" spans="6:21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</row>
    <row r="359" spans="6:21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</row>
    <row r="360" spans="6:21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</row>
    <row r="361" spans="6:21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</row>
    <row r="362" spans="6:21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</row>
    <row r="363" spans="6:21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</row>
    <row r="364" spans="6:21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</row>
    <row r="365" spans="6:21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</row>
    <row r="366" spans="6:21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</row>
    <row r="367" spans="6:21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</row>
    <row r="368" spans="6:21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</row>
    <row r="369" spans="6:21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</row>
    <row r="370" spans="6:21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</row>
    <row r="371" spans="6:21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</row>
    <row r="372" spans="6:21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</row>
    <row r="373" spans="6:21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</row>
    <row r="374" spans="6:21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</row>
    <row r="375" spans="6:21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</row>
    <row r="376" spans="6:21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</row>
    <row r="377" spans="6:21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</row>
    <row r="378" spans="6:21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</row>
    <row r="379" spans="6:21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</row>
    <row r="380" spans="6:21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</row>
    <row r="381" spans="6:21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</row>
    <row r="382" spans="6:21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</row>
    <row r="383" spans="6:21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</row>
    <row r="384" spans="6:21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</row>
    <row r="385" spans="6:21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</row>
    <row r="386" spans="6:21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</row>
    <row r="387" spans="6:21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</row>
    <row r="388" spans="6:21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</row>
    <row r="389" spans="6:21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</row>
    <row r="390" spans="6:21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</row>
    <row r="391" spans="6:21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</row>
    <row r="392" spans="6:21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</row>
    <row r="393" spans="6:21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</row>
    <row r="394" spans="6:21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</row>
    <row r="395" spans="6:21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</row>
    <row r="396" spans="6:21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</row>
    <row r="397" spans="6:21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</row>
    <row r="398" spans="6:21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</row>
    <row r="399" spans="6:21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</row>
    <row r="400" spans="6:21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</row>
    <row r="401" spans="6:21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</row>
    <row r="402" spans="6:21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</row>
    <row r="403" spans="6:21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</row>
    <row r="404" spans="6:21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</row>
    <row r="405" spans="6:21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</row>
    <row r="406" spans="6:21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</row>
    <row r="407" spans="6:21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</row>
    <row r="408" spans="6:21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</row>
    <row r="409" spans="6:21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</row>
    <row r="410" spans="6:21"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</row>
    <row r="411" spans="6:21"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</row>
    <row r="412" spans="6:21"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</row>
    <row r="413" spans="6:21"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</row>
    <row r="414" spans="6:21"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</row>
    <row r="415" spans="6:21"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</row>
    <row r="416" spans="6:21"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</row>
    <row r="417" spans="6:21"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</row>
    <row r="418" spans="6:21"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</row>
    <row r="419" spans="6:21"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</row>
    <row r="420" spans="6:21"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</row>
    <row r="421" spans="6:21"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</row>
    <row r="422" spans="6:21"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</row>
    <row r="423" spans="6:21"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</row>
    <row r="424" spans="6:21"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</row>
    <row r="425" spans="6:21"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</row>
    <row r="426" spans="6:21"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</row>
    <row r="427" spans="6:21"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</row>
    <row r="428" spans="6:21"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</row>
    <row r="429" spans="6:21"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</row>
    <row r="430" spans="6:21"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</row>
    <row r="431" spans="6:21"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</row>
    <row r="432" spans="6:21"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</row>
    <row r="433" spans="6:21"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</row>
    <row r="434" spans="6:21"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</row>
    <row r="435" spans="6:21"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</row>
    <row r="436" spans="6:21"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</row>
    <row r="437" spans="6:21"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</row>
    <row r="438" spans="6:21"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</row>
    <row r="439" spans="6:21"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</row>
    <row r="440" spans="6:21"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</row>
    <row r="441" spans="6:21"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</row>
    <row r="442" spans="6:21"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</row>
    <row r="443" spans="6:21"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</row>
    <row r="444" spans="6:21"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</row>
    <row r="445" spans="6:21"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</row>
    <row r="446" spans="6:21"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</row>
    <row r="447" spans="6:21"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</row>
    <row r="448" spans="6:21"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</row>
    <row r="449" spans="6:21"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</row>
    <row r="450" spans="6:21"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</row>
    <row r="451" spans="6:21"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</row>
    <row r="452" spans="6:21"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</row>
    <row r="453" spans="6:21"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</row>
    <row r="454" spans="6:21"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</row>
    <row r="455" spans="6:21"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</row>
    <row r="456" spans="6:21"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</row>
    <row r="457" spans="6:21"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</row>
    <row r="458" spans="6:21"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</row>
    <row r="459" spans="6:21"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</row>
    <row r="460" spans="6:21"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</row>
    <row r="461" spans="6:21"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</row>
    <row r="462" spans="6:21"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</row>
    <row r="463" spans="6:21"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</row>
    <row r="464" spans="6:21"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</row>
    <row r="465" spans="6:21"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</row>
    <row r="466" spans="6:21"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</row>
    <row r="467" spans="6:21"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</row>
    <row r="468" spans="6:21"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</row>
    <row r="469" spans="6:21"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</row>
    <row r="470" spans="6:21"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</row>
    <row r="471" spans="6:21"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</row>
    <row r="472" spans="6:21"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</row>
    <row r="473" spans="6:21"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</row>
    <row r="474" spans="6:21"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</row>
    <row r="475" spans="6:21"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</row>
    <row r="476" spans="6:21"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</row>
    <row r="477" spans="6:21"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</row>
    <row r="478" spans="6:21"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</row>
    <row r="479" spans="6:21"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</row>
    <row r="480" spans="6:21"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</row>
    <row r="481" spans="6:21"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</row>
    <row r="482" spans="6:21"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</row>
    <row r="483" spans="6:21"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</row>
    <row r="484" spans="6:21"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</row>
    <row r="485" spans="6:21"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</row>
    <row r="486" spans="6:21"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</row>
    <row r="487" spans="6:21"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</row>
    <row r="488" spans="6:21"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</row>
    <row r="489" spans="6:21"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</row>
    <row r="490" spans="6:21"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</row>
    <row r="491" spans="6:21"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</row>
    <row r="492" spans="6:21"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</row>
    <row r="493" spans="6:21"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</row>
    <row r="494" spans="6:21"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</row>
    <row r="495" spans="6:21"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</row>
    <row r="496" spans="6:21"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</row>
    <row r="497" spans="6:21"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</row>
    <row r="498" spans="6:21"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</row>
    <row r="499" spans="6:21"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</row>
    <row r="500" spans="6:21"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</row>
    <row r="501" spans="6:21"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</row>
    <row r="502" spans="6:21"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</row>
    <row r="503" spans="6:21"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</row>
  </sheetData>
  <sortState ref="A4:R100">
    <sortCondition descending="1" ref="H3"/>
  </sortState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Sciences</vt:lpstr>
      <vt:lpstr>Technology</vt:lpstr>
      <vt:lpstr>Engineering</vt:lpstr>
      <vt:lpstr>Art</vt:lpstr>
      <vt:lpstr>Math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Weixin Shen</dc:creator>
  <cp:lastModifiedBy>weixin shen</cp:lastModifiedBy>
  <cp:lastPrinted>2016-03-23T21:28:12Z</cp:lastPrinted>
  <dcterms:created xsi:type="dcterms:W3CDTF">2016-03-23T22:07:48Z</dcterms:created>
  <dcterms:modified xsi:type="dcterms:W3CDTF">2016-03-24T04:32:47Z</dcterms:modified>
</cp:coreProperties>
</file>